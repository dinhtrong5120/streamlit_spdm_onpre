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 Project\Streamlit_newDB\spdm_app\uploaded_files\JavaScript_RSM\"/>
    </mc:Choice>
  </mc:AlternateContent>
  <xr:revisionPtr revIDLastSave="0" documentId="13_ncr:1_{1E9C1711-752E-49C5-9B81-8BBC403FA3AB}" xr6:coauthVersionLast="47" xr6:coauthVersionMax="47" xr10:uidLastSave="{00000000-0000-0000-0000-000000000000}"/>
  <bookViews>
    <workbookView xWindow="-120" yWindow="-120" windowWidth="29040" windowHeight="17640" activeTab="1" xr2:uid="{B8005418-604A-4C9E-91C0-93D594720ED5}"/>
  </bookViews>
  <sheets>
    <sheet name="テスト _NN_1" sheetId="4" r:id="rId1"/>
    <sheet name="チャート _NN_1" sheetId="3" r:id="rId2"/>
    <sheet name="計算例 _NN_1" sheetId="2" r:id="rId3"/>
  </sheets>
  <functionGroups builtInGroupCount="19"/>
  <definedNames>
    <definedName name="rsmChart_1_1">'チャート _NN_1'!$C$5,'チャート _NN_1'!$B$6,'チャート _NN_1'!$A$2,'チャート _NN_1'!$B$2,'チャート _NN_1'!$C$2,'チャート _NN_1'!$D$2</definedName>
    <definedName name="rsmChart_1_10">'チャート _NN_1'!$L$5,'チャート _NN_1'!$B$6,'チャート _NN_1'!$A$2,'チャート _NN_1'!$B$2,'チャート _NN_1'!$C$2,'チャート _NN_1'!$D$2</definedName>
    <definedName name="rsmChart_1_11">'チャート _NN_1'!$M$5,'チャート _NN_1'!$B$6,'チャート _NN_1'!$A$2,'チャート _NN_1'!$B$2,'チャート _NN_1'!$C$2,'チャート _NN_1'!$D$2</definedName>
    <definedName name="rsmChart_1_2">'チャート _NN_1'!$D$5,'チャート _NN_1'!$B$6,'チャート _NN_1'!$A$2,'チャート _NN_1'!$B$2,'チャート _NN_1'!$C$2,'チャート _NN_1'!$D$2</definedName>
    <definedName name="rsmChart_1_3">'チャート _NN_1'!$E$5,'チャート _NN_1'!$B$6,'チャート _NN_1'!$A$2,'チャート _NN_1'!$B$2,'チャート _NN_1'!$C$2,'チャート _NN_1'!$D$2</definedName>
    <definedName name="rsmChart_1_4">'チャート _NN_1'!$F$5,'チャート _NN_1'!$B$6,'チャート _NN_1'!$A$2,'チャート _NN_1'!$B$2,'チャート _NN_1'!$C$2,'チャート _NN_1'!$D$2</definedName>
    <definedName name="rsmChart_1_5">'チャート _NN_1'!$G$5,'チャート _NN_1'!$B$6,'チャート _NN_1'!$A$2,'チャート _NN_1'!$B$2,'チャート _NN_1'!$C$2,'チャート _NN_1'!$D$2</definedName>
    <definedName name="rsmChart_1_6">'チャート _NN_1'!$H$5,'チャート _NN_1'!$B$6,'チャート _NN_1'!$A$2,'チャート _NN_1'!$B$2,'チャート _NN_1'!$C$2,'チャート _NN_1'!$D$2</definedName>
    <definedName name="rsmChart_1_7">'チャート _NN_1'!$I$5,'チャート _NN_1'!$B$6,'チャート _NN_1'!$A$2,'チャート _NN_1'!$B$2,'チャート _NN_1'!$C$2,'チャート _NN_1'!$D$2</definedName>
    <definedName name="rsmChart_1_8">'チャート _NN_1'!$J$5,'チャート _NN_1'!$B$6,'チャート _NN_1'!$A$2,'チャート _NN_1'!$B$2,'チャート _NN_1'!$C$2,'チャート _NN_1'!$D$2</definedName>
    <definedName name="rsmChart_1_9">'チャート _NN_1'!$K$5,'チャート _NN_1'!$B$6,'チャート _NN_1'!$A$2,'チャート _NN_1'!$B$2,'チャート _NN_1'!$C$2,'チャート _NN_1'!$D$2</definedName>
    <definedName name="rsmChart_10_1">'チャート _NN_1'!$C$5,'チャート _NN_1'!$B$15,'チャート _NN_1'!$A$2,'チャート _NN_1'!$B$2,'チャート _NN_1'!$C$2,'チャート _NN_1'!$D$2</definedName>
    <definedName name="rsmChart_10_10">'チャート _NN_1'!$L$5,'チャート _NN_1'!$B$15,'チャート _NN_1'!$A$2,'チャート _NN_1'!$B$2,'チャート _NN_1'!$C$2,'チャート _NN_1'!$D$2</definedName>
    <definedName name="rsmChart_10_11">'チャート _NN_1'!$M$5,'チャート _NN_1'!$B$15,'チャート _NN_1'!$A$2,'チャート _NN_1'!$B$2,'チャート _NN_1'!$C$2,'チャート _NN_1'!$D$2</definedName>
    <definedName name="rsmChart_10_2">'チャート _NN_1'!$D$5,'チャート _NN_1'!$B$15,'チャート _NN_1'!$A$2,'チャート _NN_1'!$B$2,'チャート _NN_1'!$C$2,'チャート _NN_1'!$D$2</definedName>
    <definedName name="rsmChart_10_3">'チャート _NN_1'!$E$5,'チャート _NN_1'!$B$15,'チャート _NN_1'!$A$2,'チャート _NN_1'!$B$2,'チャート _NN_1'!$C$2,'チャート _NN_1'!$D$2</definedName>
    <definedName name="rsmChart_10_4">'チャート _NN_1'!$F$5,'チャート _NN_1'!$B$15,'チャート _NN_1'!$A$2,'チャート _NN_1'!$B$2,'チャート _NN_1'!$C$2,'チャート _NN_1'!$D$2</definedName>
    <definedName name="rsmChart_10_5">'チャート _NN_1'!$G$5,'チャート _NN_1'!$B$15,'チャート _NN_1'!$A$2,'チャート _NN_1'!$B$2,'チャート _NN_1'!$C$2,'チャート _NN_1'!$D$2</definedName>
    <definedName name="rsmChart_10_6">'チャート _NN_1'!$H$5,'チャート _NN_1'!$B$15,'チャート _NN_1'!$A$2,'チャート _NN_1'!$B$2,'チャート _NN_1'!$C$2,'チャート _NN_1'!$D$2</definedName>
    <definedName name="rsmChart_10_7">'チャート _NN_1'!$I$5,'チャート _NN_1'!$B$15,'チャート _NN_1'!$A$2,'チャート _NN_1'!$B$2,'チャート _NN_1'!$C$2,'チャート _NN_1'!$D$2</definedName>
    <definedName name="rsmChart_10_8">'チャート _NN_1'!$J$5,'チャート _NN_1'!$B$15,'チャート _NN_1'!$A$2,'チャート _NN_1'!$B$2,'チャート _NN_1'!$C$2,'チャート _NN_1'!$D$2</definedName>
    <definedName name="rsmChart_10_9">'チャート _NN_1'!$K$5,'チャート _NN_1'!$B$15,'チャート _NN_1'!$A$2,'チャート _NN_1'!$B$2,'チャート _NN_1'!$C$2,'チャート _NN_1'!$D$2</definedName>
    <definedName name="rsmChart_11_1">'チャート _NN_1'!$C$5,'チャート _NN_1'!$B$16,'チャート _NN_1'!$A$2,'チャート _NN_1'!$B$2,'チャート _NN_1'!$C$2,'チャート _NN_1'!$D$2</definedName>
    <definedName name="rsmChart_11_10">'チャート _NN_1'!$L$5,'チャート _NN_1'!$B$16,'チャート _NN_1'!$A$2,'チャート _NN_1'!$B$2,'チャート _NN_1'!$C$2,'チャート _NN_1'!$D$2</definedName>
    <definedName name="rsmChart_11_11">'チャート _NN_1'!$M$5,'チャート _NN_1'!$B$16,'チャート _NN_1'!$A$2,'チャート _NN_1'!$B$2,'チャート _NN_1'!$C$2,'チャート _NN_1'!$D$2</definedName>
    <definedName name="rsmChart_11_2">'チャート _NN_1'!$D$5,'チャート _NN_1'!$B$16,'チャート _NN_1'!$A$2,'チャート _NN_1'!$B$2,'チャート _NN_1'!$C$2,'チャート _NN_1'!$D$2</definedName>
    <definedName name="rsmChart_11_3">'チャート _NN_1'!$E$5,'チャート _NN_1'!$B$16,'チャート _NN_1'!$A$2,'チャート _NN_1'!$B$2,'チャート _NN_1'!$C$2,'チャート _NN_1'!$D$2</definedName>
    <definedName name="rsmChart_11_4">'チャート _NN_1'!$F$5,'チャート _NN_1'!$B$16,'チャート _NN_1'!$A$2,'チャート _NN_1'!$B$2,'チャート _NN_1'!$C$2,'チャート _NN_1'!$D$2</definedName>
    <definedName name="rsmChart_11_5">'チャート _NN_1'!$G$5,'チャート _NN_1'!$B$16,'チャート _NN_1'!$A$2,'チャート _NN_1'!$B$2,'チャート _NN_1'!$C$2,'チャート _NN_1'!$D$2</definedName>
    <definedName name="rsmChart_11_6">'チャート _NN_1'!$H$5,'チャート _NN_1'!$B$16,'チャート _NN_1'!$A$2,'チャート _NN_1'!$B$2,'チャート _NN_1'!$C$2,'チャート _NN_1'!$D$2</definedName>
    <definedName name="rsmChart_11_7">'チャート _NN_1'!$I$5,'チャート _NN_1'!$B$16,'チャート _NN_1'!$A$2,'チャート _NN_1'!$B$2,'チャート _NN_1'!$C$2,'チャート _NN_1'!$D$2</definedName>
    <definedName name="rsmChart_11_8">'チャート _NN_1'!$J$5,'チャート _NN_1'!$B$16,'チャート _NN_1'!$A$2,'チャート _NN_1'!$B$2,'チャート _NN_1'!$C$2,'チャート _NN_1'!$D$2</definedName>
    <definedName name="rsmChart_11_9">'チャート _NN_1'!$K$5,'チャート _NN_1'!$B$16,'チャート _NN_1'!$A$2,'チャート _NN_1'!$B$2,'チャート _NN_1'!$C$2,'チャート _NN_1'!$D$2</definedName>
    <definedName name="rsmChart_2_1">'チャート _NN_1'!$C$5,'チャート _NN_1'!$B$7,'チャート _NN_1'!$A$2,'チャート _NN_1'!$B$2,'チャート _NN_1'!$C$2,'チャート _NN_1'!$D$2</definedName>
    <definedName name="rsmChart_2_10">'チャート _NN_1'!$L$5,'チャート _NN_1'!$B$7,'チャート _NN_1'!$A$2,'チャート _NN_1'!$B$2,'チャート _NN_1'!$C$2,'チャート _NN_1'!$D$2</definedName>
    <definedName name="rsmChart_2_11">'チャート _NN_1'!$M$5,'チャート _NN_1'!$B$7,'チャート _NN_1'!$A$2,'チャート _NN_1'!$B$2,'チャート _NN_1'!$C$2,'チャート _NN_1'!$D$2</definedName>
    <definedName name="rsmChart_2_2">'チャート _NN_1'!$D$5,'チャート _NN_1'!$B$7,'チャート _NN_1'!$A$2,'チャート _NN_1'!$B$2,'チャート _NN_1'!$C$2,'チャート _NN_1'!$D$2</definedName>
    <definedName name="rsmChart_2_3">'チャート _NN_1'!$E$5,'チャート _NN_1'!$B$7,'チャート _NN_1'!$A$2,'チャート _NN_1'!$B$2,'チャート _NN_1'!$C$2,'チャート _NN_1'!$D$2</definedName>
    <definedName name="rsmChart_2_4">'チャート _NN_1'!$F$5,'チャート _NN_1'!$B$7,'チャート _NN_1'!$A$2,'チャート _NN_1'!$B$2,'チャート _NN_1'!$C$2,'チャート _NN_1'!$D$2</definedName>
    <definedName name="rsmChart_2_5">'チャート _NN_1'!$G$5,'チャート _NN_1'!$B$7,'チャート _NN_1'!$A$2,'チャート _NN_1'!$B$2,'チャート _NN_1'!$C$2,'チャート _NN_1'!$D$2</definedName>
    <definedName name="rsmChart_2_6">'チャート _NN_1'!$H$5,'チャート _NN_1'!$B$7,'チャート _NN_1'!$A$2,'チャート _NN_1'!$B$2,'チャート _NN_1'!$C$2,'チャート _NN_1'!$D$2</definedName>
    <definedName name="rsmChart_2_7">'チャート _NN_1'!$I$5,'チャート _NN_1'!$B$7,'チャート _NN_1'!$A$2,'チャート _NN_1'!$B$2,'チャート _NN_1'!$C$2,'チャート _NN_1'!$D$2</definedName>
    <definedName name="rsmChart_2_8">'チャート _NN_1'!$J$5,'チャート _NN_1'!$B$7,'チャート _NN_1'!$A$2,'チャート _NN_1'!$B$2,'チャート _NN_1'!$C$2,'チャート _NN_1'!$D$2</definedName>
    <definedName name="rsmChart_2_9">'チャート _NN_1'!$K$5,'チャート _NN_1'!$B$7,'チャート _NN_1'!$A$2,'チャート _NN_1'!$B$2,'チャート _NN_1'!$C$2,'チャート _NN_1'!$D$2</definedName>
    <definedName name="rsmChart_3_1">'チャート _NN_1'!$C$5,'チャート _NN_1'!$B$8,'チャート _NN_1'!$A$2,'チャート _NN_1'!$B$2,'チャート _NN_1'!$C$2,'チャート _NN_1'!$D$2</definedName>
    <definedName name="rsmChart_3_10">'チャート _NN_1'!$L$5,'チャート _NN_1'!$B$8,'チャート _NN_1'!$A$2,'チャート _NN_1'!$B$2,'チャート _NN_1'!$C$2,'チャート _NN_1'!$D$2</definedName>
    <definedName name="rsmChart_3_11">'チャート _NN_1'!$M$5,'チャート _NN_1'!$B$8,'チャート _NN_1'!$A$2,'チャート _NN_1'!$B$2,'チャート _NN_1'!$C$2,'チャート _NN_1'!$D$2</definedName>
    <definedName name="rsmChart_3_2">'チャート _NN_1'!$D$5,'チャート _NN_1'!$B$8,'チャート _NN_1'!$A$2,'チャート _NN_1'!$B$2,'チャート _NN_1'!$C$2,'チャート _NN_1'!$D$2</definedName>
    <definedName name="rsmChart_3_3">'チャート _NN_1'!$E$5,'チャート _NN_1'!$B$8,'チャート _NN_1'!$A$2,'チャート _NN_1'!$B$2,'チャート _NN_1'!$C$2,'チャート _NN_1'!$D$2</definedName>
    <definedName name="rsmChart_3_4">'チャート _NN_1'!$F$5,'チャート _NN_1'!$B$8,'チャート _NN_1'!$A$2,'チャート _NN_1'!$B$2,'チャート _NN_1'!$C$2,'チャート _NN_1'!$D$2</definedName>
    <definedName name="rsmChart_3_5">'チャート _NN_1'!$G$5,'チャート _NN_1'!$B$8,'チャート _NN_1'!$A$2,'チャート _NN_1'!$B$2,'チャート _NN_1'!$C$2,'チャート _NN_1'!$D$2</definedName>
    <definedName name="rsmChart_3_6">'チャート _NN_1'!$H$5,'チャート _NN_1'!$B$8,'チャート _NN_1'!$A$2,'チャート _NN_1'!$B$2,'チャート _NN_1'!$C$2,'チャート _NN_1'!$D$2</definedName>
    <definedName name="rsmChart_3_7">'チャート _NN_1'!$I$5,'チャート _NN_1'!$B$8,'チャート _NN_1'!$A$2,'チャート _NN_1'!$B$2,'チャート _NN_1'!$C$2,'チャート _NN_1'!$D$2</definedName>
    <definedName name="rsmChart_3_8">'チャート _NN_1'!$J$5,'チャート _NN_1'!$B$8,'チャート _NN_1'!$A$2,'チャート _NN_1'!$B$2,'チャート _NN_1'!$C$2,'チャート _NN_1'!$D$2</definedName>
    <definedName name="rsmChart_3_9">'チャート _NN_1'!$K$5,'チャート _NN_1'!$B$8,'チャート _NN_1'!$A$2,'チャート _NN_1'!$B$2,'チャート _NN_1'!$C$2,'チャート _NN_1'!$D$2</definedName>
    <definedName name="rsmChart_4_1">'チャート _NN_1'!$C$5,'チャート _NN_1'!$B$9,'チャート _NN_1'!$A$2,'チャート _NN_1'!$B$2,'チャート _NN_1'!$C$2,'チャート _NN_1'!$D$2</definedName>
    <definedName name="rsmChart_4_10">'チャート _NN_1'!$L$5,'チャート _NN_1'!$B$9,'チャート _NN_1'!$A$2,'チャート _NN_1'!$B$2,'チャート _NN_1'!$C$2,'チャート _NN_1'!$D$2</definedName>
    <definedName name="rsmChart_4_11">'チャート _NN_1'!$M$5,'チャート _NN_1'!$B$9,'チャート _NN_1'!$A$2,'チャート _NN_1'!$B$2,'チャート _NN_1'!$C$2,'チャート _NN_1'!$D$2</definedName>
    <definedName name="rsmChart_4_2">'チャート _NN_1'!$D$5,'チャート _NN_1'!$B$9,'チャート _NN_1'!$A$2,'チャート _NN_1'!$B$2,'チャート _NN_1'!$C$2,'チャート _NN_1'!$D$2</definedName>
    <definedName name="rsmChart_4_3">'チャート _NN_1'!$E$5,'チャート _NN_1'!$B$9,'チャート _NN_1'!$A$2,'チャート _NN_1'!$B$2,'チャート _NN_1'!$C$2,'チャート _NN_1'!$D$2</definedName>
    <definedName name="rsmChart_4_4">'チャート _NN_1'!$F$5,'チャート _NN_1'!$B$9,'チャート _NN_1'!$A$2,'チャート _NN_1'!$B$2,'チャート _NN_1'!$C$2,'チャート _NN_1'!$D$2</definedName>
    <definedName name="rsmChart_4_5">'チャート _NN_1'!$G$5,'チャート _NN_1'!$B$9,'チャート _NN_1'!$A$2,'チャート _NN_1'!$B$2,'チャート _NN_1'!$C$2,'チャート _NN_1'!$D$2</definedName>
    <definedName name="rsmChart_4_6">'チャート _NN_1'!$H$5,'チャート _NN_1'!$B$9,'チャート _NN_1'!$A$2,'チャート _NN_1'!$B$2,'チャート _NN_1'!$C$2,'チャート _NN_1'!$D$2</definedName>
    <definedName name="rsmChart_4_7">'チャート _NN_1'!$I$5,'チャート _NN_1'!$B$9,'チャート _NN_1'!$A$2,'チャート _NN_1'!$B$2,'チャート _NN_1'!$C$2,'チャート _NN_1'!$D$2</definedName>
    <definedName name="rsmChart_4_8">'チャート _NN_1'!$J$5,'チャート _NN_1'!$B$9,'チャート _NN_1'!$A$2,'チャート _NN_1'!$B$2,'チャート _NN_1'!$C$2,'チャート _NN_1'!$D$2</definedName>
    <definedName name="rsmChart_4_9">'チャート _NN_1'!$K$5,'チャート _NN_1'!$B$9,'チャート _NN_1'!$A$2,'チャート _NN_1'!$B$2,'チャート _NN_1'!$C$2,'チャート _NN_1'!$D$2</definedName>
    <definedName name="rsmChart_5_1">'チャート _NN_1'!$C$5,'チャート _NN_1'!$B$10,'チャート _NN_1'!$A$2,'チャート _NN_1'!$B$2,'チャート _NN_1'!$C$2,'チャート _NN_1'!$D$2</definedName>
    <definedName name="rsmChart_5_10">'チャート _NN_1'!$L$5,'チャート _NN_1'!$B$10,'チャート _NN_1'!$A$2,'チャート _NN_1'!$B$2,'チャート _NN_1'!$C$2,'チャート _NN_1'!$D$2</definedName>
    <definedName name="rsmChart_5_11">'チャート _NN_1'!$M$5,'チャート _NN_1'!$B$10,'チャート _NN_1'!$A$2,'チャート _NN_1'!$B$2,'チャート _NN_1'!$C$2,'チャート _NN_1'!$D$2</definedName>
    <definedName name="rsmChart_5_2">'チャート _NN_1'!$D$5,'チャート _NN_1'!$B$10,'チャート _NN_1'!$A$2,'チャート _NN_1'!$B$2,'チャート _NN_1'!$C$2,'チャート _NN_1'!$D$2</definedName>
    <definedName name="rsmChart_5_3">'チャート _NN_1'!$E$5,'チャート _NN_1'!$B$10,'チャート _NN_1'!$A$2,'チャート _NN_1'!$B$2,'チャート _NN_1'!$C$2,'チャート _NN_1'!$D$2</definedName>
    <definedName name="rsmChart_5_4">'チャート _NN_1'!$F$5,'チャート _NN_1'!$B$10,'チャート _NN_1'!$A$2,'チャート _NN_1'!$B$2,'チャート _NN_1'!$C$2,'チャート _NN_1'!$D$2</definedName>
    <definedName name="rsmChart_5_5">'チャート _NN_1'!$G$5,'チャート _NN_1'!$B$10,'チャート _NN_1'!$A$2,'チャート _NN_1'!$B$2,'チャート _NN_1'!$C$2,'チャート _NN_1'!$D$2</definedName>
    <definedName name="rsmChart_5_6">'チャート _NN_1'!$H$5,'チャート _NN_1'!$B$10,'チャート _NN_1'!$A$2,'チャート _NN_1'!$B$2,'チャート _NN_1'!$C$2,'チャート _NN_1'!$D$2</definedName>
    <definedName name="rsmChart_5_7">'チャート _NN_1'!$I$5,'チャート _NN_1'!$B$10,'チャート _NN_1'!$A$2,'チャート _NN_1'!$B$2,'チャート _NN_1'!$C$2,'チャート _NN_1'!$D$2</definedName>
    <definedName name="rsmChart_5_8">'チャート _NN_1'!$J$5,'チャート _NN_1'!$B$10,'チャート _NN_1'!$A$2,'チャート _NN_1'!$B$2,'チャート _NN_1'!$C$2,'チャート _NN_1'!$D$2</definedName>
    <definedName name="rsmChart_5_9">'チャート _NN_1'!$K$5,'チャート _NN_1'!$B$10,'チャート _NN_1'!$A$2,'チャート _NN_1'!$B$2,'チャート _NN_1'!$C$2,'チャート _NN_1'!$D$2</definedName>
    <definedName name="rsmChart_6_1">'チャート _NN_1'!$C$5,'チャート _NN_1'!$B$11,'チャート _NN_1'!$A$2,'チャート _NN_1'!$B$2,'チャート _NN_1'!$C$2,'チャート _NN_1'!$D$2</definedName>
    <definedName name="rsmChart_6_10">'チャート _NN_1'!$L$5,'チャート _NN_1'!$B$11,'チャート _NN_1'!$A$2,'チャート _NN_1'!$B$2,'チャート _NN_1'!$C$2,'チャート _NN_1'!$D$2</definedName>
    <definedName name="rsmChart_6_11">'チャート _NN_1'!$M$5,'チャート _NN_1'!$B$11,'チャート _NN_1'!$A$2,'チャート _NN_1'!$B$2,'チャート _NN_1'!$C$2,'チャート _NN_1'!$D$2</definedName>
    <definedName name="rsmChart_6_2">'チャート _NN_1'!$D$5,'チャート _NN_1'!$B$11,'チャート _NN_1'!$A$2,'チャート _NN_1'!$B$2,'チャート _NN_1'!$C$2,'チャート _NN_1'!$D$2</definedName>
    <definedName name="rsmChart_6_3">'チャート _NN_1'!$E$5,'チャート _NN_1'!$B$11,'チャート _NN_1'!$A$2,'チャート _NN_1'!$B$2,'チャート _NN_1'!$C$2,'チャート _NN_1'!$D$2</definedName>
    <definedName name="rsmChart_6_4">'チャート _NN_1'!$F$5,'チャート _NN_1'!$B$11,'チャート _NN_1'!$A$2,'チャート _NN_1'!$B$2,'チャート _NN_1'!$C$2,'チャート _NN_1'!$D$2</definedName>
    <definedName name="rsmChart_6_5">'チャート _NN_1'!$G$5,'チャート _NN_1'!$B$11,'チャート _NN_1'!$A$2,'チャート _NN_1'!$B$2,'チャート _NN_1'!$C$2,'チャート _NN_1'!$D$2</definedName>
    <definedName name="rsmChart_6_6">'チャート _NN_1'!$H$5,'チャート _NN_1'!$B$11,'チャート _NN_1'!$A$2,'チャート _NN_1'!$B$2,'チャート _NN_1'!$C$2,'チャート _NN_1'!$D$2</definedName>
    <definedName name="rsmChart_6_7">'チャート _NN_1'!$I$5,'チャート _NN_1'!$B$11,'チャート _NN_1'!$A$2,'チャート _NN_1'!$B$2,'チャート _NN_1'!$C$2,'チャート _NN_1'!$D$2</definedName>
    <definedName name="rsmChart_6_8">'チャート _NN_1'!$J$5,'チャート _NN_1'!$B$11,'チャート _NN_1'!$A$2,'チャート _NN_1'!$B$2,'チャート _NN_1'!$C$2,'チャート _NN_1'!$D$2</definedName>
    <definedName name="rsmChart_6_9">'チャート _NN_1'!$K$5,'チャート _NN_1'!$B$11,'チャート _NN_1'!$A$2,'チャート _NN_1'!$B$2,'チャート _NN_1'!$C$2,'チャート _NN_1'!$D$2</definedName>
    <definedName name="rsmChart_7_1">'チャート _NN_1'!$C$5,'チャート _NN_1'!$B$12,'チャート _NN_1'!$A$2,'チャート _NN_1'!$B$2,'チャート _NN_1'!$C$2,'チャート _NN_1'!$D$2</definedName>
    <definedName name="rsmChart_7_10">'チャート _NN_1'!$L$5,'チャート _NN_1'!$B$12,'チャート _NN_1'!$A$2,'チャート _NN_1'!$B$2,'チャート _NN_1'!$C$2,'チャート _NN_1'!$D$2</definedName>
    <definedName name="rsmChart_7_11">'チャート _NN_1'!$M$5,'チャート _NN_1'!$B$12,'チャート _NN_1'!$A$2,'チャート _NN_1'!$B$2,'チャート _NN_1'!$C$2,'チャート _NN_1'!$D$2</definedName>
    <definedName name="rsmChart_7_2">'チャート _NN_1'!$D$5,'チャート _NN_1'!$B$12,'チャート _NN_1'!$A$2,'チャート _NN_1'!$B$2,'チャート _NN_1'!$C$2,'チャート _NN_1'!$D$2</definedName>
    <definedName name="rsmChart_7_3">'チャート _NN_1'!$E$5,'チャート _NN_1'!$B$12,'チャート _NN_1'!$A$2,'チャート _NN_1'!$B$2,'チャート _NN_1'!$C$2,'チャート _NN_1'!$D$2</definedName>
    <definedName name="rsmChart_7_4">'チャート _NN_1'!$F$5,'チャート _NN_1'!$B$12,'チャート _NN_1'!$A$2,'チャート _NN_1'!$B$2,'チャート _NN_1'!$C$2,'チャート _NN_1'!$D$2</definedName>
    <definedName name="rsmChart_7_5">'チャート _NN_1'!$G$5,'チャート _NN_1'!$B$12,'チャート _NN_1'!$A$2,'チャート _NN_1'!$B$2,'チャート _NN_1'!$C$2,'チャート _NN_1'!$D$2</definedName>
    <definedName name="rsmChart_7_6">'チャート _NN_1'!$H$5,'チャート _NN_1'!$B$12,'チャート _NN_1'!$A$2,'チャート _NN_1'!$B$2,'チャート _NN_1'!$C$2,'チャート _NN_1'!$D$2</definedName>
    <definedName name="rsmChart_7_7">'チャート _NN_1'!$I$5,'チャート _NN_1'!$B$12,'チャート _NN_1'!$A$2,'チャート _NN_1'!$B$2,'チャート _NN_1'!$C$2,'チャート _NN_1'!$D$2</definedName>
    <definedName name="rsmChart_7_8">'チャート _NN_1'!$J$5,'チャート _NN_1'!$B$12,'チャート _NN_1'!$A$2,'チャート _NN_1'!$B$2,'チャート _NN_1'!$C$2,'チャート _NN_1'!$D$2</definedName>
    <definedName name="rsmChart_7_9">'チャート _NN_1'!$K$5,'チャート _NN_1'!$B$12,'チャート _NN_1'!$A$2,'チャート _NN_1'!$B$2,'チャート _NN_1'!$C$2,'チャート _NN_1'!$D$2</definedName>
    <definedName name="rsmChart_8_1">'チャート _NN_1'!$C$5,'チャート _NN_1'!$B$13,'チャート _NN_1'!$A$2,'チャート _NN_1'!$B$2,'チャート _NN_1'!$C$2,'チャート _NN_1'!$D$2</definedName>
    <definedName name="rsmChart_8_10">'チャート _NN_1'!$L$5,'チャート _NN_1'!$B$13,'チャート _NN_1'!$A$2,'チャート _NN_1'!$B$2,'チャート _NN_1'!$C$2,'チャート _NN_1'!$D$2</definedName>
    <definedName name="rsmChart_8_11">'チャート _NN_1'!$M$5,'チャート _NN_1'!$B$13,'チャート _NN_1'!$A$2,'チャート _NN_1'!$B$2,'チャート _NN_1'!$C$2,'チャート _NN_1'!$D$2</definedName>
    <definedName name="rsmChart_8_2">'チャート _NN_1'!$D$5,'チャート _NN_1'!$B$13,'チャート _NN_1'!$A$2,'チャート _NN_1'!$B$2,'チャート _NN_1'!$C$2,'チャート _NN_1'!$D$2</definedName>
    <definedName name="rsmChart_8_3">'チャート _NN_1'!$E$5,'チャート _NN_1'!$B$13,'チャート _NN_1'!$A$2,'チャート _NN_1'!$B$2,'チャート _NN_1'!$C$2,'チャート _NN_1'!$D$2</definedName>
    <definedName name="rsmChart_8_4">'チャート _NN_1'!$F$5,'チャート _NN_1'!$B$13,'チャート _NN_1'!$A$2,'チャート _NN_1'!$B$2,'チャート _NN_1'!$C$2,'チャート _NN_1'!$D$2</definedName>
    <definedName name="rsmChart_8_5">'チャート _NN_1'!$G$5,'チャート _NN_1'!$B$13,'チャート _NN_1'!$A$2,'チャート _NN_1'!$B$2,'チャート _NN_1'!$C$2,'チャート _NN_1'!$D$2</definedName>
    <definedName name="rsmChart_8_6">'チャート _NN_1'!$H$5,'チャート _NN_1'!$B$13,'チャート _NN_1'!$A$2,'チャート _NN_1'!$B$2,'チャート _NN_1'!$C$2,'チャート _NN_1'!$D$2</definedName>
    <definedName name="rsmChart_8_7">'チャート _NN_1'!$I$5,'チャート _NN_1'!$B$13,'チャート _NN_1'!$A$2,'チャート _NN_1'!$B$2,'チャート _NN_1'!$C$2,'チャート _NN_1'!$D$2</definedName>
    <definedName name="rsmChart_8_8">'チャート _NN_1'!$J$5,'チャート _NN_1'!$B$13,'チャート _NN_1'!$A$2,'チャート _NN_1'!$B$2,'チャート _NN_1'!$C$2,'チャート _NN_1'!$D$2</definedName>
    <definedName name="rsmChart_8_9">'チャート _NN_1'!$K$5,'チャート _NN_1'!$B$13,'チャート _NN_1'!$A$2,'チャート _NN_1'!$B$2,'チャート _NN_1'!$C$2,'チャート _NN_1'!$D$2</definedName>
    <definedName name="rsmChart_9_1">'チャート _NN_1'!$C$5,'チャート _NN_1'!$B$14,'チャート _NN_1'!$A$2,'チャート _NN_1'!$B$2,'チャート _NN_1'!$C$2,'チャート _NN_1'!$D$2</definedName>
    <definedName name="rsmChart_9_10">'チャート _NN_1'!$L$5,'チャート _NN_1'!$B$14,'チャート _NN_1'!$A$2,'チャート _NN_1'!$B$2,'チャート _NN_1'!$C$2,'チャート _NN_1'!$D$2</definedName>
    <definedName name="rsmChart_9_11">'チャート _NN_1'!$M$5,'チャート _NN_1'!$B$14,'チャート _NN_1'!$A$2,'チャート _NN_1'!$B$2,'チャート _NN_1'!$C$2,'チャート _NN_1'!$D$2</definedName>
    <definedName name="rsmChart_9_2">'チャート _NN_1'!$D$5,'チャート _NN_1'!$B$14,'チャート _NN_1'!$A$2,'チャート _NN_1'!$B$2,'チャート _NN_1'!$C$2,'チャート _NN_1'!$D$2</definedName>
    <definedName name="rsmChart_9_3">'チャート _NN_1'!$E$5,'チャート _NN_1'!$B$14,'チャート _NN_1'!$A$2,'チャート _NN_1'!$B$2,'チャート _NN_1'!$C$2,'チャート _NN_1'!$D$2</definedName>
    <definedName name="rsmChart_9_4">'チャート _NN_1'!$F$5,'チャート _NN_1'!$B$14,'チャート _NN_1'!$A$2,'チャート _NN_1'!$B$2,'チャート _NN_1'!$C$2,'チャート _NN_1'!$D$2</definedName>
    <definedName name="rsmChart_9_5">'チャート _NN_1'!$G$5,'チャート _NN_1'!$B$14,'チャート _NN_1'!$A$2,'チャート _NN_1'!$B$2,'チャート _NN_1'!$C$2,'チャート _NN_1'!$D$2</definedName>
    <definedName name="rsmChart_9_6">'チャート _NN_1'!$H$5,'チャート _NN_1'!$B$14,'チャート _NN_1'!$A$2,'チャート _NN_1'!$B$2,'チャート _NN_1'!$C$2,'チャート _NN_1'!$D$2</definedName>
    <definedName name="rsmChart_9_7">'チャート _NN_1'!$I$5,'チャート _NN_1'!$B$14,'チャート _NN_1'!$A$2,'チャート _NN_1'!$B$2,'チャート _NN_1'!$C$2,'チャート _NN_1'!$D$2</definedName>
    <definedName name="rsmChart_9_8">'チャート _NN_1'!$J$5,'チャート _NN_1'!$B$14,'チャート _NN_1'!$A$2,'チャート _NN_1'!$B$2,'チャート _NN_1'!$C$2,'チャート _NN_1'!$D$2</definedName>
    <definedName name="rsmChart_9_9">'チャート _NN_1'!$K$5,'チャート _NN_1'!$B$14,'チャート _NN_1'!$A$2,'チャート _NN_1'!$B$2,'チャート _NN_1'!$C$2,'チャート _NN_1'!$D$2</definedName>
    <definedName name="rsmRangeForVar1_step0">'テスト _NN_1'!$H$1,'テスト _NN_1'!$C$3,'テスト _NN_1'!$F$3,'テスト _NN_1'!$C$5,'テスト _NN_1'!$F$5,'テスト _NN_1'!$C$7</definedName>
    <definedName name="rsmRangeForVar1_step1">'テスト _NN_1'!$I$1,'テスト _NN_1'!$C$3,'テスト _NN_1'!$F$3,'テスト _NN_1'!$C$5,'テスト _NN_1'!$F$5,'テスト _NN_1'!$C$7</definedName>
    <definedName name="rsmRangeForVar1_step10">'テスト _NN_1'!$R$1,'テスト _NN_1'!$C$3,'テスト _NN_1'!$F$3,'テスト _NN_1'!$C$5,'テスト _NN_1'!$F$5,'テスト _NN_1'!$C$7</definedName>
    <definedName name="rsmRangeForVar1_step2">'テスト _NN_1'!$J$1,'テスト _NN_1'!$C$3,'テスト _NN_1'!$F$3,'テスト _NN_1'!$C$5,'テスト _NN_1'!$F$5,'テスト _NN_1'!$C$7</definedName>
    <definedName name="rsmRangeForVar1_step3">'テスト _NN_1'!$K$1,'テスト _NN_1'!$C$3,'テスト _NN_1'!$F$3,'テスト _NN_1'!$C$5,'テスト _NN_1'!$F$5,'テスト _NN_1'!$C$7</definedName>
    <definedName name="rsmRangeForVar1_step4">'テスト _NN_1'!$L$1,'テスト _NN_1'!$C$3,'テスト _NN_1'!$F$3,'テスト _NN_1'!$C$5,'テスト _NN_1'!$F$5,'テスト _NN_1'!$C$7</definedName>
    <definedName name="rsmRangeForVar1_step5">'テスト _NN_1'!$M$1,'テスト _NN_1'!$C$3,'テスト _NN_1'!$F$3,'テスト _NN_1'!$C$5,'テスト _NN_1'!$F$5,'テスト _NN_1'!$C$7</definedName>
    <definedName name="rsmRangeForVar1_step6">'テスト _NN_1'!$N$1,'テスト _NN_1'!$C$3,'テスト _NN_1'!$F$3,'テスト _NN_1'!$C$5,'テスト _NN_1'!$F$5,'テスト _NN_1'!$C$7</definedName>
    <definedName name="rsmRangeForVar1_step7">'テスト _NN_1'!$O$1,'テスト _NN_1'!$C$3,'テスト _NN_1'!$F$3,'テスト _NN_1'!$C$5,'テスト _NN_1'!$F$5,'テスト _NN_1'!$C$7</definedName>
    <definedName name="rsmRangeForVar1_step8">'テスト _NN_1'!$P$1,'テスト _NN_1'!$C$3,'テスト _NN_1'!$F$3,'テスト _NN_1'!$C$5,'テスト _NN_1'!$F$5,'テスト _NN_1'!$C$7</definedName>
    <definedName name="rsmRangeForVar1_step9">'テスト _NN_1'!$Q$1,'テスト _NN_1'!$C$3,'テスト _NN_1'!$F$3,'テスト _NN_1'!$C$5,'テスト _NN_1'!$F$5,'テスト _NN_1'!$C$7</definedName>
    <definedName name="rsmRangeForVar2_step0">'テスト _NN_1'!$C$12,'テスト _NN_1'!$H$10,'テスト _NN_1'!$F$12,'テスト _NN_1'!$C$14,'テスト _NN_1'!$F$14,'テスト _NN_1'!$C$16</definedName>
    <definedName name="rsmRangeForVar2_step1">'テスト _NN_1'!$C$12,'テスト _NN_1'!$I$10,'テスト _NN_1'!$F$12,'テスト _NN_1'!$C$14,'テスト _NN_1'!$F$14,'テスト _NN_1'!$C$16</definedName>
    <definedName name="rsmRangeForVar2_step10">'テスト _NN_1'!$C$12,'テスト _NN_1'!$R$10,'テスト _NN_1'!$F$12,'テスト _NN_1'!$C$14,'テスト _NN_1'!$F$14,'テスト _NN_1'!$C$16</definedName>
    <definedName name="rsmRangeForVar2_step2">'テスト _NN_1'!$C$12,'テスト _NN_1'!$J$10,'テスト _NN_1'!$F$12,'テスト _NN_1'!$C$14,'テスト _NN_1'!$F$14,'テスト _NN_1'!$C$16</definedName>
    <definedName name="rsmRangeForVar2_step3">'テスト _NN_1'!$C$12,'テスト _NN_1'!$K$10,'テスト _NN_1'!$F$12,'テスト _NN_1'!$C$14,'テスト _NN_1'!$F$14,'テスト _NN_1'!$C$16</definedName>
    <definedName name="rsmRangeForVar2_step4">'テスト _NN_1'!$C$12,'テスト _NN_1'!$L$10,'テスト _NN_1'!$F$12,'テスト _NN_1'!$C$14,'テスト _NN_1'!$F$14,'テスト _NN_1'!$C$16</definedName>
    <definedName name="rsmRangeForVar2_step5">'テスト _NN_1'!$C$12,'テスト _NN_1'!$M$10,'テスト _NN_1'!$F$12,'テスト _NN_1'!$C$14,'テスト _NN_1'!$F$14,'テスト _NN_1'!$C$16</definedName>
    <definedName name="rsmRangeForVar2_step6">'テスト _NN_1'!$C$12,'テスト _NN_1'!$N$10,'テスト _NN_1'!$F$12,'テスト _NN_1'!$C$14,'テスト _NN_1'!$F$14,'テスト _NN_1'!$C$16</definedName>
    <definedName name="rsmRangeForVar2_step7">'テスト _NN_1'!$C$12,'テスト _NN_1'!$O$10,'テスト _NN_1'!$F$12,'テスト _NN_1'!$C$14,'テスト _NN_1'!$F$14,'テスト _NN_1'!$C$16</definedName>
    <definedName name="rsmRangeForVar2_step8">'テスト _NN_1'!$C$12,'テスト _NN_1'!$P$10,'テスト _NN_1'!$F$12,'テスト _NN_1'!$C$14,'テスト _NN_1'!$F$14,'テスト _NN_1'!$C$16</definedName>
    <definedName name="rsmRangeForVar2_step9">'テスト _NN_1'!$C$12,'テスト _NN_1'!$Q$10,'テスト _NN_1'!$F$12,'テスト _NN_1'!$C$14,'テスト _NN_1'!$F$14,'テスト _NN_1'!$C$16</definedName>
    <definedName name="rsmRangeForVar3_step0">'テスト _NN_1'!$C$21,'テスト _NN_1'!$F$21,'テスト _NN_1'!$H$19,'テスト _NN_1'!$C$23,'テスト _NN_1'!$F$23,'テスト _NN_1'!$C$25</definedName>
    <definedName name="rsmRangeForVar3_step1">'テスト _NN_1'!$C$21,'テスト _NN_1'!$F$21,'テスト _NN_1'!$I$19,'テスト _NN_1'!$C$23,'テスト _NN_1'!$F$23,'テスト _NN_1'!$C$25</definedName>
    <definedName name="rsmRangeForVar3_step10">'テスト _NN_1'!$C$21,'テスト _NN_1'!$F$21,'テスト _NN_1'!$R$19,'テスト _NN_1'!$C$23,'テスト _NN_1'!$F$23,'テスト _NN_1'!$C$25</definedName>
    <definedName name="rsmRangeForVar3_step2">'テスト _NN_1'!$C$21,'テスト _NN_1'!$F$21,'テスト _NN_1'!$J$19,'テスト _NN_1'!$C$23,'テスト _NN_1'!$F$23,'テスト _NN_1'!$C$25</definedName>
    <definedName name="rsmRangeForVar3_step3">'テスト _NN_1'!$C$21,'テスト _NN_1'!$F$21,'テスト _NN_1'!$K$19,'テスト _NN_1'!$C$23,'テスト _NN_1'!$F$23,'テスト _NN_1'!$C$25</definedName>
    <definedName name="rsmRangeForVar3_step4">'テスト _NN_1'!$C$21,'テスト _NN_1'!$F$21,'テスト _NN_1'!$L$19,'テスト _NN_1'!$C$23,'テスト _NN_1'!$F$23,'テスト _NN_1'!$C$25</definedName>
    <definedName name="rsmRangeForVar3_step5">'テスト _NN_1'!$C$21,'テスト _NN_1'!$F$21,'テスト _NN_1'!$M$19,'テスト _NN_1'!$C$23,'テスト _NN_1'!$F$23,'テスト _NN_1'!$C$25</definedName>
    <definedName name="rsmRangeForVar3_step6">'テスト _NN_1'!$C$21,'テスト _NN_1'!$F$21,'テスト _NN_1'!$N$19,'テスト _NN_1'!$C$23,'テスト _NN_1'!$F$23,'テスト _NN_1'!$C$25</definedName>
    <definedName name="rsmRangeForVar3_step7">'テスト _NN_1'!$C$21,'テスト _NN_1'!$F$21,'テスト _NN_1'!$O$19,'テスト _NN_1'!$C$23,'テスト _NN_1'!$F$23,'テスト _NN_1'!$C$25</definedName>
    <definedName name="rsmRangeForVar3_step8">'テスト _NN_1'!$C$21,'テスト _NN_1'!$F$21,'テスト _NN_1'!$P$19,'テスト _NN_1'!$C$23,'テスト _NN_1'!$F$23,'テスト _NN_1'!$C$25</definedName>
    <definedName name="rsmRangeForVar3_step9">'テスト _NN_1'!$C$21,'テスト _NN_1'!$F$21,'テスト _NN_1'!$Q$19,'テスト _NN_1'!$C$23,'テスト _NN_1'!$F$23,'テスト _NN_1'!$C$25</definedName>
    <definedName name="rsmRangeForVar4_step0">'テスト _NN_1'!$C$30,'テスト _NN_1'!$F$30,'テスト _NN_1'!$C$32,'テスト _NN_1'!$H$28,'テスト _NN_1'!$F$32,'テスト _NN_1'!$C$34</definedName>
    <definedName name="rsmRangeForVar4_step1">'テスト _NN_1'!$C$30,'テスト _NN_1'!$F$30,'テスト _NN_1'!$C$32,'テスト _NN_1'!$I$28,'テスト _NN_1'!$F$32,'テスト _NN_1'!$C$34</definedName>
    <definedName name="rsmRangeForVar4_step10">'テスト _NN_1'!$C$30,'テスト _NN_1'!$F$30,'テスト _NN_1'!$C$32,'テスト _NN_1'!$R$28,'テスト _NN_1'!$F$32,'テスト _NN_1'!$C$34</definedName>
    <definedName name="rsmRangeForVar4_step2">'テスト _NN_1'!$C$30,'テスト _NN_1'!$F$30,'テスト _NN_1'!$C$32,'テスト _NN_1'!$J$28,'テスト _NN_1'!$F$32,'テスト _NN_1'!$C$34</definedName>
    <definedName name="rsmRangeForVar4_step3">'テスト _NN_1'!$C$30,'テスト _NN_1'!$F$30,'テスト _NN_1'!$C$32,'テスト _NN_1'!$K$28,'テスト _NN_1'!$F$32,'テスト _NN_1'!$C$34</definedName>
    <definedName name="rsmRangeForVar4_step4">'テスト _NN_1'!$C$30,'テスト _NN_1'!$F$30,'テスト _NN_1'!$C$32,'テスト _NN_1'!$L$28,'テスト _NN_1'!$F$32,'テスト _NN_1'!$C$34</definedName>
    <definedName name="rsmRangeForVar4_step5">'テスト _NN_1'!$C$30,'テスト _NN_1'!$F$30,'テスト _NN_1'!$C$32,'テスト _NN_1'!$M$28,'テスト _NN_1'!$F$32,'テスト _NN_1'!$C$34</definedName>
    <definedName name="rsmRangeForVar4_step6">'テスト _NN_1'!$C$30,'テスト _NN_1'!$F$30,'テスト _NN_1'!$C$32,'テスト _NN_1'!$N$28,'テスト _NN_1'!$F$32,'テスト _NN_1'!$C$34</definedName>
    <definedName name="rsmRangeForVar4_step7">'テスト _NN_1'!$C$30,'テスト _NN_1'!$F$30,'テスト _NN_1'!$C$32,'テスト _NN_1'!$O$28,'テスト _NN_1'!$F$32,'テスト _NN_1'!$C$34</definedName>
    <definedName name="rsmRangeForVar4_step8">'テスト _NN_1'!$C$30,'テスト _NN_1'!$F$30,'テスト _NN_1'!$C$32,'テスト _NN_1'!$P$28,'テスト _NN_1'!$F$32,'テスト _NN_1'!$C$34</definedName>
    <definedName name="rsmRangeForVar4_step9">'テスト _NN_1'!$C$30,'テスト _NN_1'!$F$30,'テスト _NN_1'!$C$32,'テスト _NN_1'!$Q$28,'テスト _NN_1'!$F$32,'テスト _NN_1'!$C$34</definedName>
    <definedName name="rsmRangeForVar5_step0">'テスト _NN_1'!$C$39,'テスト _NN_1'!$F$39,'テスト _NN_1'!$C$41,'テスト _NN_1'!$F$41,'テスト _NN_1'!$H$37,'テスト _NN_1'!$C$43</definedName>
    <definedName name="rsmRangeForVar5_step1">'テスト _NN_1'!$C$39,'テスト _NN_1'!$F$39,'テスト _NN_1'!$C$41,'テスト _NN_1'!$F$41,'テスト _NN_1'!$I$37,'テスト _NN_1'!$C$43</definedName>
    <definedName name="rsmRangeForVar5_step10">'テスト _NN_1'!$C$39,'テスト _NN_1'!$F$39,'テスト _NN_1'!$C$41,'テスト _NN_1'!$F$41,'テスト _NN_1'!$R$37,'テスト _NN_1'!$C$43</definedName>
    <definedName name="rsmRangeForVar5_step2">'テスト _NN_1'!$C$39,'テスト _NN_1'!$F$39,'テスト _NN_1'!$C$41,'テスト _NN_1'!$F$41,'テスト _NN_1'!$J$37,'テスト _NN_1'!$C$43</definedName>
    <definedName name="rsmRangeForVar5_step3">'テスト _NN_1'!$C$39,'テスト _NN_1'!$F$39,'テスト _NN_1'!$C$41,'テスト _NN_1'!$F$41,'テスト _NN_1'!$K$37,'テスト _NN_1'!$C$43</definedName>
    <definedName name="rsmRangeForVar5_step4">'テスト _NN_1'!$C$39,'テスト _NN_1'!$F$39,'テスト _NN_1'!$C$41,'テスト _NN_1'!$F$41,'テスト _NN_1'!$L$37,'テスト _NN_1'!$C$43</definedName>
    <definedName name="rsmRangeForVar5_step5">'テスト _NN_1'!$C$39,'テスト _NN_1'!$F$39,'テスト _NN_1'!$C$41,'テスト _NN_1'!$F$41,'テスト _NN_1'!$M$37,'テスト _NN_1'!$C$43</definedName>
    <definedName name="rsmRangeForVar5_step6">'テスト _NN_1'!$C$39,'テスト _NN_1'!$F$39,'テスト _NN_1'!$C$41,'テスト _NN_1'!$F$41,'テスト _NN_1'!$N$37,'テスト _NN_1'!$C$43</definedName>
    <definedName name="rsmRangeForVar5_step7">'テスト _NN_1'!$C$39,'テスト _NN_1'!$F$39,'テスト _NN_1'!$C$41,'テスト _NN_1'!$F$41,'テスト _NN_1'!$O$37,'テスト _NN_1'!$C$43</definedName>
    <definedName name="rsmRangeForVar5_step8">'テスト _NN_1'!$C$39,'テスト _NN_1'!$F$39,'テスト _NN_1'!$C$41,'テスト _NN_1'!$F$41,'テスト _NN_1'!$P$37,'テスト _NN_1'!$C$43</definedName>
    <definedName name="rsmRangeForVar5_step9">'テスト _NN_1'!$C$39,'テスト _NN_1'!$F$39,'テスト _NN_1'!$C$41,'テスト _NN_1'!$F$41,'テスト _NN_1'!$Q$37,'テスト _NN_1'!$C$43</definedName>
    <definedName name="rsmRangeForVar6_step0">'テスト _NN_1'!$C$48,'テスト _NN_1'!$F$48,'テスト _NN_1'!$C$50,'テスト _NN_1'!$F$50,'テスト _NN_1'!$C$52,'テスト _NN_1'!$H$46</definedName>
    <definedName name="rsmRangeForVar6_step1">'テスト _NN_1'!$C$48,'テスト _NN_1'!$F$48,'テスト _NN_1'!$C$50,'テスト _NN_1'!$F$50,'テスト _NN_1'!$C$52,'テスト _NN_1'!$I$46</definedName>
    <definedName name="rsmRangeForVar6_step10">'テスト _NN_1'!$C$48,'テスト _NN_1'!$F$48,'テスト _NN_1'!$C$50,'テスト _NN_1'!$F$50,'テスト _NN_1'!$C$52,'テスト _NN_1'!$R$46</definedName>
    <definedName name="rsmRangeForVar6_step2">'テスト _NN_1'!$C$48,'テスト _NN_1'!$F$48,'テスト _NN_1'!$C$50,'テスト _NN_1'!$F$50,'テスト _NN_1'!$C$52,'テスト _NN_1'!$J$46</definedName>
    <definedName name="rsmRangeForVar6_step3">'テスト _NN_1'!$C$48,'テスト _NN_1'!$F$48,'テスト _NN_1'!$C$50,'テスト _NN_1'!$F$50,'テスト _NN_1'!$C$52,'テスト _NN_1'!$K$46</definedName>
    <definedName name="rsmRangeForVar6_step4">'テスト _NN_1'!$C$48,'テスト _NN_1'!$F$48,'テスト _NN_1'!$C$50,'テスト _NN_1'!$F$50,'テスト _NN_1'!$C$52,'テスト _NN_1'!$L$46</definedName>
    <definedName name="rsmRangeForVar6_step5">'テスト _NN_1'!$C$48,'テスト _NN_1'!$F$48,'テスト _NN_1'!$C$50,'テスト _NN_1'!$F$50,'テスト _NN_1'!$C$52,'テスト _NN_1'!$M$46</definedName>
    <definedName name="rsmRangeForVar6_step6">'テスト _NN_1'!$C$48,'テスト _NN_1'!$F$48,'テスト _NN_1'!$C$50,'テスト _NN_1'!$F$50,'テスト _NN_1'!$C$52,'テスト _NN_1'!$N$46</definedName>
    <definedName name="rsmRangeForVar6_step7">'テスト _NN_1'!$C$48,'テスト _NN_1'!$F$48,'テスト _NN_1'!$C$50,'テスト _NN_1'!$F$50,'テスト _NN_1'!$C$52,'テスト _NN_1'!$O$46</definedName>
    <definedName name="rsmRangeForVar6_step8">'テスト _NN_1'!$C$48,'テスト _NN_1'!$F$48,'テスト _NN_1'!$C$50,'テスト _NN_1'!$F$50,'テスト _NN_1'!$C$52,'テスト _NN_1'!$P$46</definedName>
    <definedName name="rsmRangeForVar6_step9">'テスト _NN_1'!$C$48,'テスト _NN_1'!$F$48,'テスト _NN_1'!$C$50,'テスト _NN_1'!$F$50,'テスト _NN_1'!$C$52,'テスト _NN_1'!$Q$46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H2" i="4"/>
  <c r="L6" i="3"/>
  <c r="M20" i="4"/>
  <c r="J16" i="3"/>
  <c r="F6" i="3"/>
  <c r="F7" i="3"/>
  <c r="K2" i="4"/>
  <c r="I16" i="3"/>
  <c r="H14" i="3"/>
  <c r="F9" i="3"/>
  <c r="M14" i="3"/>
  <c r="J8" i="3"/>
  <c r="P2" i="4"/>
  <c r="K16" i="3"/>
  <c r="F8" i="3"/>
  <c r="I8" i="3"/>
  <c r="L14" i="3"/>
  <c r="R2" i="4"/>
  <c r="I9" i="3"/>
  <c r="L47" i="4"/>
  <c r="Q47" i="4"/>
  <c r="R11" i="4"/>
  <c r="H47" i="4"/>
  <c r="J20" i="4"/>
  <c r="J7" i="3"/>
  <c r="J14" i="3"/>
  <c r="Q29" i="4"/>
  <c r="R29" i="4"/>
  <c r="P38" i="4"/>
  <c r="I13" i="3"/>
  <c r="I10" i="3"/>
  <c r="R47" i="4"/>
  <c r="M12" i="3"/>
  <c r="F13" i="3"/>
  <c r="D13" i="3"/>
  <c r="I12" i="3"/>
  <c r="O2" i="4"/>
  <c r="D11" i="3"/>
  <c r="M11" i="4"/>
  <c r="M9" i="3"/>
  <c r="C11" i="3"/>
  <c r="H29" i="4"/>
  <c r="Q2" i="4"/>
  <c r="E7" i="3"/>
  <c r="K12" i="3"/>
  <c r="K10" i="3"/>
  <c r="L15" i="3"/>
  <c r="P47" i="4"/>
  <c r="N2" i="4"/>
  <c r="I47" i="4"/>
  <c r="P11" i="4"/>
  <c r="G15" i="3"/>
  <c r="I14" i="3"/>
  <c r="J11" i="4"/>
  <c r="J47" i="4"/>
  <c r="L11" i="4"/>
  <c r="C6" i="3"/>
  <c r="O29" i="4"/>
  <c r="F10" i="3"/>
  <c r="P20" i="4"/>
  <c r="N38" i="4"/>
  <c r="D16" i="3"/>
  <c r="C7" i="3"/>
  <c r="L11" i="3"/>
  <c r="I6" i="3"/>
  <c r="C16" i="3"/>
  <c r="D8" i="3"/>
  <c r="O47" i="4"/>
  <c r="H16" i="3"/>
  <c r="L16" i="3"/>
  <c r="C12" i="3"/>
  <c r="M13" i="3"/>
  <c r="L2" i="4"/>
  <c r="M7" i="3"/>
  <c r="D14" i="3"/>
  <c r="R20" i="4"/>
  <c r="E9" i="3"/>
  <c r="I38" i="4"/>
  <c r="C15" i="3"/>
  <c r="K7" i="3"/>
  <c r="K6" i="3"/>
  <c r="O20" i="4"/>
  <c r="L7" i="3"/>
  <c r="J9" i="3"/>
  <c r="L9" i="3"/>
  <c r="N20" i="4"/>
  <c r="C13" i="3"/>
  <c r="G9" i="3"/>
  <c r="D12" i="3"/>
  <c r="K38" i="4"/>
  <c r="M8" i="3"/>
  <c r="E15" i="3"/>
  <c r="E13" i="3"/>
  <c r="J15" i="3"/>
  <c r="H6" i="3"/>
  <c r="J12" i="3"/>
  <c r="Q38" i="4"/>
  <c r="M2" i="4"/>
  <c r="I11" i="3"/>
  <c r="D7" i="3"/>
  <c r="E8" i="3"/>
  <c r="L12" i="3"/>
  <c r="K13" i="3"/>
  <c r="C8" i="3"/>
  <c r="I2" i="4"/>
  <c r="H9" i="3"/>
  <c r="K11" i="3"/>
  <c r="F11" i="3"/>
  <c r="C14" i="3"/>
  <c r="O38" i="4"/>
  <c r="N29" i="4"/>
  <c r="K14" i="3"/>
  <c r="K9" i="3"/>
  <c r="H15" i="3"/>
  <c r="L8" i="3"/>
  <c r="K29" i="4"/>
  <c r="J2" i="4"/>
  <c r="J38" i="4"/>
  <c r="R38" i="4"/>
  <c r="F14" i="3"/>
  <c r="I11" i="4"/>
  <c r="H38" i="4"/>
  <c r="I15" i="3"/>
  <c r="F15" i="3"/>
  <c r="K20" i="4"/>
  <c r="M10" i="3"/>
  <c r="E12" i="3"/>
  <c r="J29" i="4"/>
  <c r="L10" i="3"/>
  <c r="E6" i="3"/>
  <c r="D15" i="3"/>
  <c r="G16" i="3"/>
  <c r="J11" i="3"/>
  <c r="I7" i="3"/>
  <c r="J10" i="3"/>
  <c r="H13" i="3"/>
  <c r="E16" i="3"/>
  <c r="D6" i="3"/>
  <c r="L13" i="3"/>
  <c r="K8" i="3"/>
  <c r="Q20" i="4"/>
  <c r="M47" i="4"/>
  <c r="E11" i="3"/>
  <c r="M11" i="3"/>
  <c r="H11" i="3"/>
  <c r="K47" i="4"/>
  <c r="F12" i="3"/>
  <c r="N47" i="4"/>
  <c r="O11" i="4"/>
  <c r="Q11" i="4"/>
  <c r="D10" i="3"/>
  <c r="E14" i="3"/>
  <c r="L20" i="4"/>
  <c r="G10" i="3"/>
  <c r="H7" i="3"/>
  <c r="G8" i="3"/>
  <c r="F16" i="3"/>
  <c r="C9" i="3"/>
  <c r="N11" i="4"/>
  <c r="M15" i="3"/>
  <c r="L38" i="4"/>
  <c r="P29" i="4"/>
  <c r="H8" i="3"/>
  <c r="M38" i="4"/>
  <c r="H11" i="4"/>
  <c r="G12" i="3"/>
  <c r="G13" i="3"/>
  <c r="H12" i="3"/>
  <c r="J13" i="3"/>
  <c r="G14" i="3"/>
  <c r="G11" i="3"/>
  <c r="H10" i="3"/>
  <c r="I20" i="4"/>
  <c r="I29" i="4"/>
  <c r="K15" i="3"/>
  <c r="H20" i="4"/>
  <c r="D9" i="3"/>
  <c r="C10" i="3"/>
  <c r="J6" i="3"/>
  <c r="L29" i="4"/>
  <c r="K11" i="4"/>
  <c r="M29" i="4"/>
  <c r="M6" i="3"/>
  <c r="G6" i="3"/>
  <c r="M16" i="3"/>
  <c r="G7" i="3"/>
  <c r="E10" i="3"/>
</calcChain>
</file>

<file path=xl/sharedStrings.xml><?xml version="1.0" encoding="utf-8"?>
<sst xmlns="http://schemas.openxmlformats.org/spreadsheetml/2006/main" count="44" uniqueCount="14">
  <si>
    <t>A</t>
  </si>
  <si>
    <t>Battセル数</t>
  </si>
  <si>
    <t>Cd</t>
  </si>
  <si>
    <t>Frギア比</t>
  </si>
  <si>
    <t>IpRank</t>
  </si>
  <si>
    <t>RRC</t>
  </si>
  <si>
    <t>燃費</t>
  </si>
  <si>
    <t>variables ranges</t>
  </si>
  <si>
    <t>A</t>
    <phoneticPr fontId="1"/>
  </si>
  <si>
    <t>Battセル数</t>
    <phoneticPr fontId="1"/>
  </si>
  <si>
    <t>Cd</t>
    <phoneticPr fontId="1"/>
  </si>
  <si>
    <t>Frギア比</t>
    <phoneticPr fontId="1"/>
  </si>
  <si>
    <t>IpRank</t>
    <phoneticPr fontId="1"/>
  </si>
  <si>
    <t>RRC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</si>
</sst>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C8C8C8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AAAAAA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_NN_1'!$H$1:$R$1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xVal>
          <c:yVal>
            <c:numRef>
              <c:f>'テスト _NN_1'!$H$2:$R$2</c:f>
              <c:numCache>
                <c:formatCode>General</c:formatCode>
                <c:ptCount val="11"/>
                <c:pt idx="0">
                  <c:v>17.280570621137709</c:v>
                </c:pt>
                <c:pt idx="1">
                  <c:v>17.234761123369257</c:v>
                </c:pt>
                <c:pt idx="2">
                  <c:v>17.18907897376538</c:v>
                </c:pt>
                <c:pt idx="3">
                  <c:v>17.143539669492458</c:v>
                </c:pt>
                <c:pt idx="4">
                  <c:v>17.098167972996997</c:v>
                </c:pt>
                <c:pt idx="5">
                  <c:v>17.053015863278947</c:v>
                </c:pt>
                <c:pt idx="6">
                  <c:v>17.0081295681386</c:v>
                </c:pt>
                <c:pt idx="7">
                  <c:v>16.963500012125071</c:v>
                </c:pt>
                <c:pt idx="8">
                  <c:v>16.919061636822612</c:v>
                </c:pt>
                <c:pt idx="9">
                  <c:v>16.874734472683844</c:v>
                </c:pt>
                <c:pt idx="10">
                  <c:v>16.830465650265062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D7-4D48-829C-F0CA3FA1C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25448"/>
        <c:axId val="494925808"/>
      </c:scatterChart>
      <c:valAx>
        <c:axId val="494925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925808"/>
        <c:crosses val="autoZero"/>
        <c:crossBetween val="midCat"/>
      </c:valAx>
      <c:valAx>
        <c:axId val="494925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925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_NN_1'!$H$10:$R$10</c:f>
              <c:numCache>
                <c:formatCode>General</c:formatCode>
                <c:ptCount val="11"/>
                <c:pt idx="0">
                  <c:v>72.001827233937462</c:v>
                </c:pt>
                <c:pt idx="1">
                  <c:v>72.801428187747547</c:v>
                </c:pt>
                <c:pt idx="2">
                  <c:v>73.601029141557632</c:v>
                </c:pt>
                <c:pt idx="3">
                  <c:v>74.400630095367717</c:v>
                </c:pt>
                <c:pt idx="4">
                  <c:v>75.200231049177802</c:v>
                </c:pt>
                <c:pt idx="5">
                  <c:v>75.999832002987873</c:v>
                </c:pt>
                <c:pt idx="6">
                  <c:v>76.799432956797958</c:v>
                </c:pt>
                <c:pt idx="7">
                  <c:v>77.599033910608043</c:v>
                </c:pt>
                <c:pt idx="8">
                  <c:v>78.398634864418128</c:v>
                </c:pt>
                <c:pt idx="9">
                  <c:v>79.198235818228213</c:v>
                </c:pt>
                <c:pt idx="10">
                  <c:v>79.997836772038298</c:v>
                </c:pt>
              </c:numCache>
            </c:numRef>
          </c:xVal>
          <c:yVal>
            <c:numRef>
              <c:f>'テスト _NN_1'!$H$11:$R$11</c:f>
              <c:numCache>
                <c:formatCode>General</c:formatCode>
                <c:ptCount val="11"/>
                <c:pt idx="0">
                  <c:v>17.026128413651062</c:v>
                </c:pt>
                <c:pt idx="1">
                  <c:v>17.031462061266293</c:v>
                </c:pt>
                <c:pt idx="2">
                  <c:v>17.036857455782656</c:v>
                </c:pt>
                <c:pt idx="3">
                  <c:v>17.042249489187689</c:v>
                </c:pt>
                <c:pt idx="4">
                  <c:v>17.047624117248628</c:v>
                </c:pt>
                <c:pt idx="5">
                  <c:v>17.053015863278947</c:v>
                </c:pt>
                <c:pt idx="6">
                  <c:v>17.058455341956485</c:v>
                </c:pt>
                <c:pt idx="7">
                  <c:v>17.063928946596068</c:v>
                </c:pt>
                <c:pt idx="8">
                  <c:v>17.069390482666943</c:v>
                </c:pt>
                <c:pt idx="9">
                  <c:v>17.074797894593623</c:v>
                </c:pt>
                <c:pt idx="10">
                  <c:v>17.080140784528016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5-4015-9242-F9C94FBA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42360"/>
        <c:axId val="565642720"/>
      </c:scatterChart>
      <c:valAx>
        <c:axId val="565642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Batt</a:t>
                </a:r>
                <a:r>
                  <a:rPr lang="ja-JP" altLang="en-US"/>
                  <a:t>セル数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642720"/>
        <c:crosses val="autoZero"/>
        <c:crossBetween val="midCat"/>
      </c:valAx>
      <c:valAx>
        <c:axId val="56564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6423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_NN_1'!$H$19:$R$19</c:f>
              <c:numCache>
                <c:formatCode>General</c:formatCode>
                <c:ptCount val="11"/>
                <c:pt idx="0">
                  <c:v>0.31302731665603178</c:v>
                </c:pt>
                <c:pt idx="1">
                  <c:v>0.31702174316698933</c:v>
                </c:pt>
                <c:pt idx="2">
                  <c:v>0.32101616967794688</c:v>
                </c:pt>
                <c:pt idx="3">
                  <c:v>0.32501059618890443</c:v>
                </c:pt>
                <c:pt idx="4">
                  <c:v>0.32900502269986198</c:v>
                </c:pt>
                <c:pt idx="5">
                  <c:v>0.33299944921081953</c:v>
                </c:pt>
                <c:pt idx="6">
                  <c:v>0.33699387572177708</c:v>
                </c:pt>
                <c:pt idx="7">
                  <c:v>0.34098830223273463</c:v>
                </c:pt>
                <c:pt idx="8">
                  <c:v>0.34498272874369218</c:v>
                </c:pt>
                <c:pt idx="9">
                  <c:v>0.34897715525464973</c:v>
                </c:pt>
                <c:pt idx="10">
                  <c:v>0.35297158176560728</c:v>
                </c:pt>
              </c:numCache>
            </c:numRef>
          </c:xVal>
          <c:yVal>
            <c:numRef>
              <c:f>'テスト _NN_1'!$H$20:$R$20</c:f>
              <c:numCache>
                <c:formatCode>General</c:formatCode>
                <c:ptCount val="11"/>
                <c:pt idx="0">
                  <c:v>17.258634339239951</c:v>
                </c:pt>
                <c:pt idx="1">
                  <c:v>17.21724451599513</c:v>
                </c:pt>
                <c:pt idx="2">
                  <c:v>17.17596087703738</c:v>
                </c:pt>
                <c:pt idx="3">
                  <c:v>17.13480855136913</c:v>
                </c:pt>
                <c:pt idx="4">
                  <c:v>17.093812377190726</c:v>
                </c:pt>
                <c:pt idx="5">
                  <c:v>17.053015863278947</c:v>
                </c:pt>
                <c:pt idx="6">
                  <c:v>17.01245189618103</c:v>
                </c:pt>
                <c:pt idx="7">
                  <c:v>16.972093710650952</c:v>
                </c:pt>
                <c:pt idx="8">
                  <c:v>16.931868566669749</c:v>
                </c:pt>
                <c:pt idx="9">
                  <c:v>16.891715476372159</c:v>
                </c:pt>
                <c:pt idx="10">
                  <c:v>16.851620175925362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7-4025-A583-2AA9938E6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1872"/>
        <c:axId val="566853312"/>
      </c:scatterChart>
      <c:valAx>
        <c:axId val="56685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Cd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853312"/>
        <c:crosses val="autoZero"/>
        <c:crossBetween val="midCat"/>
      </c:valAx>
      <c:valAx>
        <c:axId val="566853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85187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_NN_1'!$H$28:$R$28</c:f>
              <c:numCache>
                <c:formatCode>General</c:formatCode>
                <c:ptCount val="11"/>
                <c:pt idx="0">
                  <c:v>6.5008071969474805</c:v>
                </c:pt>
                <c:pt idx="1">
                  <c:v>6.6506754121420313</c:v>
                </c:pt>
                <c:pt idx="2">
                  <c:v>6.800543627336582</c:v>
                </c:pt>
                <c:pt idx="3">
                  <c:v>6.9504118425311328</c:v>
                </c:pt>
                <c:pt idx="4">
                  <c:v>7.1002800577256835</c:v>
                </c:pt>
                <c:pt idx="5">
                  <c:v>7.2501482729202342</c:v>
                </c:pt>
                <c:pt idx="6">
                  <c:v>7.4000164881147841</c:v>
                </c:pt>
                <c:pt idx="7">
                  <c:v>7.5498847033093348</c:v>
                </c:pt>
                <c:pt idx="8">
                  <c:v>7.6997529185038855</c:v>
                </c:pt>
                <c:pt idx="9">
                  <c:v>7.8496211336984363</c:v>
                </c:pt>
                <c:pt idx="10">
                  <c:v>7.999489348892987</c:v>
                </c:pt>
              </c:numCache>
            </c:numRef>
          </c:xVal>
          <c:yVal>
            <c:numRef>
              <c:f>'テスト _NN_1'!$H$29:$R$29</c:f>
              <c:numCache>
                <c:formatCode>General</c:formatCode>
                <c:ptCount val="11"/>
                <c:pt idx="0">
                  <c:v>16.8694981954093</c:v>
                </c:pt>
                <c:pt idx="1">
                  <c:v>16.919357952522866</c:v>
                </c:pt>
                <c:pt idx="2">
                  <c:v>16.962272019195478</c:v>
                </c:pt>
                <c:pt idx="3">
                  <c:v>16.998471557594051</c:v>
                </c:pt>
                <c:pt idx="4">
                  <c:v>17.028479578662068</c:v>
                </c:pt>
                <c:pt idx="5">
                  <c:v>17.053015863278947</c:v>
                </c:pt>
                <c:pt idx="6">
                  <c:v>17.072737677435512</c:v>
                </c:pt>
                <c:pt idx="7">
                  <c:v>17.088120783397034</c:v>
                </c:pt>
                <c:pt idx="8">
                  <c:v>17.099554768168325</c:v>
                </c:pt>
                <c:pt idx="9">
                  <c:v>17.107463720225493</c:v>
                </c:pt>
                <c:pt idx="10">
                  <c:v>17.11224344328587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3-40D9-9645-126102B47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59424"/>
        <c:axId val="568760144"/>
      </c:scatterChart>
      <c:valAx>
        <c:axId val="56875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Fr</a:t>
                </a:r>
                <a:r>
                  <a:rPr lang="ja-JP" altLang="en-US"/>
                  <a:t>ギア比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760144"/>
        <c:crosses val="autoZero"/>
        <c:crossBetween val="midCat"/>
      </c:valAx>
      <c:valAx>
        <c:axId val="56876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7594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_NN_1'!$H$37:$R$37</c:f>
              <c:numCache>
                <c:formatCode>General</c:formatCode>
                <c:ptCount val="11"/>
                <c:pt idx="0">
                  <c:v>1350.2296822836761</c:v>
                </c:pt>
                <c:pt idx="1">
                  <c:v>1385.1901539104317</c:v>
                </c:pt>
                <c:pt idx="2">
                  <c:v>1420.1506255371874</c:v>
                </c:pt>
                <c:pt idx="3">
                  <c:v>1455.1110971639428</c:v>
                </c:pt>
                <c:pt idx="4">
                  <c:v>1490.0715687906984</c:v>
                </c:pt>
                <c:pt idx="5">
                  <c:v>1525.032040417454</c:v>
                </c:pt>
                <c:pt idx="6">
                  <c:v>1559.9925120442097</c:v>
                </c:pt>
                <c:pt idx="7">
                  <c:v>1594.9529836709653</c:v>
                </c:pt>
                <c:pt idx="8">
                  <c:v>1629.9134552977207</c:v>
                </c:pt>
                <c:pt idx="9">
                  <c:v>1664.8739269244763</c:v>
                </c:pt>
                <c:pt idx="10">
                  <c:v>1699.834398551232</c:v>
                </c:pt>
              </c:numCache>
            </c:numRef>
          </c:xVal>
          <c:yVal>
            <c:numRef>
              <c:f>'テスト _NN_1'!$H$38:$R$38</c:f>
              <c:numCache>
                <c:formatCode>General</c:formatCode>
                <c:ptCount val="11"/>
                <c:pt idx="0">
                  <c:v>17.667952186098141</c:v>
                </c:pt>
                <c:pt idx="1">
                  <c:v>17.545655859035811</c:v>
                </c:pt>
                <c:pt idx="2">
                  <c:v>17.423828161129535</c:v>
                </c:pt>
                <c:pt idx="3">
                  <c:v>17.301603799940381</c:v>
                </c:pt>
                <c:pt idx="4">
                  <c:v>17.178193131271659</c:v>
                </c:pt>
                <c:pt idx="5">
                  <c:v>17.053015863278947</c:v>
                </c:pt>
                <c:pt idx="6">
                  <c:v>16.92565497673101</c:v>
                </c:pt>
                <c:pt idx="7">
                  <c:v>16.795724422691556</c:v>
                </c:pt>
                <c:pt idx="8">
                  <c:v>16.66281499520813</c:v>
                </c:pt>
                <c:pt idx="9">
                  <c:v>16.526567886835387</c:v>
                </c:pt>
                <c:pt idx="10">
                  <c:v>16.386791215534231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3-415B-ACA3-03121DE51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015616"/>
        <c:axId val="569013456"/>
      </c:scatterChart>
      <c:valAx>
        <c:axId val="56901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IpRank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13456"/>
        <c:crosses val="autoZero"/>
        <c:crossBetween val="midCat"/>
      </c:valAx>
      <c:valAx>
        <c:axId val="569013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1561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_NN_1'!$H$46:$R$46</c:f>
              <c:numCache>
                <c:formatCode>General</c:formatCode>
                <c:ptCount val="11"/>
                <c:pt idx="0">
                  <c:v>6.6007835573266389</c:v>
                </c:pt>
                <c:pt idx="1">
                  <c:v>6.7006551347974135</c:v>
                </c:pt>
                <c:pt idx="2">
                  <c:v>6.8005267122681881</c:v>
                </c:pt>
                <c:pt idx="3">
                  <c:v>6.9003982897389626</c:v>
                </c:pt>
                <c:pt idx="4">
                  <c:v>7.0002698672097372</c:v>
                </c:pt>
                <c:pt idx="5">
                  <c:v>7.1001414446805118</c:v>
                </c:pt>
                <c:pt idx="6">
                  <c:v>7.2000130221512872</c:v>
                </c:pt>
                <c:pt idx="7">
                  <c:v>7.2998845996220618</c:v>
                </c:pt>
                <c:pt idx="8">
                  <c:v>7.3997561770928364</c:v>
                </c:pt>
                <c:pt idx="9">
                  <c:v>7.499627754563611</c:v>
                </c:pt>
                <c:pt idx="10">
                  <c:v>7.5994993320343855</c:v>
                </c:pt>
              </c:numCache>
            </c:numRef>
          </c:xVal>
          <c:yVal>
            <c:numRef>
              <c:f>'テスト _NN_1'!$H$47:$R$47</c:f>
              <c:numCache>
                <c:formatCode>General</c:formatCode>
                <c:ptCount val="11"/>
                <c:pt idx="0">
                  <c:v>17.255041793098243</c:v>
                </c:pt>
                <c:pt idx="1">
                  <c:v>17.214026876409221</c:v>
                </c:pt>
                <c:pt idx="2">
                  <c:v>17.173372324201544</c:v>
                </c:pt>
                <c:pt idx="3">
                  <c:v>17.133009988625567</c:v>
                </c:pt>
                <c:pt idx="4">
                  <c:v>17.092901152877989</c:v>
                </c:pt>
                <c:pt idx="5">
                  <c:v>17.053015863278947</c:v>
                </c:pt>
                <c:pt idx="6">
                  <c:v>17.013312398383754</c:v>
                </c:pt>
                <c:pt idx="7">
                  <c:v>16.973745159768463</c:v>
                </c:pt>
                <c:pt idx="8">
                  <c:v>16.934280217154125</c:v>
                </c:pt>
                <c:pt idx="9">
                  <c:v>16.894898247582269</c:v>
                </c:pt>
                <c:pt idx="10">
                  <c:v>16.85558845280212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F1-46A5-902A-6372B21F2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88408"/>
        <c:axId val="570292008"/>
      </c:scatterChart>
      <c:valAx>
        <c:axId val="570288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RRC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0292008"/>
        <c:crosses val="autoZero"/>
        <c:crossBetween val="midCat"/>
      </c:valAx>
      <c:valAx>
        <c:axId val="570292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02884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RSM_NN_1.NN_</a:t>
            </a:r>
            <a:r>
              <a:rPr lang="ja-JP" altLang="en-US"/>
              <a:t>燃費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'チャート _NN_1'!$B$6</c:f>
              <c:strCache>
                <c:ptCount val="1"/>
                <c:pt idx="0">
                  <c:v>72.00182723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_NN_1'!$C$6:$M$6</c:f>
              <c:numCache>
                <c:formatCode>General</c:formatCode>
                <c:ptCount val="11"/>
                <c:pt idx="0">
                  <c:v>17.253783927230401</c:v>
                </c:pt>
                <c:pt idx="1">
                  <c:v>17.208031144736371</c:v>
                </c:pt>
                <c:pt idx="2">
                  <c:v>17.162326972682802</c:v>
                </c:pt>
                <c:pt idx="3">
                  <c:v>17.116726422290554</c:v>
                </c:pt>
                <c:pt idx="4">
                  <c:v>17.071295206327541</c:v>
                </c:pt>
                <c:pt idx="5">
                  <c:v>17.026128413651062</c:v>
                </c:pt>
                <c:pt idx="6">
                  <c:v>16.981310672331119</c:v>
                </c:pt>
                <c:pt idx="7">
                  <c:v>16.936843163683371</c:v>
                </c:pt>
                <c:pt idx="8">
                  <c:v>16.892631658862065</c:v>
                </c:pt>
                <c:pt idx="9">
                  <c:v>16.848561963712186</c:v>
                </c:pt>
                <c:pt idx="10">
                  <c:v>16.804565771936101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D-4122-B457-99627064E3CD}"/>
            </c:ext>
          </c:extLst>
        </c:ser>
        <c:ser>
          <c:idx val="1"/>
          <c:order val="1"/>
          <c:tx>
            <c:strRef>
              <c:f>'チャート _NN_1'!$B$7</c:f>
              <c:strCache>
                <c:ptCount val="1"/>
                <c:pt idx="0">
                  <c:v>72.80142819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_NN_1'!$C$7:$M$7</c:f>
              <c:numCache>
                <c:formatCode>General</c:formatCode>
                <c:ptCount val="11"/>
                <c:pt idx="0">
                  <c:v>17.259215367530146</c:v>
                </c:pt>
                <c:pt idx="1">
                  <c:v>17.213369399500255</c:v>
                </c:pt>
                <c:pt idx="2">
                  <c:v>17.167620739701544</c:v>
                </c:pt>
                <c:pt idx="3">
                  <c:v>17.122017205707483</c:v>
                </c:pt>
                <c:pt idx="4">
                  <c:v>17.07660727422298</c:v>
                </c:pt>
                <c:pt idx="5">
                  <c:v>17.031462061266293</c:v>
                </c:pt>
                <c:pt idx="6">
                  <c:v>16.98664440901711</c:v>
                </c:pt>
                <c:pt idx="7">
                  <c:v>16.942151582968187</c:v>
                </c:pt>
                <c:pt idx="8">
                  <c:v>16.897897613190267</c:v>
                </c:pt>
                <c:pt idx="9">
                  <c:v>16.853764949128411</c:v>
                </c:pt>
                <c:pt idx="10">
                  <c:v>16.809684273154318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D-4122-B457-99627064E3CD}"/>
            </c:ext>
          </c:extLst>
        </c:ser>
        <c:ser>
          <c:idx val="2"/>
          <c:order val="2"/>
          <c:tx>
            <c:strRef>
              <c:f>'チャート _NN_1'!$B$8</c:f>
              <c:strCache>
                <c:ptCount val="1"/>
                <c:pt idx="0">
                  <c:v>73.60102914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_NN_1'!$C$8:$M$8</c:f>
              <c:numCache>
                <c:formatCode>General</c:formatCode>
                <c:ptCount val="11"/>
                <c:pt idx="0">
                  <c:v>17.264593480957554</c:v>
                </c:pt>
                <c:pt idx="1">
                  <c:v>17.218714864216761</c:v>
                </c:pt>
                <c:pt idx="2">
                  <c:v>17.172963470213475</c:v>
                </c:pt>
                <c:pt idx="3">
                  <c:v>17.127375196686266</c:v>
                </c:pt>
                <c:pt idx="4">
                  <c:v>17.081988027131754</c:v>
                </c:pt>
                <c:pt idx="5">
                  <c:v>17.036857455782656</c:v>
                </c:pt>
                <c:pt idx="6">
                  <c:v>16.992030345393385</c:v>
                </c:pt>
                <c:pt idx="7">
                  <c:v>16.947501447687028</c:v>
                </c:pt>
                <c:pt idx="8">
                  <c:v>16.903196966886092</c:v>
                </c:pt>
                <c:pt idx="9">
                  <c:v>16.859005827580258</c:v>
                </c:pt>
                <c:pt idx="10">
                  <c:v>16.81485043933829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D-4122-B457-99627064E3CD}"/>
            </c:ext>
          </c:extLst>
        </c:ser>
        <c:ser>
          <c:idx val="3"/>
          <c:order val="3"/>
          <c:tx>
            <c:strRef>
              <c:f>'チャート _NN_1'!$B$9</c:f>
              <c:strCache>
                <c:ptCount val="1"/>
                <c:pt idx="0">
                  <c:v>74.4006301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_NN_1'!$C$9:$M$9</c:f>
              <c:numCache>
                <c:formatCode>General</c:formatCode>
                <c:ptCount val="11"/>
                <c:pt idx="0">
                  <c:v>17.269945720448185</c:v>
                </c:pt>
                <c:pt idx="1">
                  <c:v>17.224069293795608</c:v>
                </c:pt>
                <c:pt idx="2">
                  <c:v>17.178332357024082</c:v>
                </c:pt>
                <c:pt idx="3">
                  <c:v>17.132758989242255</c:v>
                </c:pt>
                <c:pt idx="4">
                  <c:v>17.087381554780638</c:v>
                </c:pt>
                <c:pt idx="5">
                  <c:v>17.042249489187689</c:v>
                </c:pt>
                <c:pt idx="6">
                  <c:v>16.997402665417191</c:v>
                </c:pt>
                <c:pt idx="7">
                  <c:v>16.952833265517977</c:v>
                </c:pt>
                <c:pt idx="8">
                  <c:v>16.90847592113218</c:v>
                </c:pt>
                <c:pt idx="9">
                  <c:v>16.864233194711304</c:v>
                </c:pt>
                <c:pt idx="10">
                  <c:v>16.820027141108696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6D-4122-B457-99627064E3CD}"/>
            </c:ext>
          </c:extLst>
        </c:ser>
        <c:ser>
          <c:idx val="4"/>
          <c:order val="4"/>
          <c:tx>
            <c:strRef>
              <c:f>'チャート _NN_1'!$B$10</c:f>
              <c:strCache>
                <c:ptCount val="1"/>
                <c:pt idx="0">
                  <c:v>75.20023105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_NN_1'!$C$10:$M$10</c:f>
              <c:numCache>
                <c:formatCode>General</c:formatCode>
                <c:ptCount val="11"/>
                <c:pt idx="0">
                  <c:v>17.275266907779379</c:v>
                </c:pt>
                <c:pt idx="1">
                  <c:v>17.229412929622217</c:v>
                </c:pt>
                <c:pt idx="2">
                  <c:v>17.183699091913258</c:v>
                </c:pt>
                <c:pt idx="3">
                  <c:v>17.138141390429013</c:v>
                </c:pt>
                <c:pt idx="4">
                  <c:v>17.092766608412774</c:v>
                </c:pt>
                <c:pt idx="5">
                  <c:v>17.047624117248628</c:v>
                </c:pt>
                <c:pt idx="6">
                  <c:v>17.002755063793753</c:v>
                </c:pt>
                <c:pt idx="7">
                  <c:v>16.958149958225491</c:v>
                </c:pt>
                <c:pt idx="8">
                  <c:v>16.913745424653708</c:v>
                </c:pt>
                <c:pt idx="9">
                  <c:v>16.869456388056918</c:v>
                </c:pt>
                <c:pt idx="10">
                  <c:v>16.825216327921904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6D-4122-B457-99627064E3CD}"/>
            </c:ext>
          </c:extLst>
        </c:ser>
        <c:ser>
          <c:idx val="5"/>
          <c:order val="5"/>
          <c:tx>
            <c:strRef>
              <c:f>'チャート _NN_1'!$B$11</c:f>
              <c:strCache>
                <c:ptCount val="1"/>
                <c:pt idx="0">
                  <c:v>75.999832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_NN_1'!$C$11:$M$11</c:f>
              <c:numCache>
                <c:formatCode>General</c:formatCode>
                <c:ptCount val="11"/>
                <c:pt idx="0">
                  <c:v>17.280570621137709</c:v>
                </c:pt>
                <c:pt idx="1">
                  <c:v>17.234761123369257</c:v>
                </c:pt>
                <c:pt idx="2">
                  <c:v>17.18907897376538</c:v>
                </c:pt>
                <c:pt idx="3">
                  <c:v>17.143539669492458</c:v>
                </c:pt>
                <c:pt idx="4">
                  <c:v>17.098167972996997</c:v>
                </c:pt>
                <c:pt idx="5">
                  <c:v>17.053015863278947</c:v>
                </c:pt>
                <c:pt idx="6">
                  <c:v>17.0081295681386</c:v>
                </c:pt>
                <c:pt idx="7">
                  <c:v>16.963500012125071</c:v>
                </c:pt>
                <c:pt idx="8">
                  <c:v>16.919061636822612</c:v>
                </c:pt>
                <c:pt idx="9">
                  <c:v>16.874734472683844</c:v>
                </c:pt>
                <c:pt idx="10">
                  <c:v>16.830465650265062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6D-4122-B457-99627064E3CD}"/>
            </c:ext>
          </c:extLst>
        </c:ser>
        <c:ser>
          <c:idx val="6"/>
          <c:order val="6"/>
          <c:tx>
            <c:strRef>
              <c:f>'チャート _NN_1'!$B$12</c:f>
              <c:strCache>
                <c:ptCount val="1"/>
                <c:pt idx="0">
                  <c:v>76.79943296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_NN_1'!$C$12:$M$12</c:f>
              <c:numCache>
                <c:formatCode>General</c:formatCode>
                <c:ptCount val="11"/>
                <c:pt idx="0">
                  <c:v>17.285898984390524</c:v>
                </c:pt>
                <c:pt idx="1">
                  <c:v>17.240154129297796</c:v>
                </c:pt>
                <c:pt idx="2">
                  <c:v>17.194511082355984</c:v>
                </c:pt>
                <c:pt idx="3">
                  <c:v>17.148986165109033</c:v>
                </c:pt>
                <c:pt idx="4">
                  <c:v>17.10361438454381</c:v>
                </c:pt>
                <c:pt idx="5">
                  <c:v>17.058455341956485</c:v>
                </c:pt>
                <c:pt idx="6">
                  <c:v>17.013559409921601</c:v>
                </c:pt>
                <c:pt idx="7">
                  <c:v>16.968917913706388</c:v>
                </c:pt>
                <c:pt idx="8">
                  <c:v>16.924462476469735</c:v>
                </c:pt>
                <c:pt idx="9">
                  <c:v>16.880111786256251</c:v>
                </c:pt>
                <c:pt idx="10">
                  <c:v>16.835819211143964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6D-4122-B457-99627064E3CD}"/>
            </c:ext>
          </c:extLst>
        </c:ser>
        <c:ser>
          <c:idx val="7"/>
          <c:order val="7"/>
          <c:tx>
            <c:strRef>
              <c:f>'チャート _NN_1'!$B$13</c:f>
              <c:strCache>
                <c:ptCount val="1"/>
                <c:pt idx="0">
                  <c:v>77.59903391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_NN_1'!$C$13:$M$13</c:f>
              <c:numCache>
                <c:formatCode>General</c:formatCode>
                <c:ptCount val="11"/>
                <c:pt idx="0">
                  <c:v>17.291289006789214</c:v>
                </c:pt>
                <c:pt idx="1">
                  <c:v>17.245612611986903</c:v>
                </c:pt>
                <c:pt idx="2">
                  <c:v>17.200011819863253</c:v>
                </c:pt>
                <c:pt idx="3">
                  <c:v>17.154489727099936</c:v>
                </c:pt>
                <c:pt idx="4">
                  <c:v>17.109102288804539</c:v>
                </c:pt>
                <c:pt idx="5">
                  <c:v>17.063928946596068</c:v>
                </c:pt>
                <c:pt idx="6">
                  <c:v>17.019025341601296</c:v>
                </c:pt>
                <c:pt idx="7">
                  <c:v>16.974380531674967</c:v>
                </c:pt>
                <c:pt idx="8">
                  <c:v>16.929922766693121</c:v>
                </c:pt>
                <c:pt idx="9">
                  <c:v>16.885567295482875</c:v>
                </c:pt>
                <c:pt idx="10">
                  <c:v>16.841265454293875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26D-4122-B457-99627064E3CD}"/>
            </c:ext>
          </c:extLst>
        </c:ser>
        <c:ser>
          <c:idx val="8"/>
          <c:order val="8"/>
          <c:tx>
            <c:strRef>
              <c:f>'チャート _NN_1'!$B$14</c:f>
              <c:strCache>
                <c:ptCount val="1"/>
                <c:pt idx="0">
                  <c:v>78.39863486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_NN_1'!$C$14:$M$14</c:f>
              <c:numCache>
                <c:formatCode>General</c:formatCode>
                <c:ptCount val="11"/>
                <c:pt idx="0">
                  <c:v>17.29674991918553</c:v>
                </c:pt>
                <c:pt idx="1">
                  <c:v>17.251124222726354</c:v>
                </c:pt>
                <c:pt idx="2">
                  <c:v>17.205557998627803</c:v>
                </c:pt>
                <c:pt idx="3">
                  <c:v>17.160026818509618</c:v>
                </c:pt>
                <c:pt idx="4">
                  <c:v>17.114600404576912</c:v>
                </c:pt>
                <c:pt idx="5">
                  <c:v>17.069390482666943</c:v>
                </c:pt>
                <c:pt idx="6">
                  <c:v>17.024467635055732</c:v>
                </c:pt>
                <c:pt idx="7">
                  <c:v>16.979818998243449</c:v>
                </c:pt>
                <c:pt idx="8">
                  <c:v>16.935367418048866</c:v>
                </c:pt>
                <c:pt idx="9">
                  <c:v>16.891024132532912</c:v>
                </c:pt>
                <c:pt idx="10">
                  <c:v>16.846734878722636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6D-4122-B457-99627064E3CD}"/>
            </c:ext>
          </c:extLst>
        </c:ser>
        <c:ser>
          <c:idx val="9"/>
          <c:order val="9"/>
          <c:tx>
            <c:strRef>
              <c:f>'チャート _NN_1'!$B$15</c:f>
              <c:strCache>
                <c:ptCount val="1"/>
                <c:pt idx="0">
                  <c:v>79.19823582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_NN_1'!$C$15:$M$15</c:f>
              <c:numCache>
                <c:formatCode>General</c:formatCode>
                <c:ptCount val="11"/>
                <c:pt idx="0">
                  <c:v>17.302268204767334</c:v>
                </c:pt>
                <c:pt idx="1">
                  <c:v>17.256665409397321</c:v>
                </c:pt>
                <c:pt idx="2">
                  <c:v>17.211111404918743</c:v>
                </c:pt>
                <c:pt idx="3">
                  <c:v>17.165559511103687</c:v>
                </c:pt>
                <c:pt idx="4">
                  <c:v>17.120074843180888</c:v>
                </c:pt>
                <c:pt idx="5">
                  <c:v>17.074797894593623</c:v>
                </c:pt>
                <c:pt idx="6">
                  <c:v>17.029828769420813</c:v>
                </c:pt>
                <c:pt idx="7">
                  <c:v>16.98516174738112</c:v>
                </c:pt>
                <c:pt idx="8">
                  <c:v>16.940714634225294</c:v>
                </c:pt>
                <c:pt idx="9">
                  <c:v>16.896393161316279</c:v>
                </c:pt>
                <c:pt idx="10">
                  <c:v>16.852136576267206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26D-4122-B457-99627064E3CD}"/>
            </c:ext>
          </c:extLst>
        </c:ser>
        <c:ser>
          <c:idx val="10"/>
          <c:order val="10"/>
          <c:tx>
            <c:strRef>
              <c:f>'チャート _NN_1'!$B$16</c:f>
              <c:strCache>
                <c:ptCount val="1"/>
                <c:pt idx="0">
                  <c:v>79.99783677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_NN_1'!$C$16:$M$16</c:f>
              <c:numCache>
                <c:formatCode>General</c:formatCode>
                <c:ptCount val="11"/>
                <c:pt idx="0">
                  <c:v>17.307825957822846</c:v>
                </c:pt>
                <c:pt idx="1">
                  <c:v>17.262224138294808</c:v>
                </c:pt>
                <c:pt idx="2">
                  <c:v>17.216653990404836</c:v>
                </c:pt>
                <c:pt idx="3">
                  <c:v>17.171065062630202</c:v>
                </c:pt>
                <c:pt idx="4">
                  <c:v>17.125511025610521</c:v>
                </c:pt>
                <c:pt idx="5">
                  <c:v>17.080140784528016</c:v>
                </c:pt>
                <c:pt idx="6">
                  <c:v>17.03508817206804</c:v>
                </c:pt>
                <c:pt idx="7">
                  <c:v>16.990371678452536</c:v>
                </c:pt>
                <c:pt idx="8">
                  <c:v>16.945912130675318</c:v>
                </c:pt>
                <c:pt idx="9">
                  <c:v>16.901609769670067</c:v>
                </c:pt>
                <c:pt idx="10">
                  <c:v>16.85739614140461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26D-4122-B457-99627064E3CD}"/>
            </c:ext>
          </c:extLst>
        </c:ser>
        <c:bandFmts/>
        <c:axId val="482230864"/>
        <c:axId val="482233024"/>
        <c:axId val="486053456"/>
      </c:surface3DChart>
      <c:catAx>
        <c:axId val="48223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233024"/>
        <c:crosses val="autoZero"/>
        <c:auto val="1"/>
        <c:lblAlgn val="ctr"/>
        <c:lblOffset val="100"/>
        <c:noMultiLvlLbl val="0"/>
      </c:catAx>
      <c:valAx>
        <c:axId val="482233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230864"/>
        <c:crosses val="autoZero"/>
        <c:crossBetween val="midCat"/>
      </c:valAx>
      <c:serAx>
        <c:axId val="48605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Batt</a:t>
                </a:r>
                <a:r>
                  <a:rPr lang="ja-JP" altLang="en-US"/>
                  <a:t>セル数</a:t>
                </a:r>
              </a:p>
            </c:rich>
          </c:tx>
          <c:overlay val="0"/>
        </c:title>
        <c:majorTickMark val="out"/>
        <c:minorTickMark val="none"/>
        <c:tickLblPos val="nextTo"/>
        <c:crossAx val="482233024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22" fmlaLink="$B$3" max="21" min="1" page="10" val="11"/>
</file>

<file path=xl/ctrlProps/ctrlProp2.xml><?xml version="1.0" encoding="utf-8"?>
<formControlPr xmlns="http://schemas.microsoft.com/office/spreadsheetml/2009/9/main" objectType="Spin" dx="22" fmlaLink="$E$3" max="21" min="1" page="10" val="11"/>
</file>

<file path=xl/ctrlProps/ctrlProp3.xml><?xml version="1.0" encoding="utf-8"?>
<formControlPr xmlns="http://schemas.microsoft.com/office/spreadsheetml/2009/9/main" objectType="Spin" dx="22" fmlaLink="$B$5" max="21" min="1" page="10" val="11"/>
</file>

<file path=xl/ctrlProps/ctrlProp4.xml><?xml version="1.0" encoding="utf-8"?>
<formControlPr xmlns="http://schemas.microsoft.com/office/spreadsheetml/2009/9/main" objectType="Spin" dx="22" fmlaLink="$E$5" max="21" min="1" page="10" val="11"/>
</file>

<file path=xl/ctrlProps/ctrlProp5.xml><?xml version="1.0" encoding="utf-8"?>
<formControlPr xmlns="http://schemas.microsoft.com/office/spreadsheetml/2009/9/main" objectType="Spin" dx="22" fmlaLink="$B$7" max="21" min="1" page="10" val="11"/>
</file>

<file path=xl/ctrlProps/ctrlProp6.xml><?xml version="1.0" encoding="utf-8"?>
<formControlPr xmlns="http://schemas.microsoft.com/office/spreadsheetml/2009/9/main" objectType="Spin" dx="22" fmlaLink="$B$12" max="21" min="1" page="10" val="11"/>
</file>

<file path=xl/ctrlProps/ctrlProp7.xml><?xml version="1.0" encoding="utf-8"?>
<formControlPr xmlns="http://schemas.microsoft.com/office/spreadsheetml/2009/9/main" objectType="Spin" dx="22" fmlaLink="$E$12" max="21" min="1" page="10" val="11"/>
</file>

<file path=xl/ctrlProps/ctrlProp8.xml><?xml version="1.0" encoding="utf-8"?>
<formControlPr xmlns="http://schemas.microsoft.com/office/spreadsheetml/2009/9/main" objectType="Spin" dx="22" fmlaLink="$B$14" max="21" min="1" page="10" val="11"/>
</file>

<file path=xl/ctrlProps/ctrlProp9.xml><?xml version="1.0" encoding="utf-8"?>
<formControlPr xmlns="http://schemas.microsoft.com/office/spreadsheetml/2009/9/main" objectType="Spin" dx="22" fmlaLink="$E$14" max="21" min="1" page="10" val="11"/>
</file>

<file path=xl/ctrlProps/ctrlProp10.xml><?xml version="1.0" encoding="utf-8"?>
<formControlPr xmlns="http://schemas.microsoft.com/office/spreadsheetml/2009/9/main" objectType="Spin" dx="22" fmlaLink="$B$16" max="21" min="1" page="10" val="11"/>
</file>

<file path=xl/ctrlProps/ctrlProp11.xml><?xml version="1.0" encoding="utf-8"?>
<formControlPr xmlns="http://schemas.microsoft.com/office/spreadsheetml/2009/9/main" objectType="Spin" dx="22" fmlaLink="$B$21" max="21" min="1" page="10" val="11"/>
</file>

<file path=xl/ctrlProps/ctrlProp12.xml><?xml version="1.0" encoding="utf-8"?>
<formControlPr xmlns="http://schemas.microsoft.com/office/spreadsheetml/2009/9/main" objectType="Spin" dx="22" fmlaLink="$E$21" max="21" min="1" page="10" val="11"/>
</file>

<file path=xl/ctrlProps/ctrlProp13.xml><?xml version="1.0" encoding="utf-8"?>
<formControlPr xmlns="http://schemas.microsoft.com/office/spreadsheetml/2009/9/main" objectType="Spin" dx="22" fmlaLink="$B$23" max="21" min="1" page="10" val="11"/>
</file>

<file path=xl/ctrlProps/ctrlProp14.xml><?xml version="1.0" encoding="utf-8"?>
<formControlPr xmlns="http://schemas.microsoft.com/office/spreadsheetml/2009/9/main" objectType="Spin" dx="22" fmlaLink="$E$23" max="21" min="1" page="10" val="11"/>
</file>

<file path=xl/ctrlProps/ctrlProp15.xml><?xml version="1.0" encoding="utf-8"?>
<formControlPr xmlns="http://schemas.microsoft.com/office/spreadsheetml/2009/9/main" objectType="Spin" dx="22" fmlaLink="$B$25" max="21" min="1" page="10" val="11"/>
</file>

<file path=xl/ctrlProps/ctrlProp16.xml><?xml version="1.0" encoding="utf-8"?>
<formControlPr xmlns="http://schemas.microsoft.com/office/spreadsheetml/2009/9/main" objectType="Spin" dx="22" fmlaLink="$B$30" max="21" min="1" page="10" val="11"/>
</file>

<file path=xl/ctrlProps/ctrlProp17.xml><?xml version="1.0" encoding="utf-8"?>
<formControlPr xmlns="http://schemas.microsoft.com/office/spreadsheetml/2009/9/main" objectType="Spin" dx="22" fmlaLink="$E$30" max="21" min="1" page="10" val="11"/>
</file>

<file path=xl/ctrlProps/ctrlProp18.xml><?xml version="1.0" encoding="utf-8"?>
<formControlPr xmlns="http://schemas.microsoft.com/office/spreadsheetml/2009/9/main" objectType="Spin" dx="22" fmlaLink="$B$32" max="21" min="1" page="10" val="11"/>
</file>

<file path=xl/ctrlProps/ctrlProp19.xml><?xml version="1.0" encoding="utf-8"?>
<formControlPr xmlns="http://schemas.microsoft.com/office/spreadsheetml/2009/9/main" objectType="Spin" dx="22" fmlaLink="$E$32" max="21" min="1" page="10" val="11"/>
</file>

<file path=xl/ctrlProps/ctrlProp20.xml><?xml version="1.0" encoding="utf-8"?>
<formControlPr xmlns="http://schemas.microsoft.com/office/spreadsheetml/2009/9/main" objectType="Spin" dx="22" fmlaLink="$B$34" max="21" min="1" page="10" val="11"/>
</file>

<file path=xl/ctrlProps/ctrlProp21.xml><?xml version="1.0" encoding="utf-8"?>
<formControlPr xmlns="http://schemas.microsoft.com/office/spreadsheetml/2009/9/main" objectType="Spin" dx="22" fmlaLink="$B$39" max="21" min="1" page="10" val="11"/>
</file>

<file path=xl/ctrlProps/ctrlProp22.xml><?xml version="1.0" encoding="utf-8"?>
<formControlPr xmlns="http://schemas.microsoft.com/office/spreadsheetml/2009/9/main" objectType="Spin" dx="22" fmlaLink="$E$39" max="21" min="1" page="10" val="11"/>
</file>

<file path=xl/ctrlProps/ctrlProp23.xml><?xml version="1.0" encoding="utf-8"?>
<formControlPr xmlns="http://schemas.microsoft.com/office/spreadsheetml/2009/9/main" objectType="Spin" dx="22" fmlaLink="$B$41" max="21" min="1" page="10" val="11"/>
</file>

<file path=xl/ctrlProps/ctrlProp24.xml><?xml version="1.0" encoding="utf-8"?>
<formControlPr xmlns="http://schemas.microsoft.com/office/spreadsheetml/2009/9/main" objectType="Spin" dx="22" fmlaLink="$E$41" max="21" min="1" page="10" val="11"/>
</file>

<file path=xl/ctrlProps/ctrlProp25.xml><?xml version="1.0" encoding="utf-8"?>
<formControlPr xmlns="http://schemas.microsoft.com/office/spreadsheetml/2009/9/main" objectType="Spin" dx="22" fmlaLink="$B$43" max="21" min="1" page="10" val="11"/>
</file>

<file path=xl/ctrlProps/ctrlProp26.xml><?xml version="1.0" encoding="utf-8"?>
<formControlPr xmlns="http://schemas.microsoft.com/office/spreadsheetml/2009/9/main" objectType="Spin" dx="22" fmlaLink="$B$48" max="21" min="1" page="10" val="11"/>
</file>

<file path=xl/ctrlProps/ctrlProp27.xml><?xml version="1.0" encoding="utf-8"?>
<formControlPr xmlns="http://schemas.microsoft.com/office/spreadsheetml/2009/9/main" objectType="Spin" dx="22" fmlaLink="$E$48" max="21" min="1" page="10" val="11"/>
</file>

<file path=xl/ctrlProps/ctrlProp28.xml><?xml version="1.0" encoding="utf-8"?>
<formControlPr xmlns="http://schemas.microsoft.com/office/spreadsheetml/2009/9/main" objectType="Spin" dx="22" fmlaLink="$B$50" max="21" min="1" page="10" val="11"/>
</file>

<file path=xl/ctrlProps/ctrlProp29.xml><?xml version="1.0" encoding="utf-8"?>
<formControlPr xmlns="http://schemas.microsoft.com/office/spreadsheetml/2009/9/main" objectType="Spin" dx="22" fmlaLink="$E$50" max="21" min="1" page="10" val="11"/>
</file>

<file path=xl/ctrlProps/ctrlProp30.xml><?xml version="1.0" encoding="utf-8"?>
<formControlPr xmlns="http://schemas.microsoft.com/office/spreadsheetml/2009/9/main" objectType="Spin" dx="22" fmlaLink="$B$52" max="21" min="1" page="10" val="1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4429125" cy="32842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C698939-7FA9-5C62-FA38-C21269D5F9F8}"/>
            </a:ext>
          </a:extLst>
        </xdr:cNvPr>
        <xdr:cNvSpPr txBox="1"/>
      </xdr:nvSpPr>
      <xdr:spPr>
        <a:xfrm>
          <a:off x="25400" y="2540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A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200025</xdr:colOff>
          <xdr:row>3</xdr:row>
          <xdr:rowOff>9525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200025</xdr:colOff>
          <xdr:row>3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200025</xdr:colOff>
          <xdr:row>5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4</xdr:col>
          <xdr:colOff>200025</xdr:colOff>
          <xdr:row>5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304800</xdr:rowOff>
        </xdr:from>
        <xdr:to>
          <xdr:col>1</xdr:col>
          <xdr:colOff>200025</xdr:colOff>
          <xdr:row>6</xdr:row>
          <xdr:rowOff>304800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13</xdr:col>
      <xdr:colOff>457200</xdr:colOff>
      <xdr:row>9</xdr:row>
      <xdr:rowOff>0</xdr:rowOff>
    </xdr:to>
    <xdr:graphicFrame macro="">
      <xdr:nvGraphicFramePr>
        <xdr:cNvPr id="3" name="グラフ 1">
          <a:extLst>
            <a:ext uri="{FF2B5EF4-FFF2-40B4-BE49-F238E27FC236}">
              <a16:creationId xmlns:a16="http://schemas.microsoft.com/office/drawing/2014/main" id="{F325631E-38C2-410E-69FA-6F9D6A36C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25400</xdr:colOff>
      <xdr:row>9</xdr:row>
      <xdr:rowOff>25400</xdr:rowOff>
    </xdr:from>
    <xdr:ext cx="4429125" cy="328423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160372A5-1FEC-F88F-F9C3-AE545869FF58}"/>
            </a:ext>
          </a:extLst>
        </xdr:cNvPr>
        <xdr:cNvSpPr txBox="1"/>
      </xdr:nvSpPr>
      <xdr:spPr>
        <a:xfrm>
          <a:off x="25400" y="285432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Batt</a:t>
          </a:r>
          <a:r>
            <a:rPr kumimoji="1" lang="ja-JP" altLang="en-US" sz="1100"/>
            <a:t>セル数 </a:t>
          </a:r>
          <a:r>
            <a:rPr kumimoji="1" lang="en-US" altLang="ja-JP" sz="1100"/>
            <a:t>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304800</xdr:rowOff>
        </xdr:from>
        <xdr:to>
          <xdr:col>1</xdr:col>
          <xdr:colOff>200025</xdr:colOff>
          <xdr:row>12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304800</xdr:rowOff>
        </xdr:from>
        <xdr:to>
          <xdr:col>4</xdr:col>
          <xdr:colOff>200025</xdr:colOff>
          <xdr:row>12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1</xdr:col>
          <xdr:colOff>200025</xdr:colOff>
          <xdr:row>14</xdr:row>
          <xdr:rowOff>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4</xdr:col>
          <xdr:colOff>200025</xdr:colOff>
          <xdr:row>14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304800</xdr:rowOff>
        </xdr:from>
        <xdr:to>
          <xdr:col>1</xdr:col>
          <xdr:colOff>200025</xdr:colOff>
          <xdr:row>16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9</xdr:row>
      <xdr:rowOff>0</xdr:rowOff>
    </xdr:from>
    <xdr:to>
      <xdr:col>13</xdr:col>
      <xdr:colOff>457200</xdr:colOff>
      <xdr:row>18</xdr:row>
      <xdr:rowOff>0</xdr:rowOff>
    </xdr:to>
    <xdr:graphicFrame macro="">
      <xdr:nvGraphicFramePr>
        <xdr:cNvPr id="5" name="グラフ 1">
          <a:extLst>
            <a:ext uri="{FF2B5EF4-FFF2-40B4-BE49-F238E27FC236}">
              <a16:creationId xmlns:a16="http://schemas.microsoft.com/office/drawing/2014/main" id="{DF4CE74D-01E1-96AE-CB34-87B1DDF90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25400</xdr:colOff>
      <xdr:row>18</xdr:row>
      <xdr:rowOff>25400</xdr:rowOff>
    </xdr:from>
    <xdr:ext cx="4429125" cy="328423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DCCB39A-0318-C62C-E646-7A460458D7FE}"/>
            </a:ext>
          </a:extLst>
        </xdr:cNvPr>
        <xdr:cNvSpPr txBox="1"/>
      </xdr:nvSpPr>
      <xdr:spPr>
        <a:xfrm>
          <a:off x="25400" y="568325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Cd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200025</xdr:colOff>
          <xdr:row>21</xdr:row>
          <xdr:rowOff>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4</xdr:col>
          <xdr:colOff>200025</xdr:colOff>
          <xdr:row>21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304800</xdr:rowOff>
        </xdr:from>
        <xdr:to>
          <xdr:col>1</xdr:col>
          <xdr:colOff>200025</xdr:colOff>
          <xdr:row>22</xdr:row>
          <xdr:rowOff>304800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304800</xdr:rowOff>
        </xdr:from>
        <xdr:to>
          <xdr:col>4</xdr:col>
          <xdr:colOff>200025</xdr:colOff>
          <xdr:row>22</xdr:row>
          <xdr:rowOff>304800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1</xdr:col>
          <xdr:colOff>200025</xdr:colOff>
          <xdr:row>25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18</xdr:row>
      <xdr:rowOff>0</xdr:rowOff>
    </xdr:from>
    <xdr:to>
      <xdr:col>13</xdr:col>
      <xdr:colOff>457200</xdr:colOff>
      <xdr:row>27</xdr:row>
      <xdr:rowOff>0</xdr:rowOff>
    </xdr:to>
    <xdr:graphicFrame macro="">
      <xdr:nvGraphicFramePr>
        <xdr:cNvPr id="7" name="グラフ 1">
          <a:extLst>
            <a:ext uri="{FF2B5EF4-FFF2-40B4-BE49-F238E27FC236}">
              <a16:creationId xmlns:a16="http://schemas.microsoft.com/office/drawing/2014/main" id="{DBD569D1-6814-B41A-8B1E-A14BDB514A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25400</xdr:colOff>
      <xdr:row>27</xdr:row>
      <xdr:rowOff>25400</xdr:rowOff>
    </xdr:from>
    <xdr:ext cx="4429125" cy="328423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1611FA09-22C6-BBDB-5AC7-BE2E7A9DF176}"/>
            </a:ext>
          </a:extLst>
        </xdr:cNvPr>
        <xdr:cNvSpPr txBox="1"/>
      </xdr:nvSpPr>
      <xdr:spPr>
        <a:xfrm>
          <a:off x="25400" y="851217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Fr</a:t>
          </a:r>
          <a:r>
            <a:rPr kumimoji="1" lang="ja-JP" altLang="en-US" sz="1100"/>
            <a:t>ギア比 </a:t>
          </a:r>
          <a:r>
            <a:rPr kumimoji="1" lang="en-US" altLang="ja-JP" sz="1100"/>
            <a:t>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1</xdr:col>
          <xdr:colOff>200025</xdr:colOff>
          <xdr:row>30</xdr:row>
          <xdr:rowOff>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</xdr:row>
          <xdr:rowOff>0</xdr:rowOff>
        </xdr:from>
        <xdr:to>
          <xdr:col>4</xdr:col>
          <xdr:colOff>200025</xdr:colOff>
          <xdr:row>30</xdr:row>
          <xdr:rowOff>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304800</xdr:rowOff>
        </xdr:from>
        <xdr:to>
          <xdr:col>1</xdr:col>
          <xdr:colOff>200025</xdr:colOff>
          <xdr:row>32</xdr:row>
          <xdr:rowOff>0</xdr:rowOff>
        </xdr:to>
        <xdr:sp macro="" textlink="">
          <xdr:nvSpPr>
            <xdr:cNvPr id="2066" name="Spinner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304800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2067" name="Spinner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33</xdr:row>
          <xdr:rowOff>0</xdr:rowOff>
        </xdr:from>
        <xdr:to>
          <xdr:col>1</xdr:col>
          <xdr:colOff>200025</xdr:colOff>
          <xdr:row>34</xdr:row>
          <xdr:rowOff>0</xdr:rowOff>
        </xdr:to>
        <xdr:sp macro="" textlink="">
          <xdr:nvSpPr>
            <xdr:cNvPr id="2068" name="Spinner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27</xdr:row>
      <xdr:rowOff>0</xdr:rowOff>
    </xdr:from>
    <xdr:to>
      <xdr:col>13</xdr:col>
      <xdr:colOff>457200</xdr:colOff>
      <xdr:row>36</xdr:row>
      <xdr:rowOff>0</xdr:rowOff>
    </xdr:to>
    <xdr:graphicFrame macro="">
      <xdr:nvGraphicFramePr>
        <xdr:cNvPr id="9" name="グラフ 1">
          <a:extLst>
            <a:ext uri="{FF2B5EF4-FFF2-40B4-BE49-F238E27FC236}">
              <a16:creationId xmlns:a16="http://schemas.microsoft.com/office/drawing/2014/main" id="{B364930A-8DA8-90E2-3B28-E52310817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25400</xdr:colOff>
      <xdr:row>36</xdr:row>
      <xdr:rowOff>25400</xdr:rowOff>
    </xdr:from>
    <xdr:ext cx="4429125" cy="328423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D3C54ED2-60F9-CC2E-4FAB-543ADB720FAF}"/>
            </a:ext>
          </a:extLst>
        </xdr:cNvPr>
        <xdr:cNvSpPr txBox="1"/>
      </xdr:nvSpPr>
      <xdr:spPr>
        <a:xfrm>
          <a:off x="25400" y="1134110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IpRank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304800</xdr:rowOff>
        </xdr:from>
        <xdr:to>
          <xdr:col>1</xdr:col>
          <xdr:colOff>200025</xdr:colOff>
          <xdr:row>38</xdr:row>
          <xdr:rowOff>304800</xdr:rowOff>
        </xdr:to>
        <xdr:sp macro="" textlink="">
          <xdr:nvSpPr>
            <xdr:cNvPr id="2069" name="Spinner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304800</xdr:rowOff>
        </xdr:from>
        <xdr:to>
          <xdr:col>4</xdr:col>
          <xdr:colOff>200025</xdr:colOff>
          <xdr:row>38</xdr:row>
          <xdr:rowOff>304800</xdr:rowOff>
        </xdr:to>
        <xdr:sp macro="" textlink="">
          <xdr:nvSpPr>
            <xdr:cNvPr id="2070" name="Spinner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1</xdr:col>
          <xdr:colOff>200025</xdr:colOff>
          <xdr:row>41</xdr:row>
          <xdr:rowOff>0</xdr:rowOff>
        </xdr:to>
        <xdr:sp macro="" textlink="">
          <xdr:nvSpPr>
            <xdr:cNvPr id="2071" name="Spinne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</xdr:row>
          <xdr:rowOff>0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2072" name="Spinner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0</xdr:rowOff>
        </xdr:from>
        <xdr:to>
          <xdr:col>1</xdr:col>
          <xdr:colOff>200025</xdr:colOff>
          <xdr:row>43</xdr:row>
          <xdr:rowOff>9525</xdr:rowOff>
        </xdr:to>
        <xdr:sp macro="" textlink="">
          <xdr:nvSpPr>
            <xdr:cNvPr id="2073" name="Spinner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36</xdr:row>
      <xdr:rowOff>0</xdr:rowOff>
    </xdr:from>
    <xdr:to>
      <xdr:col>13</xdr:col>
      <xdr:colOff>457200</xdr:colOff>
      <xdr:row>45</xdr:row>
      <xdr:rowOff>0</xdr:rowOff>
    </xdr:to>
    <xdr:graphicFrame macro="">
      <xdr:nvGraphicFramePr>
        <xdr:cNvPr id="11" name="グラフ 1">
          <a:extLst>
            <a:ext uri="{FF2B5EF4-FFF2-40B4-BE49-F238E27FC236}">
              <a16:creationId xmlns:a16="http://schemas.microsoft.com/office/drawing/2014/main" id="{E7509356-04CF-0341-6800-E4D56A8BD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25400</xdr:colOff>
      <xdr:row>45</xdr:row>
      <xdr:rowOff>25400</xdr:rowOff>
    </xdr:from>
    <xdr:ext cx="4429125" cy="328423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A024DA30-748B-7B8A-18FE-7B083966D4F4}"/>
            </a:ext>
          </a:extLst>
        </xdr:cNvPr>
        <xdr:cNvSpPr txBox="1"/>
      </xdr:nvSpPr>
      <xdr:spPr>
        <a:xfrm>
          <a:off x="25400" y="1417002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RRC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304800</xdr:rowOff>
        </xdr:from>
        <xdr:to>
          <xdr:col>1</xdr:col>
          <xdr:colOff>200025</xdr:colOff>
          <xdr:row>48</xdr:row>
          <xdr:rowOff>0</xdr:rowOff>
        </xdr:to>
        <xdr:sp macro="" textlink="">
          <xdr:nvSpPr>
            <xdr:cNvPr id="2074" name="Spinner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</xdr:row>
          <xdr:rowOff>304800</xdr:rowOff>
        </xdr:from>
        <xdr:to>
          <xdr:col>4</xdr:col>
          <xdr:colOff>200025</xdr:colOff>
          <xdr:row>48</xdr:row>
          <xdr:rowOff>0</xdr:rowOff>
        </xdr:to>
        <xdr:sp macro="" textlink="">
          <xdr:nvSpPr>
            <xdr:cNvPr id="2075" name="Spinne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49</xdr:row>
          <xdr:rowOff>0</xdr:rowOff>
        </xdr:from>
        <xdr:to>
          <xdr:col>1</xdr:col>
          <xdr:colOff>200025</xdr:colOff>
          <xdr:row>50</xdr:row>
          <xdr:rowOff>0</xdr:rowOff>
        </xdr:to>
        <xdr:sp macro="" textlink="">
          <xdr:nvSpPr>
            <xdr:cNvPr id="2076" name="Spinne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4</xdr:col>
          <xdr:colOff>200025</xdr:colOff>
          <xdr:row>50</xdr:row>
          <xdr:rowOff>0</xdr:rowOff>
        </xdr:to>
        <xdr:sp macro="" textlink="">
          <xdr:nvSpPr>
            <xdr:cNvPr id="2077" name="Spinne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50</xdr:row>
          <xdr:rowOff>304800</xdr:rowOff>
        </xdr:from>
        <xdr:to>
          <xdr:col>1</xdr:col>
          <xdr:colOff>200025</xdr:colOff>
          <xdr:row>52</xdr:row>
          <xdr:rowOff>0</xdr:rowOff>
        </xdr:to>
        <xdr:sp macro="" textlink="">
          <xdr:nvSpPr>
            <xdr:cNvPr id="2078" name="Spinne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45</xdr:row>
      <xdr:rowOff>0</xdr:rowOff>
    </xdr:from>
    <xdr:to>
      <xdr:col>13</xdr:col>
      <xdr:colOff>457200</xdr:colOff>
      <xdr:row>54</xdr:row>
      <xdr:rowOff>0</xdr:rowOff>
    </xdr:to>
    <xdr:graphicFrame macro="">
      <xdr:nvGraphicFramePr>
        <xdr:cNvPr id="13" name="グラフ 1">
          <a:extLst>
            <a:ext uri="{FF2B5EF4-FFF2-40B4-BE49-F238E27FC236}">
              <a16:creationId xmlns:a16="http://schemas.microsoft.com/office/drawing/2014/main" id="{5A52CA6C-D7E7-48F9-A394-B4CD53090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7</xdr:row>
      <xdr:rowOff>147637</xdr:rowOff>
    </xdr:from>
    <xdr:to>
      <xdr:col>12</xdr:col>
      <xdr:colOff>638175</xdr:colOff>
      <xdr:row>19</xdr:row>
      <xdr:rowOff>33337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E8CCB3B-FA35-9803-C9AB-AF7FD15AE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5CA0-2CE1-4A0E-BF86-853DEDBF7C21}">
  <sheetPr codeName="Sheet3"/>
  <dimension ref="A1:R55"/>
  <sheetViews>
    <sheetView workbookViewId="0"/>
  </sheetViews>
  <sheetFormatPr defaultRowHeight="18.75" x14ac:dyDescent="0.4"/>
  <cols>
    <col min="1" max="1" width="10.625" customWidth="1"/>
    <col min="2" max="2" width="2.75" customWidth="1"/>
    <col min="3" max="4" width="10.625" customWidth="1"/>
    <col min="5" max="5" width="2.75" customWidth="1"/>
    <col min="6" max="7" width="10.625" customWidth="1"/>
  </cols>
  <sheetData>
    <row r="1" spans="1:18" ht="24.95" customHeight="1" thickTop="1" x14ac:dyDescent="0.4">
      <c r="A1" s="3"/>
      <c r="B1" s="4"/>
      <c r="C1" s="4"/>
      <c r="D1" s="4"/>
      <c r="E1" s="4"/>
      <c r="F1" s="4"/>
      <c r="G1" s="5"/>
      <c r="H1">
        <v>2.1100710415760906</v>
      </c>
      <c r="I1">
        <v>2.1400451962403499</v>
      </c>
      <c r="J1">
        <v>2.1700193509046093</v>
      </c>
      <c r="K1">
        <v>2.1999935055688691</v>
      </c>
      <c r="L1">
        <v>2.2299676602331284</v>
      </c>
      <c r="M1">
        <v>2.2599418148973878</v>
      </c>
      <c r="N1">
        <v>2.2899159695616471</v>
      </c>
      <c r="O1">
        <v>2.3198901242259065</v>
      </c>
      <c r="P1">
        <v>2.3498642788901662</v>
      </c>
      <c r="Q1">
        <v>2.3798384335544256</v>
      </c>
      <c r="R1">
        <v>2.4098125882186849</v>
      </c>
    </row>
    <row r="2" spans="1:18" ht="24.95" customHeight="1" x14ac:dyDescent="0.4">
      <c r="A2" s="13">
        <v>72.001827233937462</v>
      </c>
      <c r="B2" s="12">
        <v>0.39980047690504178</v>
      </c>
      <c r="C2" s="15" t="s">
        <v>1</v>
      </c>
      <c r="D2" s="12">
        <v>0.31302731665603178</v>
      </c>
      <c r="E2" s="12">
        <v>1.9972132554787747E-3</v>
      </c>
      <c r="F2" s="15" t="s">
        <v>2</v>
      </c>
      <c r="G2" s="8"/>
      <c r="H2">
        <f>RSM_NN_1.NN_燃費( rsmRangeForVar1_step0)</f>
        <v>17.280570621137709</v>
      </c>
      <c r="I2">
        <f>RSM_NN_1.NN_燃費( rsmRangeForVar1_step1)</f>
        <v>17.234761123369257</v>
      </c>
      <c r="J2">
        <f>RSM_NN_1.NN_燃費( rsmRangeForVar1_step2)</f>
        <v>17.18907897376538</v>
      </c>
      <c r="K2">
        <f>RSM_NN_1.NN_燃費( rsmRangeForVar1_step3)</f>
        <v>17.143539669492458</v>
      </c>
      <c r="L2">
        <f>RSM_NN_1.NN_燃費( rsmRangeForVar1_step4)</f>
        <v>17.098167972996997</v>
      </c>
      <c r="M2">
        <f>RSM_NN_1.NN_燃費( rsmRangeForVar1_step5)</f>
        <v>17.053015863278947</v>
      </c>
      <c r="N2">
        <f>RSM_NN_1.NN_燃費( rsmRangeForVar1_step6)</f>
        <v>17.0081295681386</v>
      </c>
      <c r="O2">
        <f>RSM_NN_1.NN_燃費( rsmRangeForVar1_step7)</f>
        <v>16.963500012125071</v>
      </c>
      <c r="P2">
        <f>RSM_NN_1.NN_燃費( rsmRangeForVar1_step8)</f>
        <v>16.919061636822612</v>
      </c>
      <c r="Q2">
        <f>RSM_NN_1.NN_燃費( rsmRangeForVar1_step9)</f>
        <v>16.874734472683844</v>
      </c>
      <c r="R2">
        <f>RSM_NN_1.NN_燃費( rsmRangeForVar1_step10)</f>
        <v>16.830465650265062</v>
      </c>
    </row>
    <row r="3" spans="1:18" ht="24.95" customHeight="1" x14ac:dyDescent="0.4">
      <c r="A3" s="13">
        <v>11</v>
      </c>
      <c r="B3" s="12">
        <v>11</v>
      </c>
      <c r="C3" s="14">
        <v>75.999832002987887</v>
      </c>
      <c r="D3" s="12">
        <v>11</v>
      </c>
      <c r="E3" s="12">
        <v>11</v>
      </c>
      <c r="F3" s="14">
        <v>0.33299944921081953</v>
      </c>
      <c r="G3" s="8"/>
    </row>
    <row r="4" spans="1:18" ht="24.95" customHeight="1" x14ac:dyDescent="0.4">
      <c r="A4" s="13">
        <v>6.5008071969474805</v>
      </c>
      <c r="B4" s="12">
        <v>7.4934107597275326E-2</v>
      </c>
      <c r="C4" s="15" t="s">
        <v>3</v>
      </c>
      <c r="D4" s="12">
        <v>1350.2296822836761</v>
      </c>
      <c r="E4" s="12">
        <v>17.480235813377796</v>
      </c>
      <c r="F4" s="15" t="s">
        <v>4</v>
      </c>
      <c r="G4" s="8"/>
    </row>
    <row r="5" spans="1:18" ht="24.95" customHeight="1" x14ac:dyDescent="0.4">
      <c r="A5" s="13">
        <v>11</v>
      </c>
      <c r="B5" s="12">
        <v>11</v>
      </c>
      <c r="C5" s="14">
        <v>7.2501482729202333</v>
      </c>
      <c r="D5" s="12">
        <v>11</v>
      </c>
      <c r="E5" s="12">
        <v>11</v>
      </c>
      <c r="F5" s="14">
        <v>1525.032040417454</v>
      </c>
      <c r="G5" s="8"/>
    </row>
    <row r="6" spans="1:18" ht="24.95" customHeight="1" x14ac:dyDescent="0.4">
      <c r="A6" s="13">
        <v>6.6007835573266389</v>
      </c>
      <c r="B6" s="12">
        <v>4.9935788735387329E-2</v>
      </c>
      <c r="C6" s="15" t="s">
        <v>5</v>
      </c>
      <c r="D6" s="7"/>
      <c r="E6" s="7"/>
      <c r="F6" s="7"/>
      <c r="G6" s="8"/>
    </row>
    <row r="7" spans="1:18" ht="24.95" customHeight="1" x14ac:dyDescent="0.4">
      <c r="A7" s="13">
        <v>11</v>
      </c>
      <c r="B7" s="12">
        <v>11</v>
      </c>
      <c r="C7" s="14">
        <v>7.1001414446805118</v>
      </c>
      <c r="D7" s="7"/>
      <c r="E7" s="7"/>
      <c r="F7" s="7"/>
      <c r="G7" s="8"/>
    </row>
    <row r="8" spans="1:18" ht="24.95" customHeight="1" x14ac:dyDescent="0.4">
      <c r="A8" s="6"/>
      <c r="B8" s="7"/>
      <c r="C8" s="7"/>
      <c r="D8" s="7"/>
      <c r="E8" s="7"/>
      <c r="F8" s="7"/>
      <c r="G8" s="8"/>
    </row>
    <row r="9" spans="1:18" ht="24.95" customHeight="1" thickBot="1" x14ac:dyDescent="0.45">
      <c r="A9" s="6"/>
      <c r="B9" s="7"/>
      <c r="C9" s="7"/>
      <c r="D9" s="7"/>
      <c r="E9" s="7"/>
      <c r="F9" s="7"/>
      <c r="G9" s="8"/>
    </row>
    <row r="10" spans="1:18" ht="24.95" customHeight="1" thickTop="1" x14ac:dyDescent="0.4">
      <c r="A10" s="3"/>
      <c r="B10" s="4"/>
      <c r="C10" s="4"/>
      <c r="D10" s="4"/>
      <c r="E10" s="4"/>
      <c r="F10" s="4"/>
      <c r="G10" s="5"/>
      <c r="H10">
        <v>72.001827233937462</v>
      </c>
      <c r="I10">
        <v>72.801428187747547</v>
      </c>
      <c r="J10">
        <v>73.601029141557632</v>
      </c>
      <c r="K10">
        <v>74.400630095367717</v>
      </c>
      <c r="L10">
        <v>75.200231049177802</v>
      </c>
      <c r="M10">
        <v>75.999832002987873</v>
      </c>
      <c r="N10">
        <v>76.799432956797958</v>
      </c>
      <c r="O10">
        <v>77.599033910608043</v>
      </c>
      <c r="P10">
        <v>78.398634864418128</v>
      </c>
      <c r="Q10">
        <v>79.198235818228213</v>
      </c>
      <c r="R10">
        <v>79.997836772038298</v>
      </c>
    </row>
    <row r="11" spans="1:18" ht="24.95" customHeight="1" x14ac:dyDescent="0.4">
      <c r="A11" s="13">
        <v>2.1100710415760906</v>
      </c>
      <c r="B11" s="12">
        <v>1.4987077332129718E-2</v>
      </c>
      <c r="C11" s="15" t="s">
        <v>0</v>
      </c>
      <c r="D11" s="12">
        <v>0.31302731665603178</v>
      </c>
      <c r="E11" s="12">
        <v>1.9972132554787747E-3</v>
      </c>
      <c r="F11" s="15" t="s">
        <v>2</v>
      </c>
      <c r="G11" s="8"/>
      <c r="H11">
        <f>RSM_NN_1.NN_燃費( rsmRangeForVar2_step0)</f>
        <v>17.026128413651062</v>
      </c>
      <c r="I11">
        <f>RSM_NN_1.NN_燃費( rsmRangeForVar2_step1)</f>
        <v>17.031462061266293</v>
      </c>
      <c r="J11">
        <f>RSM_NN_1.NN_燃費( rsmRangeForVar2_step2)</f>
        <v>17.036857455782656</v>
      </c>
      <c r="K11">
        <f>RSM_NN_1.NN_燃費( rsmRangeForVar2_step3)</f>
        <v>17.042249489187689</v>
      </c>
      <c r="L11">
        <f>RSM_NN_1.NN_燃費( rsmRangeForVar2_step4)</f>
        <v>17.047624117248628</v>
      </c>
      <c r="M11">
        <f>RSM_NN_1.NN_燃費( rsmRangeForVar2_step5)</f>
        <v>17.053015863278947</v>
      </c>
      <c r="N11">
        <f>RSM_NN_1.NN_燃費( rsmRangeForVar2_step6)</f>
        <v>17.058455341956485</v>
      </c>
      <c r="O11">
        <f>RSM_NN_1.NN_燃費( rsmRangeForVar2_step7)</f>
        <v>17.063928946596068</v>
      </c>
      <c r="P11">
        <f>RSM_NN_1.NN_燃費( rsmRangeForVar2_step8)</f>
        <v>17.069390482666943</v>
      </c>
      <c r="Q11">
        <f>RSM_NN_1.NN_燃費( rsmRangeForVar2_step9)</f>
        <v>17.074797894593623</v>
      </c>
      <c r="R11">
        <f>RSM_NN_1.NN_燃費( rsmRangeForVar2_step10)</f>
        <v>17.080140784528016</v>
      </c>
    </row>
    <row r="12" spans="1:18" ht="24.95" customHeight="1" x14ac:dyDescent="0.4">
      <c r="A12" s="13">
        <v>11</v>
      </c>
      <c r="B12" s="12">
        <v>11</v>
      </c>
      <c r="C12" s="14">
        <v>2.2599418148973878</v>
      </c>
      <c r="D12" s="12">
        <v>11</v>
      </c>
      <c r="E12" s="12">
        <v>11</v>
      </c>
      <c r="F12" s="14">
        <v>0.33299944921081953</v>
      </c>
      <c r="G12" s="8"/>
    </row>
    <row r="13" spans="1:18" ht="24.95" customHeight="1" x14ac:dyDescent="0.4">
      <c r="A13" s="13">
        <v>6.5008071969474805</v>
      </c>
      <c r="B13" s="12">
        <v>7.4934107597275326E-2</v>
      </c>
      <c r="C13" s="15" t="s">
        <v>3</v>
      </c>
      <c r="D13" s="12">
        <v>1350.2296822836761</v>
      </c>
      <c r="E13" s="12">
        <v>17.480235813377796</v>
      </c>
      <c r="F13" s="15" t="s">
        <v>4</v>
      </c>
      <c r="G13" s="8"/>
    </row>
    <row r="14" spans="1:18" ht="24.95" customHeight="1" x14ac:dyDescent="0.4">
      <c r="A14" s="13">
        <v>11</v>
      </c>
      <c r="B14" s="12">
        <v>11</v>
      </c>
      <c r="C14" s="14">
        <v>7.2501482729202333</v>
      </c>
      <c r="D14" s="12">
        <v>11</v>
      </c>
      <c r="E14" s="12">
        <v>11</v>
      </c>
      <c r="F14" s="14">
        <v>1525.032040417454</v>
      </c>
      <c r="G14" s="8"/>
    </row>
    <row r="15" spans="1:18" ht="24.95" customHeight="1" x14ac:dyDescent="0.4">
      <c r="A15" s="13">
        <v>6.6007835573266389</v>
      </c>
      <c r="B15" s="12">
        <v>4.9935788735387329E-2</v>
      </c>
      <c r="C15" s="15" t="s">
        <v>5</v>
      </c>
      <c r="D15" s="7"/>
      <c r="E15" s="7"/>
      <c r="F15" s="7"/>
      <c r="G15" s="8"/>
    </row>
    <row r="16" spans="1:18" ht="24.95" customHeight="1" x14ac:dyDescent="0.4">
      <c r="A16" s="13">
        <v>11</v>
      </c>
      <c r="B16" s="12">
        <v>11</v>
      </c>
      <c r="C16" s="14">
        <v>7.1001414446805118</v>
      </c>
      <c r="D16" s="7"/>
      <c r="E16" s="7"/>
      <c r="F16" s="7"/>
      <c r="G16" s="8"/>
    </row>
    <row r="17" spans="1:18" ht="24.95" customHeight="1" x14ac:dyDescent="0.4">
      <c r="A17" s="6"/>
      <c r="B17" s="7"/>
      <c r="C17" s="7"/>
      <c r="D17" s="7"/>
      <c r="E17" s="7"/>
      <c r="F17" s="7"/>
      <c r="G17" s="8"/>
    </row>
    <row r="18" spans="1:18" ht="24.95" customHeight="1" thickBot="1" x14ac:dyDescent="0.45">
      <c r="A18" s="6"/>
      <c r="B18" s="7"/>
      <c r="C18" s="7"/>
      <c r="D18" s="7"/>
      <c r="E18" s="7"/>
      <c r="F18" s="7"/>
      <c r="G18" s="8"/>
    </row>
    <row r="19" spans="1:18" ht="24.95" customHeight="1" thickTop="1" x14ac:dyDescent="0.4">
      <c r="A19" s="3"/>
      <c r="B19" s="4"/>
      <c r="C19" s="4"/>
      <c r="D19" s="4"/>
      <c r="E19" s="4"/>
      <c r="F19" s="4"/>
      <c r="G19" s="5"/>
      <c r="H19">
        <v>0.31302731665603178</v>
      </c>
      <c r="I19">
        <v>0.31702174316698933</v>
      </c>
      <c r="J19">
        <v>0.32101616967794688</v>
      </c>
      <c r="K19">
        <v>0.32501059618890443</v>
      </c>
      <c r="L19">
        <v>0.32900502269986198</v>
      </c>
      <c r="M19">
        <v>0.33299944921081953</v>
      </c>
      <c r="N19">
        <v>0.33699387572177708</v>
      </c>
      <c r="O19">
        <v>0.34098830223273463</v>
      </c>
      <c r="P19">
        <v>0.34498272874369218</v>
      </c>
      <c r="Q19">
        <v>0.34897715525464973</v>
      </c>
      <c r="R19">
        <v>0.35297158176560728</v>
      </c>
    </row>
    <row r="20" spans="1:18" ht="24.95" customHeight="1" x14ac:dyDescent="0.4">
      <c r="A20" s="13">
        <v>2.1100710415760906</v>
      </c>
      <c r="B20" s="12">
        <v>1.4987077332129718E-2</v>
      </c>
      <c r="C20" s="15" t="s">
        <v>0</v>
      </c>
      <c r="D20" s="12">
        <v>72.001827233937462</v>
      </c>
      <c r="E20" s="12">
        <v>0.39980047690504178</v>
      </c>
      <c r="F20" s="15" t="s">
        <v>1</v>
      </c>
      <c r="G20" s="8"/>
      <c r="H20">
        <f>RSM_NN_1.NN_燃費( rsmRangeForVar3_step0)</f>
        <v>17.258634339239951</v>
      </c>
      <c r="I20">
        <f>RSM_NN_1.NN_燃費( rsmRangeForVar3_step1)</f>
        <v>17.21724451599513</v>
      </c>
      <c r="J20">
        <f>RSM_NN_1.NN_燃費( rsmRangeForVar3_step2)</f>
        <v>17.17596087703738</v>
      </c>
      <c r="K20">
        <f>RSM_NN_1.NN_燃費( rsmRangeForVar3_step3)</f>
        <v>17.13480855136913</v>
      </c>
      <c r="L20">
        <f>RSM_NN_1.NN_燃費( rsmRangeForVar3_step4)</f>
        <v>17.093812377190726</v>
      </c>
      <c r="M20">
        <f>RSM_NN_1.NN_燃費( rsmRangeForVar3_step5)</f>
        <v>17.053015863278947</v>
      </c>
      <c r="N20">
        <f>RSM_NN_1.NN_燃費( rsmRangeForVar3_step6)</f>
        <v>17.01245189618103</v>
      </c>
      <c r="O20">
        <f>RSM_NN_1.NN_燃費( rsmRangeForVar3_step7)</f>
        <v>16.972093710650952</v>
      </c>
      <c r="P20">
        <f>RSM_NN_1.NN_燃費( rsmRangeForVar3_step8)</f>
        <v>16.931868566669749</v>
      </c>
      <c r="Q20">
        <f>RSM_NN_1.NN_燃費( rsmRangeForVar3_step9)</f>
        <v>16.891715476372159</v>
      </c>
      <c r="R20">
        <f>RSM_NN_1.NN_燃費( rsmRangeForVar3_step10)</f>
        <v>16.851620175925362</v>
      </c>
    </row>
    <row r="21" spans="1:18" ht="24.95" customHeight="1" x14ac:dyDescent="0.4">
      <c r="A21" s="13">
        <v>11</v>
      </c>
      <c r="B21" s="12">
        <v>11</v>
      </c>
      <c r="C21" s="14">
        <v>2.2599418148973878</v>
      </c>
      <c r="D21" s="12">
        <v>11</v>
      </c>
      <c r="E21" s="12">
        <v>11</v>
      </c>
      <c r="F21" s="14">
        <v>75.999832002987887</v>
      </c>
      <c r="G21" s="8"/>
    </row>
    <row r="22" spans="1:18" ht="24.95" customHeight="1" x14ac:dyDescent="0.4">
      <c r="A22" s="13">
        <v>6.5008071969474805</v>
      </c>
      <c r="B22" s="12">
        <v>7.4934107597275326E-2</v>
      </c>
      <c r="C22" s="15" t="s">
        <v>3</v>
      </c>
      <c r="D22" s="12">
        <v>1350.2296822836761</v>
      </c>
      <c r="E22" s="12">
        <v>17.480235813377796</v>
      </c>
      <c r="F22" s="15" t="s">
        <v>4</v>
      </c>
      <c r="G22" s="8"/>
    </row>
    <row r="23" spans="1:18" ht="24.95" customHeight="1" x14ac:dyDescent="0.4">
      <c r="A23" s="13">
        <v>11</v>
      </c>
      <c r="B23" s="12">
        <v>11</v>
      </c>
      <c r="C23" s="14">
        <v>7.2501482729202333</v>
      </c>
      <c r="D23" s="12">
        <v>11</v>
      </c>
      <c r="E23" s="12">
        <v>11</v>
      </c>
      <c r="F23" s="14">
        <v>1525.032040417454</v>
      </c>
      <c r="G23" s="8"/>
    </row>
    <row r="24" spans="1:18" ht="24.95" customHeight="1" x14ac:dyDescent="0.4">
      <c r="A24" s="13">
        <v>6.6007835573266389</v>
      </c>
      <c r="B24" s="12">
        <v>4.9935788735387329E-2</v>
      </c>
      <c r="C24" s="15" t="s">
        <v>5</v>
      </c>
      <c r="D24" s="7"/>
      <c r="E24" s="7"/>
      <c r="F24" s="7"/>
      <c r="G24" s="8"/>
    </row>
    <row r="25" spans="1:18" ht="24.95" customHeight="1" x14ac:dyDescent="0.4">
      <c r="A25" s="13">
        <v>11</v>
      </c>
      <c r="B25" s="12">
        <v>11</v>
      </c>
      <c r="C25" s="14">
        <v>7.1001414446805118</v>
      </c>
      <c r="D25" s="7"/>
      <c r="E25" s="7"/>
      <c r="F25" s="7"/>
      <c r="G25" s="8"/>
    </row>
    <row r="26" spans="1:18" ht="24.95" customHeight="1" x14ac:dyDescent="0.4">
      <c r="A26" s="6"/>
      <c r="B26" s="7"/>
      <c r="C26" s="7"/>
      <c r="D26" s="7"/>
      <c r="E26" s="7"/>
      <c r="F26" s="7"/>
      <c r="G26" s="8"/>
    </row>
    <row r="27" spans="1:18" ht="24.95" customHeight="1" thickBot="1" x14ac:dyDescent="0.45">
      <c r="A27" s="6"/>
      <c r="B27" s="7"/>
      <c r="C27" s="7"/>
      <c r="D27" s="7"/>
      <c r="E27" s="7"/>
      <c r="F27" s="7"/>
      <c r="G27" s="8"/>
    </row>
    <row r="28" spans="1:18" ht="24.95" customHeight="1" thickTop="1" x14ac:dyDescent="0.4">
      <c r="A28" s="3"/>
      <c r="B28" s="4"/>
      <c r="C28" s="4"/>
      <c r="D28" s="4"/>
      <c r="E28" s="4"/>
      <c r="F28" s="4"/>
      <c r="G28" s="5"/>
      <c r="H28">
        <v>6.5008071969474805</v>
      </c>
      <c r="I28">
        <v>6.6506754121420313</v>
      </c>
      <c r="J28">
        <v>6.800543627336582</v>
      </c>
      <c r="K28">
        <v>6.9504118425311328</v>
      </c>
      <c r="L28">
        <v>7.1002800577256835</v>
      </c>
      <c r="M28">
        <v>7.2501482729202342</v>
      </c>
      <c r="N28">
        <v>7.4000164881147841</v>
      </c>
      <c r="O28">
        <v>7.5498847033093348</v>
      </c>
      <c r="P28">
        <v>7.6997529185038855</v>
      </c>
      <c r="Q28">
        <v>7.8496211336984363</v>
      </c>
      <c r="R28">
        <v>7.999489348892987</v>
      </c>
    </row>
    <row r="29" spans="1:18" ht="24.95" customHeight="1" x14ac:dyDescent="0.4">
      <c r="A29" s="13">
        <v>2.1100710415760906</v>
      </c>
      <c r="B29" s="12">
        <v>1.4987077332129718E-2</v>
      </c>
      <c r="C29" s="15" t="s">
        <v>0</v>
      </c>
      <c r="D29" s="12">
        <v>72.001827233937462</v>
      </c>
      <c r="E29" s="12">
        <v>0.39980047690504178</v>
      </c>
      <c r="F29" s="15" t="s">
        <v>1</v>
      </c>
      <c r="G29" s="8"/>
      <c r="H29">
        <f>RSM_NN_1.NN_燃費( rsmRangeForVar4_step0)</f>
        <v>16.8694981954093</v>
      </c>
      <c r="I29">
        <f>RSM_NN_1.NN_燃費( rsmRangeForVar4_step1)</f>
        <v>16.919357952522866</v>
      </c>
      <c r="J29">
        <f>RSM_NN_1.NN_燃費( rsmRangeForVar4_step2)</f>
        <v>16.962272019195478</v>
      </c>
      <c r="K29">
        <f>RSM_NN_1.NN_燃費( rsmRangeForVar4_step3)</f>
        <v>16.998471557594051</v>
      </c>
      <c r="L29">
        <f>RSM_NN_1.NN_燃費( rsmRangeForVar4_step4)</f>
        <v>17.028479578662068</v>
      </c>
      <c r="M29">
        <f>RSM_NN_1.NN_燃費( rsmRangeForVar4_step5)</f>
        <v>17.053015863278947</v>
      </c>
      <c r="N29">
        <f>RSM_NN_1.NN_燃費( rsmRangeForVar4_step6)</f>
        <v>17.072737677435512</v>
      </c>
      <c r="O29">
        <f>RSM_NN_1.NN_燃費( rsmRangeForVar4_step7)</f>
        <v>17.088120783397034</v>
      </c>
      <c r="P29">
        <f>RSM_NN_1.NN_燃費( rsmRangeForVar4_step8)</f>
        <v>17.099554768168325</v>
      </c>
      <c r="Q29">
        <f>RSM_NN_1.NN_燃費( rsmRangeForVar4_step9)</f>
        <v>17.107463720225493</v>
      </c>
      <c r="R29">
        <f>RSM_NN_1.NN_燃費( rsmRangeForVar4_step10)</f>
        <v>17.11224344328587</v>
      </c>
    </row>
    <row r="30" spans="1:18" ht="24.95" customHeight="1" x14ac:dyDescent="0.4">
      <c r="A30" s="13">
        <v>11</v>
      </c>
      <c r="B30" s="12">
        <v>11</v>
      </c>
      <c r="C30" s="14">
        <v>2.2599418148973878</v>
      </c>
      <c r="D30" s="12">
        <v>11</v>
      </c>
      <c r="E30" s="12">
        <v>11</v>
      </c>
      <c r="F30" s="14">
        <v>75.999832002987887</v>
      </c>
      <c r="G30" s="8"/>
    </row>
    <row r="31" spans="1:18" ht="24.95" customHeight="1" x14ac:dyDescent="0.4">
      <c r="A31" s="13">
        <v>0.31302731665603178</v>
      </c>
      <c r="B31" s="12">
        <v>1.9972132554787747E-3</v>
      </c>
      <c r="C31" s="15" t="s">
        <v>2</v>
      </c>
      <c r="D31" s="12">
        <v>1350.2296822836761</v>
      </c>
      <c r="E31" s="12">
        <v>17.480235813377796</v>
      </c>
      <c r="F31" s="15" t="s">
        <v>4</v>
      </c>
      <c r="G31" s="8"/>
    </row>
    <row r="32" spans="1:18" ht="24.95" customHeight="1" x14ac:dyDescent="0.4">
      <c r="A32" s="13">
        <v>11</v>
      </c>
      <c r="B32" s="12">
        <v>11</v>
      </c>
      <c r="C32" s="14">
        <v>0.33299944921081953</v>
      </c>
      <c r="D32" s="12">
        <v>11</v>
      </c>
      <c r="E32" s="12">
        <v>11</v>
      </c>
      <c r="F32" s="14">
        <v>1525.032040417454</v>
      </c>
      <c r="G32" s="8"/>
    </row>
    <row r="33" spans="1:18" ht="24.95" customHeight="1" x14ac:dyDescent="0.4">
      <c r="A33" s="13">
        <v>6.6007835573266389</v>
      </c>
      <c r="B33" s="12">
        <v>4.9935788735387329E-2</v>
      </c>
      <c r="C33" s="15" t="s">
        <v>5</v>
      </c>
      <c r="D33" s="7"/>
      <c r="E33" s="7"/>
      <c r="F33" s="7"/>
      <c r="G33" s="8"/>
    </row>
    <row r="34" spans="1:18" ht="24.95" customHeight="1" x14ac:dyDescent="0.4">
      <c r="A34" s="13">
        <v>11</v>
      </c>
      <c r="B34" s="12">
        <v>11</v>
      </c>
      <c r="C34" s="14">
        <v>7.1001414446805118</v>
      </c>
      <c r="D34" s="7"/>
      <c r="E34" s="7"/>
      <c r="F34" s="7"/>
      <c r="G34" s="8"/>
    </row>
    <row r="35" spans="1:18" ht="24.95" customHeight="1" x14ac:dyDescent="0.4">
      <c r="A35" s="6"/>
      <c r="B35" s="7"/>
      <c r="C35" s="7"/>
      <c r="D35" s="7"/>
      <c r="E35" s="7"/>
      <c r="F35" s="7"/>
      <c r="G35" s="8"/>
    </row>
    <row r="36" spans="1:18" ht="24.95" customHeight="1" thickBot="1" x14ac:dyDescent="0.45">
      <c r="A36" s="6"/>
      <c r="B36" s="7"/>
      <c r="C36" s="7"/>
      <c r="D36" s="7"/>
      <c r="E36" s="7"/>
      <c r="F36" s="7"/>
      <c r="G36" s="8"/>
    </row>
    <row r="37" spans="1:18" ht="24.95" customHeight="1" thickTop="1" x14ac:dyDescent="0.4">
      <c r="A37" s="3"/>
      <c r="B37" s="4"/>
      <c r="C37" s="4"/>
      <c r="D37" s="4"/>
      <c r="E37" s="4"/>
      <c r="F37" s="4"/>
      <c r="G37" s="5"/>
      <c r="H37">
        <v>1350.2296822836761</v>
      </c>
      <c r="I37">
        <v>1385.1901539104317</v>
      </c>
      <c r="J37">
        <v>1420.1506255371874</v>
      </c>
      <c r="K37">
        <v>1455.1110971639428</v>
      </c>
      <c r="L37">
        <v>1490.0715687906984</v>
      </c>
      <c r="M37">
        <v>1525.032040417454</v>
      </c>
      <c r="N37">
        <v>1559.9925120442097</v>
      </c>
      <c r="O37">
        <v>1594.9529836709653</v>
      </c>
      <c r="P37">
        <v>1629.9134552977207</v>
      </c>
      <c r="Q37">
        <v>1664.8739269244763</v>
      </c>
      <c r="R37">
        <v>1699.834398551232</v>
      </c>
    </row>
    <row r="38" spans="1:18" ht="24.95" customHeight="1" x14ac:dyDescent="0.4">
      <c r="A38" s="13">
        <v>2.1100710415760906</v>
      </c>
      <c r="B38" s="12">
        <v>1.4987077332129718E-2</v>
      </c>
      <c r="C38" s="15" t="s">
        <v>0</v>
      </c>
      <c r="D38" s="12">
        <v>72.001827233937462</v>
      </c>
      <c r="E38" s="12">
        <v>0.39980047690504178</v>
      </c>
      <c r="F38" s="15" t="s">
        <v>1</v>
      </c>
      <c r="G38" s="8"/>
      <c r="H38">
        <f>RSM_NN_1.NN_燃費( rsmRangeForVar5_step0)</f>
        <v>17.667952186098141</v>
      </c>
      <c r="I38">
        <f>RSM_NN_1.NN_燃費( rsmRangeForVar5_step1)</f>
        <v>17.545655859035811</v>
      </c>
      <c r="J38">
        <f>RSM_NN_1.NN_燃費( rsmRangeForVar5_step2)</f>
        <v>17.423828161129535</v>
      </c>
      <c r="K38">
        <f>RSM_NN_1.NN_燃費( rsmRangeForVar5_step3)</f>
        <v>17.301603799940381</v>
      </c>
      <c r="L38">
        <f>RSM_NN_1.NN_燃費( rsmRangeForVar5_step4)</f>
        <v>17.178193131271659</v>
      </c>
      <c r="M38">
        <f>RSM_NN_1.NN_燃費( rsmRangeForVar5_step5)</f>
        <v>17.053015863278947</v>
      </c>
      <c r="N38">
        <f>RSM_NN_1.NN_燃費( rsmRangeForVar5_step6)</f>
        <v>16.92565497673101</v>
      </c>
      <c r="O38">
        <f>RSM_NN_1.NN_燃費( rsmRangeForVar5_step7)</f>
        <v>16.795724422691556</v>
      </c>
      <c r="P38">
        <f>RSM_NN_1.NN_燃費( rsmRangeForVar5_step8)</f>
        <v>16.66281499520813</v>
      </c>
      <c r="Q38">
        <f>RSM_NN_1.NN_燃費( rsmRangeForVar5_step9)</f>
        <v>16.526567886835387</v>
      </c>
      <c r="R38">
        <f>RSM_NN_1.NN_燃費( rsmRangeForVar5_step10)</f>
        <v>16.386791215534231</v>
      </c>
    </row>
    <row r="39" spans="1:18" ht="24.95" customHeight="1" x14ac:dyDescent="0.4">
      <c r="A39" s="13">
        <v>11</v>
      </c>
      <c r="B39" s="12">
        <v>11</v>
      </c>
      <c r="C39" s="14">
        <v>2.2599418148973878</v>
      </c>
      <c r="D39" s="12">
        <v>11</v>
      </c>
      <c r="E39" s="12">
        <v>11</v>
      </c>
      <c r="F39" s="14">
        <v>75.999832002987887</v>
      </c>
      <c r="G39" s="8"/>
    </row>
    <row r="40" spans="1:18" ht="24.95" customHeight="1" x14ac:dyDescent="0.4">
      <c r="A40" s="13">
        <v>0.31302731665603178</v>
      </c>
      <c r="B40" s="12">
        <v>1.9972132554787747E-3</v>
      </c>
      <c r="C40" s="15" t="s">
        <v>2</v>
      </c>
      <c r="D40" s="12">
        <v>6.5008071969474805</v>
      </c>
      <c r="E40" s="12">
        <v>7.4934107597275326E-2</v>
      </c>
      <c r="F40" s="15" t="s">
        <v>3</v>
      </c>
      <c r="G40" s="8"/>
    </row>
    <row r="41" spans="1:18" ht="24.95" customHeight="1" x14ac:dyDescent="0.4">
      <c r="A41" s="13">
        <v>11</v>
      </c>
      <c r="B41" s="12">
        <v>11</v>
      </c>
      <c r="C41" s="14">
        <v>0.33299944921081953</v>
      </c>
      <c r="D41" s="12">
        <v>11</v>
      </c>
      <c r="E41" s="12">
        <v>11</v>
      </c>
      <c r="F41" s="14">
        <v>7.2501482729202333</v>
      </c>
      <c r="G41" s="8"/>
    </row>
    <row r="42" spans="1:18" ht="24.95" customHeight="1" x14ac:dyDescent="0.4">
      <c r="A42" s="13">
        <v>6.6007835573266389</v>
      </c>
      <c r="B42" s="12">
        <v>4.9935788735387329E-2</v>
      </c>
      <c r="C42" s="15" t="s">
        <v>5</v>
      </c>
      <c r="D42" s="7"/>
      <c r="E42" s="7"/>
      <c r="F42" s="7"/>
      <c r="G42" s="8"/>
    </row>
    <row r="43" spans="1:18" ht="24.95" customHeight="1" x14ac:dyDescent="0.4">
      <c r="A43" s="13">
        <v>11</v>
      </c>
      <c r="B43" s="12">
        <v>11</v>
      </c>
      <c r="C43" s="14">
        <v>7.1001414446805118</v>
      </c>
      <c r="D43" s="7"/>
      <c r="E43" s="7"/>
      <c r="F43" s="7"/>
      <c r="G43" s="8"/>
    </row>
    <row r="44" spans="1:18" ht="24.95" customHeight="1" x14ac:dyDescent="0.4">
      <c r="A44" s="6"/>
      <c r="B44" s="7"/>
      <c r="C44" s="7"/>
      <c r="D44" s="7"/>
      <c r="E44" s="7"/>
      <c r="F44" s="7"/>
      <c r="G44" s="8"/>
    </row>
    <row r="45" spans="1:18" ht="24.95" customHeight="1" thickBot="1" x14ac:dyDescent="0.45">
      <c r="A45" s="6"/>
      <c r="B45" s="7"/>
      <c r="C45" s="7"/>
      <c r="D45" s="7"/>
      <c r="E45" s="7"/>
      <c r="F45" s="7"/>
      <c r="G45" s="8"/>
    </row>
    <row r="46" spans="1:18" ht="24.95" customHeight="1" thickTop="1" x14ac:dyDescent="0.4">
      <c r="A46" s="3"/>
      <c r="B46" s="4"/>
      <c r="C46" s="4"/>
      <c r="D46" s="4"/>
      <c r="E46" s="4"/>
      <c r="F46" s="4"/>
      <c r="G46" s="5"/>
      <c r="H46">
        <v>6.6007835573266389</v>
      </c>
      <c r="I46">
        <v>6.7006551347974135</v>
      </c>
      <c r="J46">
        <v>6.8005267122681881</v>
      </c>
      <c r="K46">
        <v>6.9003982897389626</v>
      </c>
      <c r="L46">
        <v>7.0002698672097372</v>
      </c>
      <c r="M46">
        <v>7.1001414446805118</v>
      </c>
      <c r="N46">
        <v>7.2000130221512872</v>
      </c>
      <c r="O46">
        <v>7.2998845996220618</v>
      </c>
      <c r="P46">
        <v>7.3997561770928364</v>
      </c>
      <c r="Q46">
        <v>7.499627754563611</v>
      </c>
      <c r="R46">
        <v>7.5994993320343855</v>
      </c>
    </row>
    <row r="47" spans="1:18" ht="24.95" customHeight="1" x14ac:dyDescent="0.4">
      <c r="A47" s="13">
        <v>2.1100710415760906</v>
      </c>
      <c r="B47" s="12">
        <v>1.4987077332129718E-2</v>
      </c>
      <c r="C47" s="15" t="s">
        <v>0</v>
      </c>
      <c r="D47" s="12">
        <v>72.001827233937462</v>
      </c>
      <c r="E47" s="12">
        <v>0.39980047690504178</v>
      </c>
      <c r="F47" s="15" t="s">
        <v>1</v>
      </c>
      <c r="G47" s="8"/>
      <c r="H47">
        <f>RSM_NN_1.NN_燃費( rsmRangeForVar6_step0)</f>
        <v>17.255041793098243</v>
      </c>
      <c r="I47">
        <f>RSM_NN_1.NN_燃費( rsmRangeForVar6_step1)</f>
        <v>17.214026876409221</v>
      </c>
      <c r="J47">
        <f>RSM_NN_1.NN_燃費( rsmRangeForVar6_step2)</f>
        <v>17.173372324201544</v>
      </c>
      <c r="K47">
        <f>RSM_NN_1.NN_燃費( rsmRangeForVar6_step3)</f>
        <v>17.133009988625567</v>
      </c>
      <c r="L47">
        <f>RSM_NN_1.NN_燃費( rsmRangeForVar6_step4)</f>
        <v>17.092901152877989</v>
      </c>
      <c r="M47">
        <f>RSM_NN_1.NN_燃費( rsmRangeForVar6_step5)</f>
        <v>17.053015863278947</v>
      </c>
      <c r="N47">
        <f>RSM_NN_1.NN_燃費( rsmRangeForVar6_step6)</f>
        <v>17.013312398383754</v>
      </c>
      <c r="O47">
        <f>RSM_NN_1.NN_燃費( rsmRangeForVar6_step7)</f>
        <v>16.973745159768463</v>
      </c>
      <c r="P47">
        <f>RSM_NN_1.NN_燃費( rsmRangeForVar6_step8)</f>
        <v>16.934280217154125</v>
      </c>
      <c r="Q47">
        <f>RSM_NN_1.NN_燃費( rsmRangeForVar6_step9)</f>
        <v>16.894898247582269</v>
      </c>
      <c r="R47">
        <f>RSM_NN_1.NN_燃費( rsmRangeForVar6_step10)</f>
        <v>16.85558845280212</v>
      </c>
    </row>
    <row r="48" spans="1:18" ht="24.95" customHeight="1" x14ac:dyDescent="0.4">
      <c r="A48" s="13">
        <v>11</v>
      </c>
      <c r="B48" s="12">
        <v>11</v>
      </c>
      <c r="C48" s="14">
        <v>2.2599418148973878</v>
      </c>
      <c r="D48" s="12">
        <v>11</v>
      </c>
      <c r="E48" s="12">
        <v>11</v>
      </c>
      <c r="F48" s="14">
        <v>75.999832002987887</v>
      </c>
      <c r="G48" s="8"/>
    </row>
    <row r="49" spans="1:7" ht="24.95" customHeight="1" x14ac:dyDescent="0.4">
      <c r="A49" s="13">
        <v>0.31302731665603178</v>
      </c>
      <c r="B49" s="12">
        <v>1.9972132554787747E-3</v>
      </c>
      <c r="C49" s="15" t="s">
        <v>2</v>
      </c>
      <c r="D49" s="12">
        <v>6.5008071969474805</v>
      </c>
      <c r="E49" s="12">
        <v>7.4934107597275326E-2</v>
      </c>
      <c r="F49" s="15" t="s">
        <v>3</v>
      </c>
      <c r="G49" s="8"/>
    </row>
    <row r="50" spans="1:7" ht="24.95" customHeight="1" x14ac:dyDescent="0.4">
      <c r="A50" s="13">
        <v>11</v>
      </c>
      <c r="B50" s="12">
        <v>11</v>
      </c>
      <c r="C50" s="14">
        <v>0.33299944921081953</v>
      </c>
      <c r="D50" s="12">
        <v>11</v>
      </c>
      <c r="E50" s="12">
        <v>11</v>
      </c>
      <c r="F50" s="14">
        <v>7.2501482729202333</v>
      </c>
      <c r="G50" s="8"/>
    </row>
    <row r="51" spans="1:7" ht="24.95" customHeight="1" x14ac:dyDescent="0.4">
      <c r="A51" s="13">
        <v>1350.2296822836761</v>
      </c>
      <c r="B51" s="12">
        <v>17.480235813377796</v>
      </c>
      <c r="C51" s="15" t="s">
        <v>4</v>
      </c>
      <c r="D51" s="7"/>
      <c r="E51" s="7"/>
      <c r="F51" s="7"/>
      <c r="G51" s="8"/>
    </row>
    <row r="52" spans="1:7" ht="24.95" customHeight="1" x14ac:dyDescent="0.4">
      <c r="A52" s="13">
        <v>11</v>
      </c>
      <c r="B52" s="12">
        <v>11</v>
      </c>
      <c r="C52" s="14">
        <v>1525.032040417454</v>
      </c>
      <c r="D52" s="7"/>
      <c r="E52" s="7"/>
      <c r="F52" s="7"/>
      <c r="G52" s="8"/>
    </row>
    <row r="53" spans="1:7" ht="24.95" customHeight="1" x14ac:dyDescent="0.4">
      <c r="A53" s="6"/>
      <c r="B53" s="7"/>
      <c r="C53" s="7"/>
      <c r="D53" s="7"/>
      <c r="E53" s="7"/>
      <c r="F53" s="7"/>
      <c r="G53" s="8"/>
    </row>
    <row r="54" spans="1:7" ht="24.95" customHeight="1" thickBot="1" x14ac:dyDescent="0.45">
      <c r="A54" s="9"/>
      <c r="B54" s="10"/>
      <c r="C54" s="10"/>
      <c r="D54" s="10"/>
      <c r="E54" s="10"/>
      <c r="F54" s="10"/>
      <c r="G54" s="11"/>
    </row>
    <row r="55" spans="1:7" ht="19.5" thickTop="1" x14ac:dyDescent="0.4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pinner 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5</xdr:row>
                    <xdr:rowOff>304800</xdr:rowOff>
                  </from>
                  <to>
                    <xdr:col>1</xdr:col>
                    <xdr:colOff>200025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10</xdr:row>
                    <xdr:rowOff>304800</xdr:rowOff>
                  </from>
                  <to>
                    <xdr:col>1</xdr:col>
                    <xdr:colOff>200025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10</xdr:row>
                    <xdr:rowOff>304800</xdr:rowOff>
                  </from>
                  <to>
                    <xdr:col>4</xdr:col>
                    <xdr:colOff>200025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Spinner 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Spinner 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14</xdr:row>
                    <xdr:rowOff>304800</xdr:rowOff>
                  </from>
                  <to>
                    <xdr:col>1</xdr:col>
                    <xdr:colOff>200025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Spinner 1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200025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Spinner 1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200025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Spinner 1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21</xdr:row>
                    <xdr:rowOff>304800</xdr:rowOff>
                  </from>
                  <to>
                    <xdr:col>1</xdr:col>
                    <xdr:colOff>200025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Spinner 1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21</xdr:row>
                    <xdr:rowOff>304800</xdr:rowOff>
                  </from>
                  <to>
                    <xdr:col>4</xdr:col>
                    <xdr:colOff>200025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Spinner 1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Spinner 1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1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Spinner 1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Spinner 1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30</xdr:row>
                    <xdr:rowOff>304800</xdr:rowOff>
                  </from>
                  <to>
                    <xdr:col>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Spinner 1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30</xdr:row>
                    <xdr:rowOff>304800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Spinner 2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Spinner 2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37</xdr:row>
                    <xdr:rowOff>304800</xdr:rowOff>
                  </from>
                  <to>
                    <xdr:col>1</xdr:col>
                    <xdr:colOff>200025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Spinner 2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37</xdr:row>
                    <xdr:rowOff>304800</xdr:rowOff>
                  </from>
                  <to>
                    <xdr:col>4</xdr:col>
                    <xdr:colOff>200025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Spinner 2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1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Spinner 2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Spinner 2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1</xdr:col>
                    <xdr:colOff>200025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Spinner 2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46</xdr:row>
                    <xdr:rowOff>304800</xdr:rowOff>
                  </from>
                  <to>
                    <xdr:col>1</xdr:col>
                    <xdr:colOff>200025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Spinner 2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46</xdr:row>
                    <xdr:rowOff>304800</xdr:rowOff>
                  </from>
                  <to>
                    <xdr:col>4</xdr:col>
                    <xdr:colOff>200025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Spinner 2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1</xdr:col>
                    <xdr:colOff>200025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Spinner 2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4</xdr:col>
                    <xdr:colOff>200025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Spinner 3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50</xdr:row>
                    <xdr:rowOff>304800</xdr:rowOff>
                  </from>
                  <to>
                    <xdr:col>1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3A8F-72C1-4C07-B34C-4C84B45D30C4}">
  <sheetPr codeName="Sheet1"/>
  <dimension ref="A1:M16"/>
  <sheetViews>
    <sheetView tabSelected="1" workbookViewId="0">
      <selection activeCell="A2" sqref="A2"/>
    </sheetView>
  </sheetViews>
  <sheetFormatPr defaultRowHeight="18.75" x14ac:dyDescent="0.4"/>
  <sheetData>
    <row r="1" spans="1:13" x14ac:dyDescent="0.4">
      <c r="A1" t="s">
        <v>2</v>
      </c>
      <c r="B1" t="s">
        <v>3</v>
      </c>
      <c r="C1" t="s">
        <v>4</v>
      </c>
      <c r="D1" t="s">
        <v>5</v>
      </c>
    </row>
    <row r="2" spans="1:13" x14ac:dyDescent="0.4">
      <c r="A2">
        <v>0.33299944921081953</v>
      </c>
      <c r="B2">
        <v>7.2501482729202333</v>
      </c>
      <c r="C2">
        <v>1525.032040417454</v>
      </c>
      <c r="D2">
        <v>7.1001414446805118</v>
      </c>
    </row>
    <row r="4" spans="1:13" x14ac:dyDescent="0.4">
      <c r="C4" s="16" t="s">
        <v>0</v>
      </c>
      <c r="D4" s="16"/>
      <c r="E4" s="16"/>
      <c r="F4" s="16"/>
      <c r="G4" s="16"/>
      <c r="H4" s="16"/>
      <c r="I4" s="16"/>
      <c r="J4" s="16"/>
      <c r="K4" s="16"/>
      <c r="L4" s="16"/>
      <c r="M4" s="16"/>
    </row>
    <row r="5" spans="1:13" x14ac:dyDescent="0.4">
      <c r="C5" s="1">
        <v>2.1100710415760906</v>
      </c>
      <c r="D5" s="1">
        <v>2.1400451962403499</v>
      </c>
      <c r="E5" s="1">
        <v>2.1700193509046093</v>
      </c>
      <c r="F5" s="1">
        <v>2.1999935055688691</v>
      </c>
      <c r="G5" s="1">
        <v>2.2299676602331284</v>
      </c>
      <c r="H5" s="1">
        <v>2.2599418148973878</v>
      </c>
      <c r="I5" s="1">
        <v>2.2899159695616471</v>
      </c>
      <c r="J5" s="1">
        <v>2.3198901242259065</v>
      </c>
      <c r="K5" s="1">
        <v>2.3498642788901662</v>
      </c>
      <c r="L5" s="1">
        <v>2.3798384335544256</v>
      </c>
      <c r="M5" s="1">
        <v>2.4098125882186849</v>
      </c>
    </row>
    <row r="6" spans="1:13" x14ac:dyDescent="0.4">
      <c r="A6" s="17" t="s">
        <v>1</v>
      </c>
      <c r="B6" s="2">
        <v>72.001827233937462</v>
      </c>
      <c r="C6">
        <f>RSM_NN_1.NN_燃費( rsmChart_1_1)</f>
        <v>17.253783927230401</v>
      </c>
      <c r="D6">
        <f>RSM_NN_1.NN_燃費( rsmChart_1_2)</f>
        <v>17.208031144736371</v>
      </c>
      <c r="E6">
        <f>RSM_NN_1.NN_燃費( rsmChart_1_3)</f>
        <v>17.162326972682802</v>
      </c>
      <c r="F6">
        <f>RSM_NN_1.NN_燃費( rsmChart_1_4)</f>
        <v>17.116726422290554</v>
      </c>
      <c r="G6">
        <f>RSM_NN_1.NN_燃費( rsmChart_1_5)</f>
        <v>17.071295206327541</v>
      </c>
      <c r="H6">
        <f>RSM_NN_1.NN_燃費( rsmChart_1_6)</f>
        <v>17.026128413651062</v>
      </c>
      <c r="I6">
        <f>RSM_NN_1.NN_燃費( rsmChart_1_7)</f>
        <v>16.981310672331119</v>
      </c>
      <c r="J6">
        <f>RSM_NN_1.NN_燃費( rsmChart_1_8)</f>
        <v>16.936843163683371</v>
      </c>
      <c r="K6">
        <f>RSM_NN_1.NN_燃費( rsmChart_1_9)</f>
        <v>16.892631658862065</v>
      </c>
      <c r="L6">
        <f>RSM_NN_1.NN_燃費( rsmChart_1_10)</f>
        <v>16.848561963712186</v>
      </c>
      <c r="M6">
        <f>RSM_NN_1.NN_燃費( rsmChart_1_11)</f>
        <v>16.804565771936101</v>
      </c>
    </row>
    <row r="7" spans="1:13" x14ac:dyDescent="0.4">
      <c r="A7" s="17"/>
      <c r="B7" s="2">
        <v>72.801428187747547</v>
      </c>
      <c r="C7">
        <f>RSM_NN_1.NN_燃費( rsmChart_2_1)</f>
        <v>17.259215367530146</v>
      </c>
      <c r="D7">
        <f>RSM_NN_1.NN_燃費( rsmChart_2_2)</f>
        <v>17.213369399500255</v>
      </c>
      <c r="E7">
        <f>RSM_NN_1.NN_燃費( rsmChart_2_3)</f>
        <v>17.167620739701544</v>
      </c>
      <c r="F7">
        <f>RSM_NN_1.NN_燃費( rsmChart_2_4)</f>
        <v>17.122017205707483</v>
      </c>
      <c r="G7">
        <f>RSM_NN_1.NN_燃費( rsmChart_2_5)</f>
        <v>17.07660727422298</v>
      </c>
      <c r="H7">
        <f>RSM_NN_1.NN_燃費( rsmChart_2_6)</f>
        <v>17.031462061266293</v>
      </c>
      <c r="I7">
        <f>RSM_NN_1.NN_燃費( rsmChart_2_7)</f>
        <v>16.98664440901711</v>
      </c>
      <c r="J7">
        <f>RSM_NN_1.NN_燃費( rsmChart_2_8)</f>
        <v>16.942151582968187</v>
      </c>
      <c r="K7">
        <f>RSM_NN_1.NN_燃費( rsmChart_2_9)</f>
        <v>16.897897613190267</v>
      </c>
      <c r="L7">
        <f>RSM_NN_1.NN_燃費( rsmChart_2_10)</f>
        <v>16.853764949128411</v>
      </c>
      <c r="M7">
        <f>RSM_NN_1.NN_燃費( rsmChart_2_11)</f>
        <v>16.809684273154318</v>
      </c>
    </row>
    <row r="8" spans="1:13" x14ac:dyDescent="0.4">
      <c r="A8" s="17"/>
      <c r="B8" s="2">
        <v>73.601029141557632</v>
      </c>
      <c r="C8">
        <f>RSM_NN_1.NN_燃費( rsmChart_3_1)</f>
        <v>17.264593480957554</v>
      </c>
      <c r="D8">
        <f>RSM_NN_1.NN_燃費( rsmChart_3_2)</f>
        <v>17.218714864216761</v>
      </c>
      <c r="E8">
        <f>RSM_NN_1.NN_燃費( rsmChart_3_3)</f>
        <v>17.172963470213475</v>
      </c>
      <c r="F8">
        <f>RSM_NN_1.NN_燃費( rsmChart_3_4)</f>
        <v>17.127375196686266</v>
      </c>
      <c r="G8">
        <f>RSM_NN_1.NN_燃費( rsmChart_3_5)</f>
        <v>17.081988027131754</v>
      </c>
      <c r="H8">
        <f>RSM_NN_1.NN_燃費( rsmChart_3_6)</f>
        <v>17.036857455782656</v>
      </c>
      <c r="I8">
        <f>RSM_NN_1.NN_燃費( rsmChart_3_7)</f>
        <v>16.992030345393385</v>
      </c>
      <c r="J8">
        <f>RSM_NN_1.NN_燃費( rsmChart_3_8)</f>
        <v>16.947501447687028</v>
      </c>
      <c r="K8">
        <f>RSM_NN_1.NN_燃費( rsmChart_3_9)</f>
        <v>16.903196966886092</v>
      </c>
      <c r="L8">
        <f>RSM_NN_1.NN_燃費( rsmChart_3_10)</f>
        <v>16.859005827580258</v>
      </c>
      <c r="M8">
        <f>RSM_NN_1.NN_燃費( rsmChart_3_11)</f>
        <v>16.81485043933829</v>
      </c>
    </row>
    <row r="9" spans="1:13" x14ac:dyDescent="0.4">
      <c r="A9" s="17"/>
      <c r="B9" s="2">
        <v>74.400630095367717</v>
      </c>
      <c r="C9">
        <f>RSM_NN_1.NN_燃費( rsmChart_4_1)</f>
        <v>17.269945720448185</v>
      </c>
      <c r="D9">
        <f>RSM_NN_1.NN_燃費( rsmChart_4_2)</f>
        <v>17.224069293795608</v>
      </c>
      <c r="E9">
        <f>RSM_NN_1.NN_燃費( rsmChart_4_3)</f>
        <v>17.178332357024082</v>
      </c>
      <c r="F9">
        <f>RSM_NN_1.NN_燃費( rsmChart_4_4)</f>
        <v>17.132758989242255</v>
      </c>
      <c r="G9">
        <f>RSM_NN_1.NN_燃費( rsmChart_4_5)</f>
        <v>17.087381554780638</v>
      </c>
      <c r="H9">
        <f>RSM_NN_1.NN_燃費( rsmChart_4_6)</f>
        <v>17.042249489187689</v>
      </c>
      <c r="I9">
        <f>RSM_NN_1.NN_燃費( rsmChart_4_7)</f>
        <v>16.997402665417191</v>
      </c>
      <c r="J9">
        <f>RSM_NN_1.NN_燃費( rsmChart_4_8)</f>
        <v>16.952833265517977</v>
      </c>
      <c r="K9">
        <f>RSM_NN_1.NN_燃費( rsmChart_4_9)</f>
        <v>16.90847592113218</v>
      </c>
      <c r="L9">
        <f>RSM_NN_1.NN_燃費( rsmChart_4_10)</f>
        <v>16.864233194711304</v>
      </c>
      <c r="M9">
        <f>RSM_NN_1.NN_燃費( rsmChart_4_11)</f>
        <v>16.820027141108696</v>
      </c>
    </row>
    <row r="10" spans="1:13" x14ac:dyDescent="0.4">
      <c r="A10" s="17"/>
      <c r="B10" s="2">
        <v>75.200231049177802</v>
      </c>
      <c r="C10">
        <f>RSM_NN_1.NN_燃費( rsmChart_5_1)</f>
        <v>17.275266907779379</v>
      </c>
      <c r="D10">
        <f>RSM_NN_1.NN_燃費( rsmChart_5_2)</f>
        <v>17.229412929622217</v>
      </c>
      <c r="E10">
        <f>RSM_NN_1.NN_燃費( rsmChart_5_3)</f>
        <v>17.183699091913258</v>
      </c>
      <c r="F10">
        <f>RSM_NN_1.NN_燃費( rsmChart_5_4)</f>
        <v>17.138141390429013</v>
      </c>
      <c r="G10">
        <f>RSM_NN_1.NN_燃費( rsmChart_5_5)</f>
        <v>17.092766608412774</v>
      </c>
      <c r="H10">
        <f>RSM_NN_1.NN_燃費( rsmChart_5_6)</f>
        <v>17.047624117248628</v>
      </c>
      <c r="I10">
        <f>RSM_NN_1.NN_燃費( rsmChart_5_7)</f>
        <v>17.002755063793753</v>
      </c>
      <c r="J10">
        <f>RSM_NN_1.NN_燃費( rsmChart_5_8)</f>
        <v>16.958149958225491</v>
      </c>
      <c r="K10">
        <f>RSM_NN_1.NN_燃費( rsmChart_5_9)</f>
        <v>16.913745424653708</v>
      </c>
      <c r="L10">
        <f>RSM_NN_1.NN_燃費( rsmChart_5_10)</f>
        <v>16.869456388056918</v>
      </c>
      <c r="M10">
        <f>RSM_NN_1.NN_燃費( rsmChart_5_11)</f>
        <v>16.825216327921904</v>
      </c>
    </row>
    <row r="11" spans="1:13" x14ac:dyDescent="0.4">
      <c r="A11" s="17"/>
      <c r="B11" s="2">
        <v>75.999832002987887</v>
      </c>
      <c r="C11">
        <f>RSM_NN_1.NN_燃費( rsmChart_6_1)</f>
        <v>17.280570621137709</v>
      </c>
      <c r="D11">
        <f>RSM_NN_1.NN_燃費( rsmChart_6_2)</f>
        <v>17.234761123369257</v>
      </c>
      <c r="E11">
        <f>RSM_NN_1.NN_燃費( rsmChart_6_3)</f>
        <v>17.18907897376538</v>
      </c>
      <c r="F11">
        <f>RSM_NN_1.NN_燃費( rsmChart_6_4)</f>
        <v>17.143539669492458</v>
      </c>
      <c r="G11">
        <f>RSM_NN_1.NN_燃費( rsmChart_6_5)</f>
        <v>17.098167972996997</v>
      </c>
      <c r="H11">
        <f>RSM_NN_1.NN_燃費( rsmChart_6_6)</f>
        <v>17.053015863278947</v>
      </c>
      <c r="I11">
        <f>RSM_NN_1.NN_燃費( rsmChart_6_7)</f>
        <v>17.0081295681386</v>
      </c>
      <c r="J11">
        <f>RSM_NN_1.NN_燃費( rsmChart_6_8)</f>
        <v>16.963500012125071</v>
      </c>
      <c r="K11">
        <f>RSM_NN_1.NN_燃費( rsmChart_6_9)</f>
        <v>16.919061636822612</v>
      </c>
      <c r="L11">
        <f>RSM_NN_1.NN_燃費( rsmChart_6_10)</f>
        <v>16.874734472683844</v>
      </c>
      <c r="M11">
        <f>RSM_NN_1.NN_燃費( rsmChart_6_11)</f>
        <v>16.830465650265062</v>
      </c>
    </row>
    <row r="12" spans="1:13" x14ac:dyDescent="0.4">
      <c r="A12" s="17"/>
      <c r="B12" s="2">
        <v>76.799432956797958</v>
      </c>
      <c r="C12">
        <f>RSM_NN_1.NN_燃費( rsmChart_7_1)</f>
        <v>17.285898984390524</v>
      </c>
      <c r="D12">
        <f>RSM_NN_1.NN_燃費( rsmChart_7_2)</f>
        <v>17.240154129297796</v>
      </c>
      <c r="E12">
        <f>RSM_NN_1.NN_燃費( rsmChart_7_3)</f>
        <v>17.194511082355984</v>
      </c>
      <c r="F12">
        <f>RSM_NN_1.NN_燃費( rsmChart_7_4)</f>
        <v>17.148986165109033</v>
      </c>
      <c r="G12">
        <f>RSM_NN_1.NN_燃費( rsmChart_7_5)</f>
        <v>17.10361438454381</v>
      </c>
      <c r="H12">
        <f>RSM_NN_1.NN_燃費( rsmChart_7_6)</f>
        <v>17.058455341956485</v>
      </c>
      <c r="I12">
        <f>RSM_NN_1.NN_燃費( rsmChart_7_7)</f>
        <v>17.013559409921601</v>
      </c>
      <c r="J12">
        <f>RSM_NN_1.NN_燃費( rsmChart_7_8)</f>
        <v>16.968917913706388</v>
      </c>
      <c r="K12">
        <f>RSM_NN_1.NN_燃費( rsmChart_7_9)</f>
        <v>16.924462476469735</v>
      </c>
      <c r="L12">
        <f>RSM_NN_1.NN_燃費( rsmChart_7_10)</f>
        <v>16.880111786256251</v>
      </c>
      <c r="M12">
        <f>RSM_NN_1.NN_燃費( rsmChart_7_11)</f>
        <v>16.835819211143964</v>
      </c>
    </row>
    <row r="13" spans="1:13" x14ac:dyDescent="0.4">
      <c r="A13" s="17"/>
      <c r="B13" s="2">
        <v>77.599033910608043</v>
      </c>
      <c r="C13">
        <f>RSM_NN_1.NN_燃費( rsmChart_8_1)</f>
        <v>17.291289006789214</v>
      </c>
      <c r="D13">
        <f>RSM_NN_1.NN_燃費( rsmChart_8_2)</f>
        <v>17.245612611986903</v>
      </c>
      <c r="E13">
        <f>RSM_NN_1.NN_燃費( rsmChart_8_3)</f>
        <v>17.200011819863253</v>
      </c>
      <c r="F13">
        <f>RSM_NN_1.NN_燃費( rsmChart_8_4)</f>
        <v>17.154489727099936</v>
      </c>
      <c r="G13">
        <f>RSM_NN_1.NN_燃費( rsmChart_8_5)</f>
        <v>17.109102288804539</v>
      </c>
      <c r="H13">
        <f>RSM_NN_1.NN_燃費( rsmChart_8_6)</f>
        <v>17.063928946596068</v>
      </c>
      <c r="I13">
        <f>RSM_NN_1.NN_燃費( rsmChart_8_7)</f>
        <v>17.019025341601296</v>
      </c>
      <c r="J13">
        <f>RSM_NN_1.NN_燃費( rsmChart_8_8)</f>
        <v>16.974380531674967</v>
      </c>
      <c r="K13">
        <f>RSM_NN_1.NN_燃費( rsmChart_8_9)</f>
        <v>16.929922766693121</v>
      </c>
      <c r="L13">
        <f>RSM_NN_1.NN_燃費( rsmChart_8_10)</f>
        <v>16.885567295482875</v>
      </c>
      <c r="M13">
        <f>RSM_NN_1.NN_燃費( rsmChart_8_11)</f>
        <v>16.841265454293875</v>
      </c>
    </row>
    <row r="14" spans="1:13" x14ac:dyDescent="0.4">
      <c r="A14" s="17"/>
      <c r="B14" s="2">
        <v>78.398634864418128</v>
      </c>
      <c r="C14">
        <f>RSM_NN_1.NN_燃費( rsmChart_9_1)</f>
        <v>17.29674991918553</v>
      </c>
      <c r="D14">
        <f>RSM_NN_1.NN_燃費( rsmChart_9_2)</f>
        <v>17.251124222726354</v>
      </c>
      <c r="E14">
        <f>RSM_NN_1.NN_燃費( rsmChart_9_3)</f>
        <v>17.205557998627803</v>
      </c>
      <c r="F14">
        <f>RSM_NN_1.NN_燃費( rsmChart_9_4)</f>
        <v>17.160026818509618</v>
      </c>
      <c r="G14">
        <f>RSM_NN_1.NN_燃費( rsmChart_9_5)</f>
        <v>17.114600404576912</v>
      </c>
      <c r="H14">
        <f>RSM_NN_1.NN_燃費( rsmChart_9_6)</f>
        <v>17.069390482666943</v>
      </c>
      <c r="I14">
        <f>RSM_NN_1.NN_燃費( rsmChart_9_7)</f>
        <v>17.024467635055732</v>
      </c>
      <c r="J14">
        <f>RSM_NN_1.NN_燃費( rsmChart_9_8)</f>
        <v>16.979818998243449</v>
      </c>
      <c r="K14">
        <f>RSM_NN_1.NN_燃費( rsmChart_9_9)</f>
        <v>16.935367418048866</v>
      </c>
      <c r="L14">
        <f>RSM_NN_1.NN_燃費( rsmChart_9_10)</f>
        <v>16.891024132532912</v>
      </c>
      <c r="M14">
        <f>RSM_NN_1.NN_燃費( rsmChart_9_11)</f>
        <v>16.846734878722636</v>
      </c>
    </row>
    <row r="15" spans="1:13" x14ac:dyDescent="0.4">
      <c r="A15" s="17"/>
      <c r="B15" s="2">
        <v>79.198235818228213</v>
      </c>
      <c r="C15">
        <f>RSM_NN_1.NN_燃費( rsmChart_10_1)</f>
        <v>17.302268204767334</v>
      </c>
      <c r="D15">
        <f>RSM_NN_1.NN_燃費( rsmChart_10_2)</f>
        <v>17.256665409397321</v>
      </c>
      <c r="E15">
        <f>RSM_NN_1.NN_燃費( rsmChart_10_3)</f>
        <v>17.211111404918743</v>
      </c>
      <c r="F15">
        <f>RSM_NN_1.NN_燃費( rsmChart_10_4)</f>
        <v>17.165559511103687</v>
      </c>
      <c r="G15">
        <f>RSM_NN_1.NN_燃費( rsmChart_10_5)</f>
        <v>17.120074843180888</v>
      </c>
      <c r="H15">
        <f>RSM_NN_1.NN_燃費( rsmChart_10_6)</f>
        <v>17.074797894593623</v>
      </c>
      <c r="I15">
        <f>RSM_NN_1.NN_燃費( rsmChart_10_7)</f>
        <v>17.029828769420813</v>
      </c>
      <c r="J15">
        <f>RSM_NN_1.NN_燃費( rsmChart_10_8)</f>
        <v>16.98516174738112</v>
      </c>
      <c r="K15">
        <f>RSM_NN_1.NN_燃費( rsmChart_10_9)</f>
        <v>16.940714634225294</v>
      </c>
      <c r="L15">
        <f>RSM_NN_1.NN_燃費( rsmChart_10_10)</f>
        <v>16.896393161316279</v>
      </c>
      <c r="M15">
        <f>RSM_NN_1.NN_燃費( rsmChart_10_11)</f>
        <v>16.852136576267206</v>
      </c>
    </row>
    <row r="16" spans="1:13" x14ac:dyDescent="0.4">
      <c r="A16" s="17"/>
      <c r="B16" s="2">
        <v>79.997836772038298</v>
      </c>
      <c r="C16">
        <f>RSM_NN_1.NN_燃費( rsmChart_11_1)</f>
        <v>17.307825957822846</v>
      </c>
      <c r="D16">
        <f>RSM_NN_1.NN_燃費( rsmChart_11_2)</f>
        <v>17.262224138294808</v>
      </c>
      <c r="E16">
        <f>RSM_NN_1.NN_燃費( rsmChart_11_3)</f>
        <v>17.216653990404836</v>
      </c>
      <c r="F16">
        <f>RSM_NN_1.NN_燃費( rsmChart_11_4)</f>
        <v>17.171065062630202</v>
      </c>
      <c r="G16">
        <f>RSM_NN_1.NN_燃費( rsmChart_11_5)</f>
        <v>17.125511025610521</v>
      </c>
      <c r="H16">
        <f>RSM_NN_1.NN_燃費( rsmChart_11_6)</f>
        <v>17.080140784528016</v>
      </c>
      <c r="I16">
        <f>RSM_NN_1.NN_燃費( rsmChart_11_7)</f>
        <v>17.03508817206804</v>
      </c>
      <c r="J16">
        <f>RSM_NN_1.NN_燃費( rsmChart_11_8)</f>
        <v>16.990371678452536</v>
      </c>
      <c r="K16">
        <f>RSM_NN_1.NN_燃費( rsmChart_11_9)</f>
        <v>16.945912130675318</v>
      </c>
      <c r="L16">
        <f>RSM_NN_1.NN_燃費( rsmChart_11_10)</f>
        <v>16.901609769670067</v>
      </c>
      <c r="M16">
        <f>RSM_NN_1.NN_燃費( rsmChart_11_11)</f>
        <v>16.85739614140461</v>
      </c>
    </row>
  </sheetData>
  <mergeCells count="2">
    <mergeCell ref="C4:M4"/>
    <mergeCell ref="A6:A1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1B5FE-427C-4361-B50D-0CA2574BD91A}">
  <sheetPr codeName="Sheet2"/>
  <dimension ref="A1:G6"/>
  <sheetViews>
    <sheetView workbookViewId="0"/>
  </sheetViews>
  <sheetFormatPr defaultRowHeight="18.75" x14ac:dyDescent="0.4"/>
  <sheetData>
    <row r="1" spans="1:7" x14ac:dyDescent="0.4">
      <c r="A1" t="s">
        <v>7</v>
      </c>
    </row>
    <row r="2" spans="1:7" x14ac:dyDescent="0.4">
      <c r="A2">
        <v>2.1100710415760906</v>
      </c>
      <c r="B2">
        <v>72.001827233937462</v>
      </c>
      <c r="C2">
        <v>0.31302731665603178</v>
      </c>
      <c r="D2">
        <v>6.5008071969474805</v>
      </c>
      <c r="E2">
        <v>1350.2296822836761</v>
      </c>
      <c r="F2">
        <v>6.6007835573266389</v>
      </c>
    </row>
    <row r="3" spans="1:7" x14ac:dyDescent="0.4">
      <c r="A3">
        <v>2.4098125882186849</v>
      </c>
      <c r="B3">
        <v>79.997836772038298</v>
      </c>
      <c r="C3">
        <v>0.35297158176560728</v>
      </c>
      <c r="D3">
        <v>7.999489348892987</v>
      </c>
      <c r="E3">
        <v>1699.834398551232</v>
      </c>
      <c r="F3">
        <v>7.5994993320343855</v>
      </c>
    </row>
    <row r="5" spans="1:7" x14ac:dyDescent="0.4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6</v>
      </c>
    </row>
    <row r="6" spans="1:7" x14ac:dyDescent="0.4">
      <c r="A6">
        <v>2.40875011780326</v>
      </c>
      <c r="B6">
        <v>78.574310979046601</v>
      </c>
      <c r="C6">
        <v>0.26868538441420192</v>
      </c>
      <c r="D6">
        <v>7.6717976070492098</v>
      </c>
      <c r="E6">
        <v>1445.26206633174</v>
      </c>
      <c r="F6">
        <v>5.6789935047395401</v>
      </c>
      <c r="G6">
        <f>RSM_NN_1.NN_燃費(A6:F6,A5:F5)</f>
        <v>18.351762847656328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187</vt:i4>
      </vt:variant>
    </vt:vector>
  </HeadingPairs>
  <TitlesOfParts>
    <vt:vector size="190" baseType="lpstr">
      <vt:lpstr>テスト _NN_1</vt:lpstr>
      <vt:lpstr>チャート _NN_1</vt:lpstr>
      <vt:lpstr>計算例 _NN_1</vt:lpstr>
      <vt:lpstr>rsmChart_1_1</vt:lpstr>
      <vt:lpstr>rsmChart_1_10</vt:lpstr>
      <vt:lpstr>rsmChart_1_11</vt:lpstr>
      <vt:lpstr>rsmChart_1_2</vt:lpstr>
      <vt:lpstr>rsmChart_1_3</vt:lpstr>
      <vt:lpstr>rsmChart_1_4</vt:lpstr>
      <vt:lpstr>rsmChart_1_5</vt:lpstr>
      <vt:lpstr>rsmChart_1_6</vt:lpstr>
      <vt:lpstr>rsmChart_1_7</vt:lpstr>
      <vt:lpstr>rsmChart_1_8</vt:lpstr>
      <vt:lpstr>rsmChart_1_9</vt:lpstr>
      <vt:lpstr>rsmChart_10_1</vt:lpstr>
      <vt:lpstr>rsmChart_10_10</vt:lpstr>
      <vt:lpstr>rsmChart_10_11</vt:lpstr>
      <vt:lpstr>rsmChart_10_2</vt:lpstr>
      <vt:lpstr>rsmChart_10_3</vt:lpstr>
      <vt:lpstr>rsmChart_10_4</vt:lpstr>
      <vt:lpstr>rsmChart_10_5</vt:lpstr>
      <vt:lpstr>rsmChart_10_6</vt:lpstr>
      <vt:lpstr>rsmChart_10_7</vt:lpstr>
      <vt:lpstr>rsmChart_10_8</vt:lpstr>
      <vt:lpstr>rsmChart_10_9</vt:lpstr>
      <vt:lpstr>rsmChart_11_1</vt:lpstr>
      <vt:lpstr>rsmChart_11_10</vt:lpstr>
      <vt:lpstr>rsmChart_11_11</vt:lpstr>
      <vt:lpstr>rsmChart_11_2</vt:lpstr>
      <vt:lpstr>rsmChart_11_3</vt:lpstr>
      <vt:lpstr>rsmChart_11_4</vt:lpstr>
      <vt:lpstr>rsmChart_11_5</vt:lpstr>
      <vt:lpstr>rsmChart_11_6</vt:lpstr>
      <vt:lpstr>rsmChart_11_7</vt:lpstr>
      <vt:lpstr>rsmChart_11_8</vt:lpstr>
      <vt:lpstr>rsmChart_11_9</vt:lpstr>
      <vt:lpstr>rsmChart_2_1</vt:lpstr>
      <vt:lpstr>rsmChart_2_10</vt:lpstr>
      <vt:lpstr>rsmChart_2_11</vt:lpstr>
      <vt:lpstr>rsmChart_2_2</vt:lpstr>
      <vt:lpstr>rsmChart_2_3</vt:lpstr>
      <vt:lpstr>rsmChart_2_4</vt:lpstr>
      <vt:lpstr>rsmChart_2_5</vt:lpstr>
      <vt:lpstr>rsmChart_2_6</vt:lpstr>
      <vt:lpstr>rsmChart_2_7</vt:lpstr>
      <vt:lpstr>rsmChart_2_8</vt:lpstr>
      <vt:lpstr>rsmChart_2_9</vt:lpstr>
      <vt:lpstr>rsmChart_3_1</vt:lpstr>
      <vt:lpstr>rsmChart_3_10</vt:lpstr>
      <vt:lpstr>rsmChart_3_11</vt:lpstr>
      <vt:lpstr>rsmChart_3_2</vt:lpstr>
      <vt:lpstr>rsmChart_3_3</vt:lpstr>
      <vt:lpstr>rsmChart_3_4</vt:lpstr>
      <vt:lpstr>rsmChart_3_5</vt:lpstr>
      <vt:lpstr>rsmChart_3_6</vt:lpstr>
      <vt:lpstr>rsmChart_3_7</vt:lpstr>
      <vt:lpstr>rsmChart_3_8</vt:lpstr>
      <vt:lpstr>rsmChart_3_9</vt:lpstr>
      <vt:lpstr>rsmChart_4_1</vt:lpstr>
      <vt:lpstr>rsmChart_4_10</vt:lpstr>
      <vt:lpstr>rsmChart_4_11</vt:lpstr>
      <vt:lpstr>rsmChart_4_2</vt:lpstr>
      <vt:lpstr>rsmChart_4_3</vt:lpstr>
      <vt:lpstr>rsmChart_4_4</vt:lpstr>
      <vt:lpstr>rsmChart_4_5</vt:lpstr>
      <vt:lpstr>rsmChart_4_6</vt:lpstr>
      <vt:lpstr>rsmChart_4_7</vt:lpstr>
      <vt:lpstr>rsmChart_4_8</vt:lpstr>
      <vt:lpstr>rsmChart_4_9</vt:lpstr>
      <vt:lpstr>rsmChart_5_1</vt:lpstr>
      <vt:lpstr>rsmChart_5_10</vt:lpstr>
      <vt:lpstr>rsmChart_5_11</vt:lpstr>
      <vt:lpstr>rsmChart_5_2</vt:lpstr>
      <vt:lpstr>rsmChart_5_3</vt:lpstr>
      <vt:lpstr>rsmChart_5_4</vt:lpstr>
      <vt:lpstr>rsmChart_5_5</vt:lpstr>
      <vt:lpstr>rsmChart_5_6</vt:lpstr>
      <vt:lpstr>rsmChart_5_7</vt:lpstr>
      <vt:lpstr>rsmChart_5_8</vt:lpstr>
      <vt:lpstr>rsmChart_5_9</vt:lpstr>
      <vt:lpstr>rsmChart_6_1</vt:lpstr>
      <vt:lpstr>rsmChart_6_10</vt:lpstr>
      <vt:lpstr>rsmChart_6_11</vt:lpstr>
      <vt:lpstr>rsmChart_6_2</vt:lpstr>
      <vt:lpstr>rsmChart_6_3</vt:lpstr>
      <vt:lpstr>rsmChart_6_4</vt:lpstr>
      <vt:lpstr>rsmChart_6_5</vt:lpstr>
      <vt:lpstr>rsmChart_6_6</vt:lpstr>
      <vt:lpstr>rsmChart_6_7</vt:lpstr>
      <vt:lpstr>rsmChart_6_8</vt:lpstr>
      <vt:lpstr>rsmChart_6_9</vt:lpstr>
      <vt:lpstr>rsmChart_7_1</vt:lpstr>
      <vt:lpstr>rsmChart_7_10</vt:lpstr>
      <vt:lpstr>rsmChart_7_11</vt:lpstr>
      <vt:lpstr>rsmChart_7_2</vt:lpstr>
      <vt:lpstr>rsmChart_7_3</vt:lpstr>
      <vt:lpstr>rsmChart_7_4</vt:lpstr>
      <vt:lpstr>rsmChart_7_5</vt:lpstr>
      <vt:lpstr>rsmChart_7_6</vt:lpstr>
      <vt:lpstr>rsmChart_7_7</vt:lpstr>
      <vt:lpstr>rsmChart_7_8</vt:lpstr>
      <vt:lpstr>rsmChart_7_9</vt:lpstr>
      <vt:lpstr>rsmChart_8_1</vt:lpstr>
      <vt:lpstr>rsmChart_8_10</vt:lpstr>
      <vt:lpstr>rsmChart_8_11</vt:lpstr>
      <vt:lpstr>rsmChart_8_2</vt:lpstr>
      <vt:lpstr>rsmChart_8_3</vt:lpstr>
      <vt:lpstr>rsmChart_8_4</vt:lpstr>
      <vt:lpstr>rsmChart_8_5</vt:lpstr>
      <vt:lpstr>rsmChart_8_6</vt:lpstr>
      <vt:lpstr>rsmChart_8_7</vt:lpstr>
      <vt:lpstr>rsmChart_8_8</vt:lpstr>
      <vt:lpstr>rsmChart_8_9</vt:lpstr>
      <vt:lpstr>rsmChart_9_1</vt:lpstr>
      <vt:lpstr>rsmChart_9_10</vt:lpstr>
      <vt:lpstr>rsmChart_9_11</vt:lpstr>
      <vt:lpstr>rsmChart_9_2</vt:lpstr>
      <vt:lpstr>rsmChart_9_3</vt:lpstr>
      <vt:lpstr>rsmChart_9_4</vt:lpstr>
      <vt:lpstr>rsmChart_9_5</vt:lpstr>
      <vt:lpstr>rsmChart_9_6</vt:lpstr>
      <vt:lpstr>rsmChart_9_7</vt:lpstr>
      <vt:lpstr>rsmChart_9_8</vt:lpstr>
      <vt:lpstr>rsmChart_9_9</vt:lpstr>
      <vt:lpstr>rsmRangeForVar1_step0</vt:lpstr>
      <vt:lpstr>rsmRangeForVar1_step1</vt:lpstr>
      <vt:lpstr>rsmRangeForVar1_step10</vt:lpstr>
      <vt:lpstr>rsmRangeForVar1_step2</vt:lpstr>
      <vt:lpstr>rsmRangeForVar1_step3</vt:lpstr>
      <vt:lpstr>rsmRangeForVar1_step4</vt:lpstr>
      <vt:lpstr>rsmRangeForVar1_step5</vt:lpstr>
      <vt:lpstr>rsmRangeForVar1_step6</vt:lpstr>
      <vt:lpstr>rsmRangeForVar1_step7</vt:lpstr>
      <vt:lpstr>rsmRangeForVar1_step8</vt:lpstr>
      <vt:lpstr>rsmRangeForVar1_step9</vt:lpstr>
      <vt:lpstr>rsmRangeForVar2_step0</vt:lpstr>
      <vt:lpstr>rsmRangeForVar2_step1</vt:lpstr>
      <vt:lpstr>rsmRangeForVar2_step10</vt:lpstr>
      <vt:lpstr>rsmRangeForVar2_step2</vt:lpstr>
      <vt:lpstr>rsmRangeForVar2_step3</vt:lpstr>
      <vt:lpstr>rsmRangeForVar2_step4</vt:lpstr>
      <vt:lpstr>rsmRangeForVar2_step5</vt:lpstr>
      <vt:lpstr>rsmRangeForVar2_step6</vt:lpstr>
      <vt:lpstr>rsmRangeForVar2_step7</vt:lpstr>
      <vt:lpstr>rsmRangeForVar2_step8</vt:lpstr>
      <vt:lpstr>rsmRangeForVar2_step9</vt:lpstr>
      <vt:lpstr>rsmRangeForVar3_step0</vt:lpstr>
      <vt:lpstr>rsmRangeForVar3_step1</vt:lpstr>
      <vt:lpstr>rsmRangeForVar3_step10</vt:lpstr>
      <vt:lpstr>rsmRangeForVar3_step2</vt:lpstr>
      <vt:lpstr>rsmRangeForVar3_step3</vt:lpstr>
      <vt:lpstr>rsmRangeForVar3_step4</vt:lpstr>
      <vt:lpstr>rsmRangeForVar3_step5</vt:lpstr>
      <vt:lpstr>rsmRangeForVar3_step6</vt:lpstr>
      <vt:lpstr>rsmRangeForVar3_step7</vt:lpstr>
      <vt:lpstr>rsmRangeForVar3_step8</vt:lpstr>
      <vt:lpstr>rsmRangeForVar3_step9</vt:lpstr>
      <vt:lpstr>rsmRangeForVar4_step0</vt:lpstr>
      <vt:lpstr>rsmRangeForVar4_step1</vt:lpstr>
      <vt:lpstr>rsmRangeForVar4_step10</vt:lpstr>
      <vt:lpstr>rsmRangeForVar4_step2</vt:lpstr>
      <vt:lpstr>rsmRangeForVar4_step3</vt:lpstr>
      <vt:lpstr>rsmRangeForVar4_step4</vt:lpstr>
      <vt:lpstr>rsmRangeForVar4_step5</vt:lpstr>
      <vt:lpstr>rsmRangeForVar4_step6</vt:lpstr>
      <vt:lpstr>rsmRangeForVar4_step7</vt:lpstr>
      <vt:lpstr>rsmRangeForVar4_step8</vt:lpstr>
      <vt:lpstr>rsmRangeForVar4_step9</vt:lpstr>
      <vt:lpstr>rsmRangeForVar5_step0</vt:lpstr>
      <vt:lpstr>rsmRangeForVar5_step1</vt:lpstr>
      <vt:lpstr>rsmRangeForVar5_step10</vt:lpstr>
      <vt:lpstr>rsmRangeForVar5_step2</vt:lpstr>
      <vt:lpstr>rsmRangeForVar5_step3</vt:lpstr>
      <vt:lpstr>rsmRangeForVar5_step4</vt:lpstr>
      <vt:lpstr>rsmRangeForVar5_step5</vt:lpstr>
      <vt:lpstr>rsmRangeForVar5_step6</vt:lpstr>
      <vt:lpstr>rsmRangeForVar5_step7</vt:lpstr>
      <vt:lpstr>rsmRangeForVar5_step8</vt:lpstr>
      <vt:lpstr>rsmRangeForVar5_step9</vt:lpstr>
      <vt:lpstr>rsmRangeForVar6_step0</vt:lpstr>
      <vt:lpstr>rsmRangeForVar6_step1</vt:lpstr>
      <vt:lpstr>rsmRangeForVar6_step10</vt:lpstr>
      <vt:lpstr>rsmRangeForVar6_step2</vt:lpstr>
      <vt:lpstr>rsmRangeForVar6_step3</vt:lpstr>
      <vt:lpstr>rsmRangeForVar6_step4</vt:lpstr>
      <vt:lpstr>rsmRangeForVar6_step5</vt:lpstr>
      <vt:lpstr>rsmRangeForVar6_step6</vt:lpstr>
      <vt:lpstr>rsmRangeForVar6_step7</vt:lpstr>
      <vt:lpstr>rsmRangeForVar6_step8</vt:lpstr>
      <vt:lpstr>rsmRangeForVar6_step9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2025-06-24T00:44:36Z</dcterms:created>
  <dcterms:modified xsi:type="dcterms:W3CDTF">2025-06-24T08:17:59Z</dcterms:modified>
</cp:coreProperties>
</file>