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worksheets/sheet7.xml" ContentType="application/vnd.openxmlformats-officedocument.spreadsheetml.workshee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Python Project\Streamlit\spdm_app\Aras Updata\"/>
    </mc:Choice>
  </mc:AlternateContent>
  <xr:revisionPtr revIDLastSave="0" documentId="13_ncr:1_{82451DDE-A208-4E57-AE39-BBD6D7DCD219}" xr6:coauthVersionLast="47" xr6:coauthVersionMax="47" xr10:uidLastSave="{00000000-0000-0000-0000-000000000000}"/>
  <bookViews>
    <workbookView xWindow="-165" yWindow="-16365" windowWidth="29130" windowHeight="15930" tabRatio="766" activeTab="1" xr2:uid="{00000000-000D-0000-FFFF-FFFF00000000}"/>
  </bookViews>
  <sheets>
    <sheet name="変換表貼り付け用シート" sheetId="1" r:id="rId1"/>
    <sheet name="①他部門からの前提の新規作成・更新" sheetId="2" r:id="rId2"/>
    <sheet name="②他部門からの要求の新規作成・更新" sheetId="3" state="hidden" r:id="rId3"/>
    <sheet name="③タスクで使用する前提の登録・新規作成・更新" sheetId="4" state="hidden" r:id="rId4"/>
    <sheet name="④タスクで使用する要求の登録・新規作成・更新" sheetId="5" state="hidden" r:id="rId5"/>
    <sheet name="⑤割付の新規作成・更新" sheetId="6" state="hidden" r:id="rId6"/>
    <sheet name="⑥代表値の新規作成・更新" sheetId="7" state="hidden" r:id="rId7"/>
    <sheet name="データ設定" sheetId="8" state="hidden" r:id="rId8"/>
  </sheets>
  <definedNames>
    <definedName name="_xlnm._FilterDatabase" localSheetId="1" hidden="1">①他部門からの前提の新規作成・更新!$D$9:$Z$490</definedName>
    <definedName name="_xlnm._FilterDatabase" localSheetId="2" hidden="1">②他部門からの要求の新規作成・更新!$D$9:$Z$14</definedName>
    <definedName name="_xlnm._FilterDatabase" localSheetId="3" hidden="1">③タスクで使用する前提の登録・新規作成・更新!$D$9:$Z$14</definedName>
    <definedName name="_xlnm._FilterDatabase" localSheetId="4" hidden="1">④タスクで使用する要求の登録・新規作成・更新!$D$9:$Z$14</definedName>
    <definedName name="_xlnm._FilterDatabase" localSheetId="5" hidden="1">⑤割付の新規作成・更新!$D$9:$Z$14</definedName>
    <definedName name="_xlnm._FilterDatabase" localSheetId="6" hidden="1">⑥代表値の新規作成・更新!$D$9:$Z$14</definedName>
    <definedName name="アイデンティティ">データ設定!$B$1:$B$2</definedName>
    <definedName name="スタートページ">データ設定!$D$1:$D$6</definedName>
    <definedName name="ログイン有効">データ設定!$C$1:$C$2</definedName>
    <definedName name="操作">データ設定!$A$1:$A$3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367" i="2" l="1"/>
  <c r="AB366" i="2"/>
  <c r="AB365" i="2"/>
  <c r="AB364" i="2"/>
  <c r="AB363" i="2"/>
  <c r="AB362" i="2"/>
  <c r="AB361" i="2"/>
  <c r="AB360" i="2"/>
  <c r="AB359" i="2"/>
  <c r="AB358" i="2"/>
  <c r="AB357" i="2"/>
  <c r="AB356" i="2"/>
  <c r="AB355" i="2"/>
  <c r="AB354" i="2"/>
  <c r="AB353" i="2"/>
  <c r="AB352" i="2"/>
  <c r="AB351" i="2"/>
  <c r="AB350" i="2"/>
  <c r="AB349" i="2"/>
  <c r="AB348" i="2"/>
  <c r="AB347" i="2"/>
  <c r="AB346" i="2"/>
  <c r="AB345" i="2"/>
  <c r="AB344" i="2"/>
  <c r="AB343" i="2"/>
  <c r="AB342" i="2"/>
  <c r="AB341" i="2"/>
  <c r="AB340" i="2"/>
  <c r="AB339" i="2"/>
  <c r="AB338" i="2"/>
  <c r="AB337" i="2"/>
  <c r="AB336" i="2"/>
  <c r="AB335" i="2"/>
  <c r="AB334" i="2"/>
  <c r="AB333" i="2"/>
  <c r="AB332" i="2"/>
  <c r="AB331" i="2"/>
  <c r="AB330" i="2"/>
  <c r="AB329" i="2"/>
  <c r="AB328" i="2"/>
  <c r="AB327" i="2"/>
  <c r="AB326" i="2"/>
  <c r="AB325" i="2"/>
  <c r="AB324" i="2"/>
  <c r="AB323" i="2"/>
  <c r="AB322" i="2"/>
  <c r="AB321" i="2"/>
  <c r="AB320" i="2"/>
  <c r="AB319" i="2"/>
  <c r="AB318" i="2"/>
  <c r="AB317" i="2"/>
  <c r="AB316" i="2"/>
  <c r="AB315" i="2"/>
  <c r="AB314" i="2"/>
  <c r="AB313" i="2"/>
  <c r="AB312" i="2"/>
  <c r="AB311" i="2"/>
  <c r="AB310" i="2"/>
  <c r="AB309" i="2"/>
  <c r="AB308" i="2"/>
  <c r="AB307" i="2"/>
  <c r="AB306" i="2"/>
  <c r="AB305" i="2"/>
  <c r="AB304" i="2"/>
  <c r="AB303" i="2"/>
  <c r="AB302" i="2"/>
  <c r="AB301" i="2"/>
  <c r="AB300" i="2"/>
  <c r="AB299" i="2"/>
  <c r="AB298" i="2"/>
  <c r="AB297" i="2"/>
  <c r="AB296" i="2"/>
  <c r="AB295" i="2"/>
  <c r="AB294" i="2"/>
  <c r="AB293" i="2"/>
  <c r="AB292" i="2"/>
  <c r="AB291" i="2"/>
  <c r="AB290" i="2"/>
  <c r="AB289" i="2"/>
  <c r="AB288" i="2"/>
  <c r="AB287" i="2"/>
  <c r="AB286" i="2"/>
  <c r="AB285" i="2"/>
  <c r="AB284" i="2"/>
  <c r="AB283" i="2"/>
  <c r="AB282" i="2"/>
  <c r="AB281" i="2"/>
  <c r="AB280" i="2"/>
  <c r="AB279" i="2"/>
  <c r="AB278" i="2"/>
  <c r="AB277" i="2"/>
  <c r="AB276" i="2"/>
  <c r="AB275" i="2"/>
  <c r="AB274" i="2"/>
  <c r="AB273" i="2"/>
  <c r="AB272" i="2"/>
  <c r="AB271" i="2"/>
  <c r="AB270" i="2"/>
  <c r="AB269" i="2"/>
  <c r="AB268" i="2"/>
  <c r="AB267" i="2"/>
  <c r="AB266" i="2"/>
  <c r="AB265" i="2"/>
  <c r="AB264" i="2"/>
  <c r="AB263" i="2"/>
  <c r="AB262" i="2"/>
  <c r="AB261" i="2"/>
  <c r="AB260" i="2"/>
  <c r="AB259" i="2"/>
  <c r="AB258" i="2"/>
  <c r="AB257" i="2"/>
  <c r="AB256" i="2"/>
  <c r="AB255" i="2"/>
  <c r="AB254" i="2"/>
  <c r="AB253" i="2"/>
  <c r="AB252" i="2"/>
  <c r="AB251" i="2"/>
  <c r="AB250" i="2"/>
  <c r="AB249" i="2"/>
  <c r="AB248" i="2"/>
  <c r="AB247" i="2"/>
  <c r="AB246" i="2"/>
  <c r="AB245" i="2"/>
  <c r="AB244" i="2"/>
  <c r="AB243" i="2"/>
  <c r="AB242" i="2"/>
  <c r="AB241" i="2"/>
  <c r="AB240" i="2"/>
  <c r="AB239" i="2"/>
  <c r="AB238" i="2"/>
  <c r="AB237" i="2"/>
  <c r="AB236" i="2"/>
  <c r="AB235" i="2"/>
  <c r="AB234" i="2"/>
  <c r="AB233" i="2"/>
  <c r="AB232" i="2"/>
  <c r="AB231" i="2"/>
  <c r="AB230" i="2"/>
  <c r="AB229" i="2"/>
  <c r="AB228" i="2"/>
  <c r="AB227" i="2"/>
  <c r="AB226" i="2"/>
  <c r="AB225" i="2"/>
  <c r="AB224" i="2"/>
  <c r="AB223" i="2"/>
  <c r="AB222" i="2"/>
  <c r="AB221" i="2"/>
  <c r="AB220" i="2"/>
  <c r="AB219" i="2"/>
  <c r="AB218" i="2"/>
  <c r="AB217" i="2"/>
  <c r="AB216" i="2"/>
  <c r="AB215" i="2"/>
  <c r="AB214" i="2"/>
  <c r="AB213" i="2"/>
  <c r="AB212" i="2"/>
  <c r="AB211" i="2"/>
  <c r="AB210" i="2"/>
  <c r="AB209" i="2"/>
  <c r="AB208" i="2"/>
  <c r="AB207" i="2"/>
  <c r="AB206" i="2"/>
  <c r="AB205" i="2"/>
  <c r="AB204" i="2"/>
  <c r="AB203" i="2"/>
  <c r="AB202" i="2"/>
  <c r="AB201" i="2"/>
  <c r="AB200" i="2"/>
  <c r="AB199" i="2"/>
  <c r="AB198" i="2"/>
  <c r="AB197" i="2"/>
  <c r="AB196" i="2"/>
  <c r="AB195" i="2"/>
  <c r="AB194" i="2"/>
  <c r="AB193" i="2"/>
  <c r="AB192" i="2"/>
  <c r="AB191" i="2"/>
  <c r="AB190" i="2"/>
  <c r="AB189" i="2"/>
  <c r="AB188" i="2"/>
  <c r="AB187" i="2"/>
  <c r="AB186" i="2"/>
  <c r="AB185" i="2"/>
  <c r="AB184" i="2"/>
  <c r="AB183" i="2"/>
  <c r="AB182" i="2"/>
  <c r="AB181" i="2"/>
  <c r="AB180" i="2"/>
  <c r="AB179" i="2"/>
  <c r="AB178" i="2"/>
  <c r="AB177" i="2"/>
  <c r="AB176" i="2"/>
  <c r="AB175" i="2"/>
  <c r="AB174" i="2"/>
  <c r="AB173" i="2"/>
  <c r="AB172" i="2"/>
  <c r="AB171" i="2"/>
  <c r="AB170" i="2"/>
  <c r="AB169" i="2"/>
  <c r="AB168" i="2"/>
  <c r="AB167" i="2"/>
  <c r="AB166" i="2"/>
  <c r="AB165" i="2"/>
  <c r="AB164" i="2"/>
  <c r="AB163" i="2"/>
  <c r="AB162" i="2"/>
  <c r="AB161" i="2"/>
  <c r="AB160" i="2"/>
  <c r="AB159" i="2"/>
  <c r="AB158" i="2"/>
  <c r="AB157" i="2"/>
  <c r="AB156" i="2"/>
  <c r="AB155" i="2"/>
  <c r="AB154" i="2"/>
  <c r="AB153" i="2"/>
  <c r="AB152" i="2"/>
  <c r="AB151" i="2"/>
  <c r="AB150" i="2"/>
  <c r="AB149" i="2"/>
  <c r="AB148" i="2"/>
  <c r="AB147" i="2"/>
  <c r="AB146" i="2"/>
  <c r="AB145" i="2"/>
  <c r="AB144" i="2"/>
  <c r="AB143" i="2"/>
  <c r="AB142" i="2"/>
  <c r="AB141" i="2"/>
  <c r="AB140" i="2"/>
  <c r="AB139" i="2"/>
  <c r="AB138" i="2"/>
  <c r="AB137" i="2"/>
  <c r="AB136" i="2"/>
  <c r="AB135" i="2"/>
  <c r="AB134" i="2"/>
  <c r="AB133" i="2"/>
  <c r="AB132" i="2"/>
  <c r="AB131" i="2"/>
  <c r="AB130" i="2"/>
  <c r="AB129" i="2"/>
  <c r="AB128" i="2"/>
  <c r="AB127" i="2"/>
  <c r="AB126" i="2"/>
  <c r="AB125" i="2"/>
  <c r="AB124" i="2"/>
  <c r="AB123" i="2"/>
  <c r="AB122" i="2"/>
  <c r="AB121" i="2"/>
  <c r="AB120" i="2"/>
  <c r="AB119" i="2"/>
  <c r="AB118" i="2"/>
  <c r="AB117" i="2"/>
  <c r="AB116" i="2"/>
  <c r="AB115" i="2"/>
  <c r="AB114" i="2"/>
  <c r="AB113" i="2"/>
  <c r="AB112" i="2"/>
  <c r="AB111" i="2"/>
  <c r="AB110" i="2"/>
  <c r="AB109" i="2"/>
  <c r="AB108" i="2"/>
  <c r="AB107" i="2"/>
  <c r="AB106" i="2"/>
  <c r="AB105" i="2"/>
  <c r="AB104" i="2"/>
  <c r="AB103" i="2"/>
  <c r="AB102" i="2"/>
  <c r="AB101" i="2"/>
  <c r="AB100" i="2"/>
  <c r="AB99" i="2"/>
  <c r="AB98" i="2"/>
  <c r="AB97" i="2"/>
  <c r="AB96" i="2"/>
  <c r="AB95" i="2"/>
  <c r="AB94" i="2"/>
  <c r="AB93" i="2"/>
  <c r="AB92" i="2"/>
  <c r="AB91" i="2"/>
  <c r="AB90" i="2"/>
  <c r="AB89" i="2"/>
  <c r="AB88" i="2"/>
  <c r="AB87" i="2"/>
  <c r="AB86" i="2"/>
  <c r="AB85" i="2"/>
  <c r="AB84" i="2"/>
  <c r="AB83" i="2"/>
  <c r="AB82" i="2"/>
  <c r="AB81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B14" i="2"/>
  <c r="AB13" i="2"/>
  <c r="AB12" i="2"/>
  <c r="AB11" i="2"/>
  <c r="AB10" i="2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M75" i="2" l="1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L80" i="2"/>
  <c r="AL120" i="2"/>
  <c r="AL124" i="2"/>
  <c r="AI311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L77" i="2"/>
  <c r="AL81" i="2"/>
  <c r="AG93" i="2"/>
  <c r="AG97" i="2"/>
  <c r="AG101" i="2"/>
  <c r="AG105" i="2"/>
  <c r="AG10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L78" i="2"/>
  <c r="AK86" i="2"/>
  <c r="AK90" i="2"/>
  <c r="AF328" i="2"/>
  <c r="AI295" i="2"/>
  <c r="AM179" i="2"/>
  <c r="AH177" i="2"/>
  <c r="AM173" i="2"/>
  <c r="AG164" i="2"/>
  <c r="AE162" i="2"/>
  <c r="AL160" i="2"/>
  <c r="AK158" i="2"/>
  <c r="AK153" i="2"/>
  <c r="AK145" i="2"/>
  <c r="AG144" i="2"/>
  <c r="AK141" i="2"/>
  <c r="AG140" i="2"/>
  <c r="AK137" i="2"/>
  <c r="AG136" i="2"/>
  <c r="AK133" i="2"/>
  <c r="AG132" i="2"/>
  <c r="AK129" i="2"/>
  <c r="AG128" i="2"/>
  <c r="AK125" i="2"/>
  <c r="AG124" i="2"/>
  <c r="AK121" i="2"/>
  <c r="AG120" i="2"/>
  <c r="AJ117" i="2"/>
  <c r="AF116" i="2"/>
  <c r="AJ113" i="2"/>
  <c r="AG112" i="2"/>
  <c r="AK111" i="2"/>
  <c r="AC111" i="2"/>
  <c r="AG110" i="2"/>
  <c r="AK109" i="2"/>
  <c r="AC109" i="2"/>
  <c r="AG108" i="2"/>
  <c r="AK107" i="2"/>
  <c r="AC107" i="2"/>
  <c r="AG106" i="2"/>
  <c r="AK105" i="2"/>
  <c r="AC105" i="2"/>
  <c r="AG104" i="2"/>
  <c r="AK103" i="2"/>
  <c r="AC103" i="2"/>
  <c r="AG102" i="2"/>
  <c r="AK101" i="2"/>
  <c r="AC101" i="2"/>
  <c r="AG100" i="2"/>
  <c r="AK99" i="2"/>
  <c r="AC99" i="2"/>
  <c r="AG98" i="2"/>
  <c r="AK97" i="2"/>
  <c r="AC97" i="2"/>
  <c r="AG96" i="2"/>
  <c r="AK95" i="2"/>
  <c r="AC95" i="2"/>
  <c r="AG94" i="2"/>
  <c r="AK93" i="2"/>
  <c r="AC93" i="2"/>
  <c r="AG92" i="2"/>
  <c r="AI90" i="2"/>
  <c r="AC90" i="2"/>
  <c r="AJ89" i="2"/>
  <c r="AE89" i="2"/>
  <c r="AK88" i="2"/>
  <c r="AF88" i="2"/>
  <c r="AI86" i="2"/>
  <c r="AC86" i="2"/>
  <c r="AJ85" i="2"/>
  <c r="AE85" i="2"/>
  <c r="AK84" i="2"/>
  <c r="AF84" i="2"/>
  <c r="AI82" i="2"/>
  <c r="AE82" i="2"/>
  <c r="AM81" i="2"/>
  <c r="AI81" i="2"/>
  <c r="AE81" i="2"/>
  <c r="AM80" i="2"/>
  <c r="AI80" i="2"/>
  <c r="AE80" i="2"/>
  <c r="AM79" i="2"/>
  <c r="AI79" i="2"/>
  <c r="AE79" i="2"/>
  <c r="AM78" i="2"/>
  <c r="AI78" i="2"/>
  <c r="AE78" i="2"/>
  <c r="AM77" i="2"/>
  <c r="AI77" i="2"/>
  <c r="AE77" i="2"/>
  <c r="AM76" i="2"/>
  <c r="AI76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9" i="2"/>
  <c r="AG95" i="2"/>
  <c r="AG99" i="2"/>
  <c r="AG103" i="2"/>
  <c r="AG107" i="2"/>
  <c r="AG111" i="2"/>
  <c r="AL83" i="2"/>
  <c r="AH83" i="2"/>
  <c r="AG83" i="2"/>
  <c r="AM83" i="2"/>
  <c r="AL87" i="2"/>
  <c r="AH87" i="2"/>
  <c r="AG87" i="2"/>
  <c r="AM87" i="2"/>
  <c r="AL91" i="2"/>
  <c r="AH91" i="2"/>
  <c r="AG91" i="2"/>
  <c r="AM91" i="2"/>
  <c r="AM115" i="2"/>
  <c r="AI115" i="2"/>
  <c r="AE115" i="2"/>
  <c r="AL115" i="2"/>
  <c r="AH115" i="2"/>
  <c r="AK115" i="2"/>
  <c r="AG115" i="2"/>
  <c r="AC115" i="2"/>
  <c r="AK119" i="2"/>
  <c r="AK123" i="2"/>
  <c r="AK127" i="2"/>
  <c r="AK131" i="2"/>
  <c r="AK135" i="2"/>
  <c r="AK139" i="2"/>
  <c r="AK143" i="2"/>
  <c r="AJ152" i="2"/>
  <c r="AJ168" i="2"/>
  <c r="AF10" i="2"/>
  <c r="AJ10" i="2"/>
  <c r="AF11" i="2"/>
  <c r="AJ11" i="2"/>
  <c r="AF12" i="2"/>
  <c r="AJ12" i="2"/>
  <c r="AF13" i="2"/>
  <c r="AJ13" i="2"/>
  <c r="AF14" i="2"/>
  <c r="AJ14" i="2"/>
  <c r="AF15" i="2"/>
  <c r="AJ15" i="2"/>
  <c r="AF16" i="2"/>
  <c r="AJ16" i="2"/>
  <c r="AF17" i="2"/>
  <c r="AJ17" i="2"/>
  <c r="AF18" i="2"/>
  <c r="AJ18" i="2"/>
  <c r="AF19" i="2"/>
  <c r="AJ19" i="2"/>
  <c r="AF20" i="2"/>
  <c r="AJ20" i="2"/>
  <c r="AF21" i="2"/>
  <c r="AJ21" i="2"/>
  <c r="AF22" i="2"/>
  <c r="AJ22" i="2"/>
  <c r="AF23" i="2"/>
  <c r="AJ23" i="2"/>
  <c r="AF24" i="2"/>
  <c r="AJ24" i="2"/>
  <c r="AF25" i="2"/>
  <c r="AJ25" i="2"/>
  <c r="AF26" i="2"/>
  <c r="AJ26" i="2"/>
  <c r="AF27" i="2"/>
  <c r="AJ27" i="2"/>
  <c r="AF28" i="2"/>
  <c r="AJ28" i="2"/>
  <c r="AF29" i="2"/>
  <c r="AJ29" i="2"/>
  <c r="AF30" i="2"/>
  <c r="AJ30" i="2"/>
  <c r="AF31" i="2"/>
  <c r="AJ31" i="2"/>
  <c r="AF32" i="2"/>
  <c r="AJ32" i="2"/>
  <c r="AF33" i="2"/>
  <c r="AJ33" i="2"/>
  <c r="AF34" i="2"/>
  <c r="AJ34" i="2"/>
  <c r="AF35" i="2"/>
  <c r="AJ35" i="2"/>
  <c r="AF36" i="2"/>
  <c r="AJ36" i="2"/>
  <c r="AF37" i="2"/>
  <c r="AJ37" i="2"/>
  <c r="AF38" i="2"/>
  <c r="AJ38" i="2"/>
  <c r="AF39" i="2"/>
  <c r="AJ39" i="2"/>
  <c r="AF40" i="2"/>
  <c r="AJ40" i="2"/>
  <c r="AF41" i="2"/>
  <c r="AJ41" i="2"/>
  <c r="AF42" i="2"/>
  <c r="AJ42" i="2"/>
  <c r="AF43" i="2"/>
  <c r="AJ43" i="2"/>
  <c r="AF44" i="2"/>
  <c r="AJ44" i="2"/>
  <c r="AF45" i="2"/>
  <c r="AJ45" i="2"/>
  <c r="AF46" i="2"/>
  <c r="AJ46" i="2"/>
  <c r="AF47" i="2"/>
  <c r="AJ47" i="2"/>
  <c r="AF48" i="2"/>
  <c r="AJ48" i="2"/>
  <c r="AF49" i="2"/>
  <c r="AJ49" i="2"/>
  <c r="AF50" i="2"/>
  <c r="AJ50" i="2"/>
  <c r="AF51" i="2"/>
  <c r="AJ51" i="2"/>
  <c r="AF52" i="2"/>
  <c r="AJ52" i="2"/>
  <c r="AF53" i="2"/>
  <c r="AJ53" i="2"/>
  <c r="AF54" i="2"/>
  <c r="AJ54" i="2"/>
  <c r="AF55" i="2"/>
  <c r="AJ55" i="2"/>
  <c r="AF56" i="2"/>
  <c r="AJ56" i="2"/>
  <c r="AF57" i="2"/>
  <c r="AJ57" i="2"/>
  <c r="AF58" i="2"/>
  <c r="AJ58" i="2"/>
  <c r="AF59" i="2"/>
  <c r="AJ59" i="2"/>
  <c r="AF60" i="2"/>
  <c r="AJ60" i="2"/>
  <c r="AF61" i="2"/>
  <c r="AJ61" i="2"/>
  <c r="AF62" i="2"/>
  <c r="AJ62" i="2"/>
  <c r="AF63" i="2"/>
  <c r="AJ63" i="2"/>
  <c r="AF64" i="2"/>
  <c r="AJ64" i="2"/>
  <c r="AF65" i="2"/>
  <c r="AJ65" i="2"/>
  <c r="AF66" i="2"/>
  <c r="AJ66" i="2"/>
  <c r="AF67" i="2"/>
  <c r="AJ67" i="2"/>
  <c r="AF68" i="2"/>
  <c r="AJ68" i="2"/>
  <c r="AF69" i="2"/>
  <c r="AJ69" i="2"/>
  <c r="AF70" i="2"/>
  <c r="AJ70" i="2"/>
  <c r="AF71" i="2"/>
  <c r="AJ71" i="2"/>
  <c r="AF72" i="2"/>
  <c r="AJ72" i="2"/>
  <c r="AF73" i="2"/>
  <c r="AJ73" i="2"/>
  <c r="AF74" i="2"/>
  <c r="AJ74" i="2"/>
  <c r="AF75" i="2"/>
  <c r="AJ75" i="2"/>
  <c r="AF76" i="2"/>
  <c r="AJ76" i="2"/>
  <c r="AF77" i="2"/>
  <c r="AJ77" i="2"/>
  <c r="AF78" i="2"/>
  <c r="AJ78" i="2"/>
  <c r="AF79" i="2"/>
  <c r="AJ79" i="2"/>
  <c r="AF80" i="2"/>
  <c r="AJ80" i="2"/>
  <c r="AF81" i="2"/>
  <c r="AJ81" i="2"/>
  <c r="AL82" i="2"/>
  <c r="AF82" i="2"/>
  <c r="AJ82" i="2"/>
  <c r="AC83" i="2"/>
  <c r="AI83" i="2"/>
  <c r="AL84" i="2"/>
  <c r="AH84" i="2"/>
  <c r="AG84" i="2"/>
  <c r="AM84" i="2"/>
  <c r="AF85" i="2"/>
  <c r="AK85" i="2"/>
  <c r="AE86" i="2"/>
  <c r="AJ86" i="2"/>
  <c r="AC87" i="2"/>
  <c r="AI87" i="2"/>
  <c r="AL88" i="2"/>
  <c r="AH88" i="2"/>
  <c r="AG88" i="2"/>
  <c r="AM88" i="2"/>
  <c r="AF89" i="2"/>
  <c r="AK89" i="2"/>
  <c r="AE90" i="2"/>
  <c r="AJ90" i="2"/>
  <c r="AC91" i="2"/>
  <c r="AI91" i="2"/>
  <c r="AM92" i="2"/>
  <c r="AI92" i="2"/>
  <c r="AE92" i="2"/>
  <c r="AL92" i="2"/>
  <c r="AH92" i="2"/>
  <c r="AJ92" i="2"/>
  <c r="AF93" i="2"/>
  <c r="AM94" i="2"/>
  <c r="AI94" i="2"/>
  <c r="AE94" i="2"/>
  <c r="AL94" i="2"/>
  <c r="AH94" i="2"/>
  <c r="AJ94" i="2"/>
  <c r="AF95" i="2"/>
  <c r="AM96" i="2"/>
  <c r="AI96" i="2"/>
  <c r="AE96" i="2"/>
  <c r="AL96" i="2"/>
  <c r="AH96" i="2"/>
  <c r="AJ96" i="2"/>
  <c r="AF97" i="2"/>
  <c r="AM98" i="2"/>
  <c r="AI98" i="2"/>
  <c r="AE98" i="2"/>
  <c r="AL98" i="2"/>
  <c r="AH98" i="2"/>
  <c r="AJ98" i="2"/>
  <c r="AF99" i="2"/>
  <c r="AM100" i="2"/>
  <c r="AI100" i="2"/>
  <c r="AE100" i="2"/>
  <c r="AL100" i="2"/>
  <c r="AH100" i="2"/>
  <c r="AJ100" i="2"/>
  <c r="AF101" i="2"/>
  <c r="AM102" i="2"/>
  <c r="AI102" i="2"/>
  <c r="AE102" i="2"/>
  <c r="AL102" i="2"/>
  <c r="AH102" i="2"/>
  <c r="AJ102" i="2"/>
  <c r="AF103" i="2"/>
  <c r="AM104" i="2"/>
  <c r="AI104" i="2"/>
  <c r="AE104" i="2"/>
  <c r="AL104" i="2"/>
  <c r="AH104" i="2"/>
  <c r="AJ104" i="2"/>
  <c r="AF105" i="2"/>
  <c r="AM106" i="2"/>
  <c r="AI106" i="2"/>
  <c r="AE106" i="2"/>
  <c r="AL106" i="2"/>
  <c r="AH106" i="2"/>
  <c r="AJ106" i="2"/>
  <c r="AF107" i="2"/>
  <c r="AM108" i="2"/>
  <c r="AI108" i="2"/>
  <c r="AE108" i="2"/>
  <c r="AL108" i="2"/>
  <c r="AH108" i="2"/>
  <c r="AJ108" i="2"/>
  <c r="AF109" i="2"/>
  <c r="AM110" i="2"/>
  <c r="AI110" i="2"/>
  <c r="AE110" i="2"/>
  <c r="AL110" i="2"/>
  <c r="AH110" i="2"/>
  <c r="AJ110" i="2"/>
  <c r="AF111" i="2"/>
  <c r="AM112" i="2"/>
  <c r="AI112" i="2"/>
  <c r="AE112" i="2"/>
  <c r="AL112" i="2"/>
  <c r="AH112" i="2"/>
  <c r="AK112" i="2"/>
  <c r="AJ112" i="2"/>
  <c r="AM114" i="2"/>
  <c r="AI114" i="2"/>
  <c r="AE114" i="2"/>
  <c r="AL114" i="2"/>
  <c r="AH114" i="2"/>
  <c r="AK114" i="2"/>
  <c r="AG114" i="2"/>
  <c r="AC114" i="2"/>
  <c r="AF115" i="2"/>
  <c r="AJ116" i="2"/>
  <c r="AM118" i="2"/>
  <c r="AI118" i="2"/>
  <c r="AE118" i="2"/>
  <c r="AL118" i="2"/>
  <c r="AH118" i="2"/>
  <c r="AK118" i="2"/>
  <c r="AG118" i="2"/>
  <c r="AC118" i="2"/>
  <c r="AC119" i="2"/>
  <c r="AC123" i="2"/>
  <c r="AC127" i="2"/>
  <c r="AL128" i="2"/>
  <c r="AC131" i="2"/>
  <c r="AL132" i="2"/>
  <c r="AC135" i="2"/>
  <c r="AL136" i="2"/>
  <c r="AC139" i="2"/>
  <c r="AL140" i="2"/>
  <c r="AC143" i="2"/>
  <c r="AL144" i="2"/>
  <c r="AG147" i="2"/>
  <c r="AC149" i="2"/>
  <c r="AL150" i="2"/>
  <c r="AH152" i="2"/>
  <c r="AG155" i="2"/>
  <c r="AC157" i="2"/>
  <c r="AK166" i="2"/>
  <c r="AL168" i="2"/>
  <c r="AE170" i="2"/>
  <c r="AG172" i="2"/>
  <c r="AJ176" i="2"/>
  <c r="AC183" i="2"/>
  <c r="AH185" i="2"/>
  <c r="AM187" i="2"/>
  <c r="AE190" i="2"/>
  <c r="AL193" i="2"/>
  <c r="AJ200" i="2"/>
  <c r="AE206" i="2"/>
  <c r="AL209" i="2"/>
  <c r="AJ216" i="2"/>
  <c r="AE222" i="2"/>
  <c r="AL225" i="2"/>
  <c r="AJ232" i="2"/>
  <c r="AE238" i="2"/>
  <c r="AL241" i="2"/>
  <c r="AF271" i="2"/>
  <c r="AI303" i="2"/>
  <c r="AC10" i="2"/>
  <c r="AG10" i="2"/>
  <c r="AK10" i="2"/>
  <c r="AC11" i="2"/>
  <c r="AG11" i="2"/>
  <c r="AK11" i="2"/>
  <c r="AC12" i="2"/>
  <c r="AG12" i="2"/>
  <c r="AK12" i="2"/>
  <c r="AC13" i="2"/>
  <c r="AG13" i="2"/>
  <c r="AK13" i="2"/>
  <c r="AC14" i="2"/>
  <c r="AG14" i="2"/>
  <c r="AK14" i="2"/>
  <c r="AC15" i="2"/>
  <c r="AG15" i="2"/>
  <c r="AK15" i="2"/>
  <c r="AC16" i="2"/>
  <c r="AG16" i="2"/>
  <c r="AK16" i="2"/>
  <c r="AC17" i="2"/>
  <c r="AG17" i="2"/>
  <c r="AK17" i="2"/>
  <c r="AC18" i="2"/>
  <c r="AG18" i="2"/>
  <c r="AK18" i="2"/>
  <c r="AC19" i="2"/>
  <c r="AG19" i="2"/>
  <c r="AK19" i="2"/>
  <c r="AC20" i="2"/>
  <c r="AG20" i="2"/>
  <c r="AK20" i="2"/>
  <c r="AC21" i="2"/>
  <c r="AG21" i="2"/>
  <c r="AK21" i="2"/>
  <c r="AC22" i="2"/>
  <c r="AG22" i="2"/>
  <c r="AK22" i="2"/>
  <c r="AC23" i="2"/>
  <c r="AG23" i="2"/>
  <c r="AK23" i="2"/>
  <c r="AC24" i="2"/>
  <c r="AG24" i="2"/>
  <c r="AK24" i="2"/>
  <c r="AC25" i="2"/>
  <c r="AG25" i="2"/>
  <c r="AK25" i="2"/>
  <c r="AC26" i="2"/>
  <c r="AG26" i="2"/>
  <c r="AK26" i="2"/>
  <c r="AC27" i="2"/>
  <c r="AG27" i="2"/>
  <c r="AK27" i="2"/>
  <c r="AC28" i="2"/>
  <c r="AG28" i="2"/>
  <c r="AK28" i="2"/>
  <c r="AC29" i="2"/>
  <c r="AG29" i="2"/>
  <c r="AK29" i="2"/>
  <c r="AC30" i="2"/>
  <c r="AG30" i="2"/>
  <c r="AK30" i="2"/>
  <c r="AC31" i="2"/>
  <c r="AG31" i="2"/>
  <c r="AK31" i="2"/>
  <c r="AC32" i="2"/>
  <c r="AG32" i="2"/>
  <c r="AK32" i="2"/>
  <c r="AC33" i="2"/>
  <c r="AG33" i="2"/>
  <c r="AK33" i="2"/>
  <c r="AC34" i="2"/>
  <c r="AG34" i="2"/>
  <c r="AK34" i="2"/>
  <c r="AC35" i="2"/>
  <c r="AG35" i="2"/>
  <c r="AK35" i="2"/>
  <c r="AC36" i="2"/>
  <c r="AG36" i="2"/>
  <c r="AK36" i="2"/>
  <c r="AC37" i="2"/>
  <c r="AG37" i="2"/>
  <c r="AK37" i="2"/>
  <c r="AC38" i="2"/>
  <c r="AG38" i="2"/>
  <c r="AK38" i="2"/>
  <c r="AC39" i="2"/>
  <c r="AG39" i="2"/>
  <c r="AK39" i="2"/>
  <c r="AC40" i="2"/>
  <c r="AG40" i="2"/>
  <c r="AK40" i="2"/>
  <c r="AC41" i="2"/>
  <c r="AG41" i="2"/>
  <c r="AK41" i="2"/>
  <c r="AC42" i="2"/>
  <c r="AG42" i="2"/>
  <c r="AK42" i="2"/>
  <c r="AC43" i="2"/>
  <c r="AG43" i="2"/>
  <c r="AK43" i="2"/>
  <c r="AC44" i="2"/>
  <c r="AG44" i="2"/>
  <c r="AK44" i="2"/>
  <c r="AC45" i="2"/>
  <c r="AG45" i="2"/>
  <c r="AK45" i="2"/>
  <c r="AC46" i="2"/>
  <c r="AG46" i="2"/>
  <c r="AK46" i="2"/>
  <c r="AC47" i="2"/>
  <c r="AG47" i="2"/>
  <c r="AK47" i="2"/>
  <c r="AC48" i="2"/>
  <c r="AG48" i="2"/>
  <c r="AK48" i="2"/>
  <c r="AC49" i="2"/>
  <c r="AG49" i="2"/>
  <c r="AK49" i="2"/>
  <c r="AC50" i="2"/>
  <c r="AG50" i="2"/>
  <c r="AK50" i="2"/>
  <c r="AC51" i="2"/>
  <c r="AG51" i="2"/>
  <c r="AK51" i="2"/>
  <c r="AC52" i="2"/>
  <c r="AG52" i="2"/>
  <c r="AK52" i="2"/>
  <c r="AC53" i="2"/>
  <c r="AG53" i="2"/>
  <c r="AK53" i="2"/>
  <c r="AC54" i="2"/>
  <c r="AG54" i="2"/>
  <c r="AK54" i="2"/>
  <c r="AC55" i="2"/>
  <c r="AG55" i="2"/>
  <c r="AK55" i="2"/>
  <c r="AC56" i="2"/>
  <c r="AG56" i="2"/>
  <c r="AK56" i="2"/>
  <c r="AC57" i="2"/>
  <c r="AG57" i="2"/>
  <c r="AK57" i="2"/>
  <c r="AC58" i="2"/>
  <c r="AG58" i="2"/>
  <c r="AK58" i="2"/>
  <c r="AC59" i="2"/>
  <c r="AG59" i="2"/>
  <c r="AK59" i="2"/>
  <c r="AC60" i="2"/>
  <c r="AG60" i="2"/>
  <c r="AK60" i="2"/>
  <c r="AC61" i="2"/>
  <c r="AG61" i="2"/>
  <c r="AK61" i="2"/>
  <c r="AC62" i="2"/>
  <c r="AG62" i="2"/>
  <c r="AK62" i="2"/>
  <c r="AC63" i="2"/>
  <c r="AG63" i="2"/>
  <c r="AK63" i="2"/>
  <c r="AC64" i="2"/>
  <c r="AG64" i="2"/>
  <c r="AK64" i="2"/>
  <c r="AC65" i="2"/>
  <c r="AG65" i="2"/>
  <c r="AK65" i="2"/>
  <c r="AC66" i="2"/>
  <c r="AG66" i="2"/>
  <c r="AK66" i="2"/>
  <c r="AC67" i="2"/>
  <c r="AG67" i="2"/>
  <c r="AK67" i="2"/>
  <c r="AC68" i="2"/>
  <c r="AG68" i="2"/>
  <c r="AK68" i="2"/>
  <c r="AC69" i="2"/>
  <c r="AG69" i="2"/>
  <c r="AK69" i="2"/>
  <c r="AC70" i="2"/>
  <c r="AG70" i="2"/>
  <c r="AK70" i="2"/>
  <c r="AC71" i="2"/>
  <c r="AG71" i="2"/>
  <c r="AK71" i="2"/>
  <c r="AC72" i="2"/>
  <c r="AG72" i="2"/>
  <c r="AK72" i="2"/>
  <c r="AC73" i="2"/>
  <c r="AG73" i="2"/>
  <c r="AK73" i="2"/>
  <c r="AC74" i="2"/>
  <c r="AG74" i="2"/>
  <c r="AK74" i="2"/>
  <c r="AC75" i="2"/>
  <c r="AG75" i="2"/>
  <c r="AK75" i="2"/>
  <c r="AC76" i="2"/>
  <c r="AG76" i="2"/>
  <c r="AK76" i="2"/>
  <c r="AC77" i="2"/>
  <c r="AG77" i="2"/>
  <c r="AK77" i="2"/>
  <c r="AC78" i="2"/>
  <c r="AG78" i="2"/>
  <c r="AK78" i="2"/>
  <c r="AC79" i="2"/>
  <c r="AG79" i="2"/>
  <c r="AK79" i="2"/>
  <c r="AC80" i="2"/>
  <c r="AG80" i="2"/>
  <c r="AK80" i="2"/>
  <c r="AC81" i="2"/>
  <c r="AG81" i="2"/>
  <c r="AK81" i="2"/>
  <c r="AC82" i="2"/>
  <c r="AG82" i="2"/>
  <c r="AK82" i="2"/>
  <c r="AE83" i="2"/>
  <c r="AJ83" i="2"/>
  <c r="AC84" i="2"/>
  <c r="AI84" i="2"/>
  <c r="AL85" i="2"/>
  <c r="AH85" i="2"/>
  <c r="AG85" i="2"/>
  <c r="AM85" i="2"/>
  <c r="AF86" i="2"/>
  <c r="AE87" i="2"/>
  <c r="AJ87" i="2"/>
  <c r="AC88" i="2"/>
  <c r="AI88" i="2"/>
  <c r="AL89" i="2"/>
  <c r="AH89" i="2"/>
  <c r="AG89" i="2"/>
  <c r="AM89" i="2"/>
  <c r="AF90" i="2"/>
  <c r="AE91" i="2"/>
  <c r="AJ91" i="2"/>
  <c r="AC92" i="2"/>
  <c r="AK92" i="2"/>
  <c r="AC94" i="2"/>
  <c r="AK94" i="2"/>
  <c r="AC96" i="2"/>
  <c r="AK96" i="2"/>
  <c r="AC98" i="2"/>
  <c r="AK98" i="2"/>
  <c r="AC100" i="2"/>
  <c r="AK100" i="2"/>
  <c r="AC102" i="2"/>
  <c r="AK102" i="2"/>
  <c r="AC104" i="2"/>
  <c r="AK104" i="2"/>
  <c r="AC106" i="2"/>
  <c r="AK106" i="2"/>
  <c r="AC108" i="2"/>
  <c r="AK108" i="2"/>
  <c r="AC110" i="2"/>
  <c r="AK110" i="2"/>
  <c r="AC112" i="2"/>
  <c r="AM113" i="2"/>
  <c r="AI113" i="2"/>
  <c r="AE113" i="2"/>
  <c r="AL113" i="2"/>
  <c r="AH113" i="2"/>
  <c r="AK113" i="2"/>
  <c r="AG113" i="2"/>
  <c r="AC113" i="2"/>
  <c r="AF114" i="2"/>
  <c r="AJ115" i="2"/>
  <c r="AM117" i="2"/>
  <c r="AI117" i="2"/>
  <c r="AE117" i="2"/>
  <c r="AL117" i="2"/>
  <c r="AH117" i="2"/>
  <c r="AK117" i="2"/>
  <c r="AG117" i="2"/>
  <c r="AC117" i="2"/>
  <c r="AF118" i="2"/>
  <c r="AH119" i="2"/>
  <c r="AH123" i="2"/>
  <c r="AH127" i="2"/>
  <c r="AH131" i="2"/>
  <c r="AH135" i="2"/>
  <c r="AH139" i="2"/>
  <c r="AH143" i="2"/>
  <c r="AJ148" i="2"/>
  <c r="AK149" i="2"/>
  <c r="AJ156" i="2"/>
  <c r="AM157" i="2"/>
  <c r="AH161" i="2"/>
  <c r="AI163" i="2"/>
  <c r="AC165" i="2"/>
  <c r="AK174" i="2"/>
  <c r="AL176" i="2"/>
  <c r="AK178" i="2"/>
  <c r="AF279" i="2"/>
  <c r="AI364" i="2"/>
  <c r="AJ365" i="2"/>
  <c r="AE364" i="2"/>
  <c r="AK360" i="2"/>
  <c r="AE360" i="2"/>
  <c r="AK356" i="2"/>
  <c r="AE356" i="2"/>
  <c r="AK352" i="2"/>
  <c r="AE352" i="2"/>
  <c r="AK348" i="2"/>
  <c r="AE348" i="2"/>
  <c r="AK344" i="2"/>
  <c r="AE344" i="2"/>
  <c r="AK343" i="2"/>
  <c r="AE343" i="2"/>
  <c r="AK340" i="2"/>
  <c r="AE340" i="2"/>
  <c r="AH337" i="2"/>
  <c r="AC337" i="2"/>
  <c r="AH333" i="2"/>
  <c r="AC333" i="2"/>
  <c r="AI366" i="2"/>
  <c r="AI365" i="2"/>
  <c r="AK364" i="2"/>
  <c r="AC364" i="2"/>
  <c r="AG362" i="2"/>
  <c r="AJ360" i="2"/>
  <c r="AC360" i="2"/>
  <c r="AG358" i="2"/>
  <c r="AJ356" i="2"/>
  <c r="AC356" i="2"/>
  <c r="AG354" i="2"/>
  <c r="AJ352" i="2"/>
  <c r="AC352" i="2"/>
  <c r="AG350" i="2"/>
  <c r="AJ348" i="2"/>
  <c r="AC348" i="2"/>
  <c r="AG346" i="2"/>
  <c r="AJ344" i="2"/>
  <c r="AC344" i="2"/>
  <c r="AJ340" i="2"/>
  <c r="AC340" i="2"/>
  <c r="AC366" i="2"/>
  <c r="AE365" i="2"/>
  <c r="AJ364" i="2"/>
  <c r="AG363" i="2"/>
  <c r="AM362" i="2"/>
  <c r="AF362" i="2"/>
  <c r="AI360" i="2"/>
  <c r="AG359" i="2"/>
  <c r="AM358" i="2"/>
  <c r="AF358" i="2"/>
  <c r="AI356" i="2"/>
  <c r="AG355" i="2"/>
  <c r="AM354" i="2"/>
  <c r="AF354" i="2"/>
  <c r="AI352" i="2"/>
  <c r="AG351" i="2"/>
  <c r="AM350" i="2"/>
  <c r="AF350" i="2"/>
  <c r="AI348" i="2"/>
  <c r="AG347" i="2"/>
  <c r="AM346" i="2"/>
  <c r="AF346" i="2"/>
  <c r="AI344" i="2"/>
  <c r="AG343" i="2"/>
  <c r="AM342" i="2"/>
  <c r="AF342" i="2"/>
  <c r="AI340" i="2"/>
  <c r="AJ338" i="2"/>
  <c r="AK337" i="2"/>
  <c r="AF337" i="2"/>
  <c r="AJ334" i="2"/>
  <c r="AF364" i="2"/>
  <c r="AM359" i="2"/>
  <c r="AC358" i="2"/>
  <c r="AF356" i="2"/>
  <c r="AM351" i="2"/>
  <c r="AC350" i="2"/>
  <c r="AF348" i="2"/>
  <c r="AM343" i="2"/>
  <c r="AC342" i="2"/>
  <c r="AF340" i="2"/>
  <c r="AJ337" i="2"/>
  <c r="AF336" i="2"/>
  <c r="AI310" i="2"/>
  <c r="AI306" i="2"/>
  <c r="AI302" i="2"/>
  <c r="AI298" i="2"/>
  <c r="AK362" i="2"/>
  <c r="AF359" i="2"/>
  <c r="AK354" i="2"/>
  <c r="AF351" i="2"/>
  <c r="AK346" i="2"/>
  <c r="AF343" i="2"/>
  <c r="AH338" i="2"/>
  <c r="AH334" i="2"/>
  <c r="AK333" i="2"/>
  <c r="AC365" i="2"/>
  <c r="AM363" i="2"/>
  <c r="AC362" i="2"/>
  <c r="AF360" i="2"/>
  <c r="AM355" i="2"/>
  <c r="AC354" i="2"/>
  <c r="AF352" i="2"/>
  <c r="AM347" i="2"/>
  <c r="AC346" i="2"/>
  <c r="AF344" i="2"/>
  <c r="AM339" i="2"/>
  <c r="AC338" i="2"/>
  <c r="AL335" i="2"/>
  <c r="AJ333" i="2"/>
  <c r="AF330" i="2"/>
  <c r="AF363" i="2"/>
  <c r="AK350" i="2"/>
  <c r="AF347" i="2"/>
  <c r="AG335" i="2"/>
  <c r="AF333" i="2"/>
  <c r="AL331" i="2"/>
  <c r="AI329" i="2"/>
  <c r="AE328" i="2"/>
  <c r="AM324" i="2"/>
  <c r="AJ323" i="2"/>
  <c r="AF322" i="2"/>
  <c r="AI321" i="2"/>
  <c r="AE320" i="2"/>
  <c r="AM316" i="2"/>
  <c r="AJ315" i="2"/>
  <c r="AF314" i="2"/>
  <c r="AI313" i="2"/>
  <c r="AE312" i="2"/>
  <c r="AE311" i="2"/>
  <c r="AJ310" i="2"/>
  <c r="AE307" i="2"/>
  <c r="AJ306" i="2"/>
  <c r="AE303" i="2"/>
  <c r="AJ302" i="2"/>
  <c r="AE299" i="2"/>
  <c r="AJ298" i="2"/>
  <c r="AE295" i="2"/>
  <c r="AM293" i="2"/>
  <c r="AE293" i="2"/>
  <c r="AM291" i="2"/>
  <c r="AE291" i="2"/>
  <c r="AM289" i="2"/>
  <c r="AE289" i="2"/>
  <c r="AM287" i="2"/>
  <c r="AE287" i="2"/>
  <c r="AM285" i="2"/>
  <c r="AE285" i="2"/>
  <c r="AM283" i="2"/>
  <c r="AE283" i="2"/>
  <c r="AM281" i="2"/>
  <c r="AE281" i="2"/>
  <c r="AM279" i="2"/>
  <c r="AE279" i="2"/>
  <c r="AM277" i="2"/>
  <c r="AE277" i="2"/>
  <c r="AM275" i="2"/>
  <c r="AE275" i="2"/>
  <c r="AM273" i="2"/>
  <c r="AE273" i="2"/>
  <c r="AM271" i="2"/>
  <c r="AE271" i="2"/>
  <c r="AM269" i="2"/>
  <c r="AE269" i="2"/>
  <c r="AM267" i="2"/>
  <c r="AE267" i="2"/>
  <c r="AM265" i="2"/>
  <c r="AE265" i="2"/>
  <c r="AI260" i="2"/>
  <c r="AI256" i="2"/>
  <c r="AI252" i="2"/>
  <c r="AI248" i="2"/>
  <c r="AM245" i="2"/>
  <c r="AH245" i="2"/>
  <c r="AC245" i="2"/>
  <c r="AK244" i="2"/>
  <c r="AG244" i="2"/>
  <c r="AC244" i="2"/>
  <c r="AK243" i="2"/>
  <c r="AG243" i="2"/>
  <c r="AC243" i="2"/>
  <c r="AK242" i="2"/>
  <c r="AG242" i="2"/>
  <c r="AC242" i="2"/>
  <c r="AK241" i="2"/>
  <c r="AG241" i="2"/>
  <c r="AC241" i="2"/>
  <c r="AK240" i="2"/>
  <c r="AG240" i="2"/>
  <c r="AC240" i="2"/>
  <c r="AK239" i="2"/>
  <c r="AG239" i="2"/>
  <c r="AC239" i="2"/>
  <c r="AK238" i="2"/>
  <c r="AG238" i="2"/>
  <c r="AC238" i="2"/>
  <c r="AK237" i="2"/>
  <c r="AG237" i="2"/>
  <c r="AC237" i="2"/>
  <c r="AK236" i="2"/>
  <c r="AG236" i="2"/>
  <c r="AC236" i="2"/>
  <c r="AK235" i="2"/>
  <c r="AG235" i="2"/>
  <c r="AC235" i="2"/>
  <c r="AK234" i="2"/>
  <c r="AG234" i="2"/>
  <c r="AC234" i="2"/>
  <c r="AK233" i="2"/>
  <c r="AG233" i="2"/>
  <c r="AC233" i="2"/>
  <c r="AK232" i="2"/>
  <c r="AG232" i="2"/>
  <c r="AC232" i="2"/>
  <c r="AK231" i="2"/>
  <c r="AG231" i="2"/>
  <c r="AC231" i="2"/>
  <c r="AK230" i="2"/>
  <c r="AG230" i="2"/>
  <c r="AC230" i="2"/>
  <c r="AK229" i="2"/>
  <c r="AG229" i="2"/>
  <c r="AC229" i="2"/>
  <c r="AK228" i="2"/>
  <c r="AG228" i="2"/>
  <c r="AC228" i="2"/>
  <c r="AK227" i="2"/>
  <c r="AG227" i="2"/>
  <c r="AC227" i="2"/>
  <c r="AK226" i="2"/>
  <c r="AG226" i="2"/>
  <c r="AC226" i="2"/>
  <c r="AK225" i="2"/>
  <c r="AG225" i="2"/>
  <c r="AC225" i="2"/>
  <c r="AK224" i="2"/>
  <c r="AG224" i="2"/>
  <c r="AC224" i="2"/>
  <c r="AK223" i="2"/>
  <c r="AG223" i="2"/>
  <c r="AC223" i="2"/>
  <c r="AK222" i="2"/>
  <c r="AG222" i="2"/>
  <c r="AC222" i="2"/>
  <c r="AK221" i="2"/>
  <c r="AG221" i="2"/>
  <c r="AC221" i="2"/>
  <c r="AK220" i="2"/>
  <c r="AG220" i="2"/>
  <c r="AC220" i="2"/>
  <c r="AK219" i="2"/>
  <c r="AG219" i="2"/>
  <c r="AC219" i="2"/>
  <c r="AK218" i="2"/>
  <c r="AG218" i="2"/>
  <c r="AC218" i="2"/>
  <c r="AK217" i="2"/>
  <c r="AG217" i="2"/>
  <c r="AC217" i="2"/>
  <c r="AK216" i="2"/>
  <c r="AG216" i="2"/>
  <c r="AC216" i="2"/>
  <c r="AK215" i="2"/>
  <c r="AG215" i="2"/>
  <c r="AC215" i="2"/>
  <c r="AK214" i="2"/>
  <c r="AG214" i="2"/>
  <c r="AC214" i="2"/>
  <c r="AK213" i="2"/>
  <c r="AG213" i="2"/>
  <c r="AC213" i="2"/>
  <c r="AK212" i="2"/>
  <c r="AG212" i="2"/>
  <c r="AC212" i="2"/>
  <c r="AK211" i="2"/>
  <c r="AG211" i="2"/>
  <c r="AC211" i="2"/>
  <c r="AK210" i="2"/>
  <c r="AG210" i="2"/>
  <c r="AC210" i="2"/>
  <c r="AK209" i="2"/>
  <c r="AG209" i="2"/>
  <c r="AC209" i="2"/>
  <c r="AK208" i="2"/>
  <c r="AG208" i="2"/>
  <c r="AC208" i="2"/>
  <c r="AK207" i="2"/>
  <c r="AG207" i="2"/>
  <c r="AC207" i="2"/>
  <c r="AK206" i="2"/>
  <c r="AG206" i="2"/>
  <c r="AC206" i="2"/>
  <c r="AK205" i="2"/>
  <c r="AG205" i="2"/>
  <c r="AC205" i="2"/>
  <c r="AK204" i="2"/>
  <c r="AG204" i="2"/>
  <c r="AC204" i="2"/>
  <c r="AK203" i="2"/>
  <c r="AG203" i="2"/>
  <c r="AC203" i="2"/>
  <c r="AK202" i="2"/>
  <c r="AG202" i="2"/>
  <c r="AC202" i="2"/>
  <c r="AK201" i="2"/>
  <c r="AG201" i="2"/>
  <c r="AC201" i="2"/>
  <c r="AK200" i="2"/>
  <c r="AG200" i="2"/>
  <c r="AC200" i="2"/>
  <c r="AK199" i="2"/>
  <c r="AG199" i="2"/>
  <c r="AC199" i="2"/>
  <c r="AK198" i="2"/>
  <c r="AG198" i="2"/>
  <c r="AC198" i="2"/>
  <c r="AK197" i="2"/>
  <c r="AG197" i="2"/>
  <c r="AC197" i="2"/>
  <c r="AK196" i="2"/>
  <c r="AG196" i="2"/>
  <c r="AC196" i="2"/>
  <c r="AK195" i="2"/>
  <c r="AG195" i="2"/>
  <c r="AC195" i="2"/>
  <c r="AK194" i="2"/>
  <c r="AG194" i="2"/>
  <c r="AC194" i="2"/>
  <c r="AK193" i="2"/>
  <c r="AG193" i="2"/>
  <c r="AC193" i="2"/>
  <c r="AK192" i="2"/>
  <c r="AG192" i="2"/>
  <c r="AC192" i="2"/>
  <c r="AK191" i="2"/>
  <c r="AG191" i="2"/>
  <c r="AC191" i="2"/>
  <c r="AK190" i="2"/>
  <c r="AG190" i="2"/>
  <c r="AC190" i="2"/>
  <c r="AK189" i="2"/>
  <c r="AG189" i="2"/>
  <c r="AC189" i="2"/>
  <c r="AM326" i="2"/>
  <c r="AF324" i="2"/>
  <c r="AI323" i="2"/>
  <c r="AE322" i="2"/>
  <c r="AM318" i="2"/>
  <c r="AF316" i="2"/>
  <c r="AI315" i="2"/>
  <c r="AE314" i="2"/>
  <c r="AF310" i="2"/>
  <c r="AF306" i="2"/>
  <c r="AF302" i="2"/>
  <c r="AF298" i="2"/>
  <c r="AK358" i="2"/>
  <c r="AF355" i="2"/>
  <c r="AK342" i="2"/>
  <c r="AG339" i="2"/>
  <c r="AK336" i="2"/>
  <c r="AC334" i="2"/>
  <c r="AK332" i="2"/>
  <c r="AE330" i="2"/>
  <c r="AM328" i="2"/>
  <c r="AF326" i="2"/>
  <c r="AE324" i="2"/>
  <c r="AM320" i="2"/>
  <c r="AF318" i="2"/>
  <c r="AE316" i="2"/>
  <c r="AM312" i="2"/>
  <c r="AJ311" i="2"/>
  <c r="AE310" i="2"/>
  <c r="AJ307" i="2"/>
  <c r="AE306" i="2"/>
  <c r="AJ303" i="2"/>
  <c r="AE302" i="2"/>
  <c r="AJ299" i="2"/>
  <c r="AE298" i="2"/>
  <c r="AJ295" i="2"/>
  <c r="AI287" i="2"/>
  <c r="AI285" i="2"/>
  <c r="AI283" i="2"/>
  <c r="AI281" i="2"/>
  <c r="AI279" i="2"/>
  <c r="AI277" i="2"/>
  <c r="AI275" i="2"/>
  <c r="AI273" i="2"/>
  <c r="AI271" i="2"/>
  <c r="AI269" i="2"/>
  <c r="AI267" i="2"/>
  <c r="AM322" i="2"/>
  <c r="AF320" i="2"/>
  <c r="AE318" i="2"/>
  <c r="AJ261" i="2"/>
  <c r="AE260" i="2"/>
  <c r="AJ257" i="2"/>
  <c r="AE256" i="2"/>
  <c r="AJ253" i="2"/>
  <c r="AE252" i="2"/>
  <c r="AJ249" i="2"/>
  <c r="AE248" i="2"/>
  <c r="AJ245" i="2"/>
  <c r="AH244" i="2"/>
  <c r="AM243" i="2"/>
  <c r="AE243" i="2"/>
  <c r="AL242" i="2"/>
  <c r="AI241" i="2"/>
  <c r="AH240" i="2"/>
  <c r="AM239" i="2"/>
  <c r="AE239" i="2"/>
  <c r="AL238" i="2"/>
  <c r="AI237" i="2"/>
  <c r="AH236" i="2"/>
  <c r="AM235" i="2"/>
  <c r="AE235" i="2"/>
  <c r="AL234" i="2"/>
  <c r="AI233" i="2"/>
  <c r="AH232" i="2"/>
  <c r="AM231" i="2"/>
  <c r="AE231" i="2"/>
  <c r="AL230" i="2"/>
  <c r="AI229" i="2"/>
  <c r="AH228" i="2"/>
  <c r="AM227" i="2"/>
  <c r="AE227" i="2"/>
  <c r="AL226" i="2"/>
  <c r="AI225" i="2"/>
  <c r="AH224" i="2"/>
  <c r="AM223" i="2"/>
  <c r="AE223" i="2"/>
  <c r="AL222" i="2"/>
  <c r="AI221" i="2"/>
  <c r="AH220" i="2"/>
  <c r="AM219" i="2"/>
  <c r="AE219" i="2"/>
  <c r="AL218" i="2"/>
  <c r="AI217" i="2"/>
  <c r="AH216" i="2"/>
  <c r="AM215" i="2"/>
  <c r="AE215" i="2"/>
  <c r="AL214" i="2"/>
  <c r="AI213" i="2"/>
  <c r="AH212" i="2"/>
  <c r="AM211" i="2"/>
  <c r="AE211" i="2"/>
  <c r="AL210" i="2"/>
  <c r="AI209" i="2"/>
  <c r="AH208" i="2"/>
  <c r="AM207" i="2"/>
  <c r="AE207" i="2"/>
  <c r="AL206" i="2"/>
  <c r="AI205" i="2"/>
  <c r="AH204" i="2"/>
  <c r="AM203" i="2"/>
  <c r="AE203" i="2"/>
  <c r="AL202" i="2"/>
  <c r="AI201" i="2"/>
  <c r="AH200" i="2"/>
  <c r="AM199" i="2"/>
  <c r="AE199" i="2"/>
  <c r="AL198" i="2"/>
  <c r="AI197" i="2"/>
  <c r="AH196" i="2"/>
  <c r="AM195" i="2"/>
  <c r="AE195" i="2"/>
  <c r="AL194" i="2"/>
  <c r="AI193" i="2"/>
  <c r="AH192" i="2"/>
  <c r="AM191" i="2"/>
  <c r="AE191" i="2"/>
  <c r="AL190" i="2"/>
  <c r="AI189" i="2"/>
  <c r="AI188" i="2"/>
  <c r="AL187" i="2"/>
  <c r="AG187" i="2"/>
  <c r="AI186" i="2"/>
  <c r="AL185" i="2"/>
  <c r="AG185" i="2"/>
  <c r="AI184" i="2"/>
  <c r="AL183" i="2"/>
  <c r="AG183" i="2"/>
  <c r="AI182" i="2"/>
  <c r="AL181" i="2"/>
  <c r="AG181" i="2"/>
  <c r="AI180" i="2"/>
  <c r="AL179" i="2"/>
  <c r="AG179" i="2"/>
  <c r="AI178" i="2"/>
  <c r="AL177" i="2"/>
  <c r="AG177" i="2"/>
  <c r="AI176" i="2"/>
  <c r="AL175" i="2"/>
  <c r="AG175" i="2"/>
  <c r="AI174" i="2"/>
  <c r="AL173" i="2"/>
  <c r="AG173" i="2"/>
  <c r="AI172" i="2"/>
  <c r="AL171" i="2"/>
  <c r="AG171" i="2"/>
  <c r="AI170" i="2"/>
  <c r="AL169" i="2"/>
  <c r="AG169" i="2"/>
  <c r="AI168" i="2"/>
  <c r="AL167" i="2"/>
  <c r="AG167" i="2"/>
  <c r="AI166" i="2"/>
  <c r="AL165" i="2"/>
  <c r="AG165" i="2"/>
  <c r="AI164" i="2"/>
  <c r="AL163" i="2"/>
  <c r="AG163" i="2"/>
  <c r="AI162" i="2"/>
  <c r="AL161" i="2"/>
  <c r="AG161" i="2"/>
  <c r="AI160" i="2"/>
  <c r="AL159" i="2"/>
  <c r="AG159" i="2"/>
  <c r="AI158" i="2"/>
  <c r="AL157" i="2"/>
  <c r="AG157" i="2"/>
  <c r="AI327" i="2"/>
  <c r="AM314" i="2"/>
  <c r="AF312" i="2"/>
  <c r="AL310" i="2"/>
  <c r="AH308" i="2"/>
  <c r="AL306" i="2"/>
  <c r="AH304" i="2"/>
  <c r="AL302" i="2"/>
  <c r="AH300" i="2"/>
  <c r="AL298" i="2"/>
  <c r="AH296" i="2"/>
  <c r="AM266" i="2"/>
  <c r="AI265" i="2"/>
  <c r="AI261" i="2"/>
  <c r="AL260" i="2"/>
  <c r="AI257" i="2"/>
  <c r="AL256" i="2"/>
  <c r="AI253" i="2"/>
  <c r="AL252" i="2"/>
  <c r="AI249" i="2"/>
  <c r="AL248" i="2"/>
  <c r="AI245" i="2"/>
  <c r="AM244" i="2"/>
  <c r="AE244" i="2"/>
  <c r="AL243" i="2"/>
  <c r="AI242" i="2"/>
  <c r="AH241" i="2"/>
  <c r="AM240" i="2"/>
  <c r="AE240" i="2"/>
  <c r="AL239" i="2"/>
  <c r="AI238" i="2"/>
  <c r="AH237" i="2"/>
  <c r="AM236" i="2"/>
  <c r="AE236" i="2"/>
  <c r="AL235" i="2"/>
  <c r="AI234" i="2"/>
  <c r="AH233" i="2"/>
  <c r="AM232" i="2"/>
  <c r="AE232" i="2"/>
  <c r="AL231" i="2"/>
  <c r="AI230" i="2"/>
  <c r="AH229" i="2"/>
  <c r="AM228" i="2"/>
  <c r="AE228" i="2"/>
  <c r="AL227" i="2"/>
  <c r="AI226" i="2"/>
  <c r="AH225" i="2"/>
  <c r="AM224" i="2"/>
  <c r="AE224" i="2"/>
  <c r="AL223" i="2"/>
  <c r="AI222" i="2"/>
  <c r="AH221" i="2"/>
  <c r="AM220" i="2"/>
  <c r="AE220" i="2"/>
  <c r="AL219" i="2"/>
  <c r="AI218" i="2"/>
  <c r="AH217" i="2"/>
  <c r="AM216" i="2"/>
  <c r="AE216" i="2"/>
  <c r="AL215" i="2"/>
  <c r="AI214" i="2"/>
  <c r="AH213" i="2"/>
  <c r="AM212" i="2"/>
  <c r="AE212" i="2"/>
  <c r="AL211" i="2"/>
  <c r="AI210" i="2"/>
  <c r="AH209" i="2"/>
  <c r="AM208" i="2"/>
  <c r="AE208" i="2"/>
  <c r="AL207" i="2"/>
  <c r="AI206" i="2"/>
  <c r="AH205" i="2"/>
  <c r="AM204" i="2"/>
  <c r="AE204" i="2"/>
  <c r="AL203" i="2"/>
  <c r="AI202" i="2"/>
  <c r="AH201" i="2"/>
  <c r="AM200" i="2"/>
  <c r="AE200" i="2"/>
  <c r="AL199" i="2"/>
  <c r="AI198" i="2"/>
  <c r="AH197" i="2"/>
  <c r="AM196" i="2"/>
  <c r="AE196" i="2"/>
  <c r="AL195" i="2"/>
  <c r="AI194" i="2"/>
  <c r="AH193" i="2"/>
  <c r="AM192" i="2"/>
  <c r="AE192" i="2"/>
  <c r="AL191" i="2"/>
  <c r="AI190" i="2"/>
  <c r="AH189" i="2"/>
  <c r="AM188" i="2"/>
  <c r="AH188" i="2"/>
  <c r="AC188" i="2"/>
  <c r="AK187" i="2"/>
  <c r="AE187" i="2"/>
  <c r="AM186" i="2"/>
  <c r="AH186" i="2"/>
  <c r="AC186" i="2"/>
  <c r="AK185" i="2"/>
  <c r="AE185" i="2"/>
  <c r="AM184" i="2"/>
  <c r="AH184" i="2"/>
  <c r="AC184" i="2"/>
  <c r="AK183" i="2"/>
  <c r="AE183" i="2"/>
  <c r="AM182" i="2"/>
  <c r="AH182" i="2"/>
  <c r="AC182" i="2"/>
  <c r="AK181" i="2"/>
  <c r="AE181" i="2"/>
  <c r="AM180" i="2"/>
  <c r="AH180" i="2"/>
  <c r="AC180" i="2"/>
  <c r="AK179" i="2"/>
  <c r="AE179" i="2"/>
  <c r="AM178" i="2"/>
  <c r="AH178" i="2"/>
  <c r="AC178" i="2"/>
  <c r="AK177" i="2"/>
  <c r="AE177" i="2"/>
  <c r="AM176" i="2"/>
  <c r="AH176" i="2"/>
  <c r="AC176" i="2"/>
  <c r="AK175" i="2"/>
  <c r="AE175" i="2"/>
  <c r="AM174" i="2"/>
  <c r="AH174" i="2"/>
  <c r="AC174" i="2"/>
  <c r="AK173" i="2"/>
  <c r="AE173" i="2"/>
  <c r="AM172" i="2"/>
  <c r="AH172" i="2"/>
  <c r="AC172" i="2"/>
  <c r="AK171" i="2"/>
  <c r="AE171" i="2"/>
  <c r="AM170" i="2"/>
  <c r="AH170" i="2"/>
  <c r="AC170" i="2"/>
  <c r="AK169" i="2"/>
  <c r="AE169" i="2"/>
  <c r="AM168" i="2"/>
  <c r="AH168" i="2"/>
  <c r="AC168" i="2"/>
  <c r="AK167" i="2"/>
  <c r="AE167" i="2"/>
  <c r="AM166" i="2"/>
  <c r="AH166" i="2"/>
  <c r="AC166" i="2"/>
  <c r="AK165" i="2"/>
  <c r="AE165" i="2"/>
  <c r="AM164" i="2"/>
  <c r="AH164" i="2"/>
  <c r="AC164" i="2"/>
  <c r="AK163" i="2"/>
  <c r="AE163" i="2"/>
  <c r="AM162" i="2"/>
  <c r="AH162" i="2"/>
  <c r="AC162" i="2"/>
  <c r="AK161" i="2"/>
  <c r="AE161" i="2"/>
  <c r="AM160" i="2"/>
  <c r="AH160" i="2"/>
  <c r="AC160" i="2"/>
  <c r="AK159" i="2"/>
  <c r="AE159" i="2"/>
  <c r="AM158" i="2"/>
  <c r="AH158" i="2"/>
  <c r="AC158" i="2"/>
  <c r="AK157" i="2"/>
  <c r="AE157" i="2"/>
  <c r="AJ321" i="2"/>
  <c r="AI319" i="2"/>
  <c r="AJ266" i="2"/>
  <c r="AF265" i="2"/>
  <c r="AE261" i="2"/>
  <c r="AJ260" i="2"/>
  <c r="AE257" i="2"/>
  <c r="AJ256" i="2"/>
  <c r="AE253" i="2"/>
  <c r="AJ252" i="2"/>
  <c r="AE249" i="2"/>
  <c r="AJ248" i="2"/>
  <c r="AE245" i="2"/>
  <c r="AL244" i="2"/>
  <c r="AI243" i="2"/>
  <c r="AH242" i="2"/>
  <c r="AM241" i="2"/>
  <c r="AE241" i="2"/>
  <c r="AL240" i="2"/>
  <c r="AI239" i="2"/>
  <c r="AH238" i="2"/>
  <c r="AM237" i="2"/>
  <c r="AE237" i="2"/>
  <c r="AL236" i="2"/>
  <c r="AI235" i="2"/>
  <c r="AH234" i="2"/>
  <c r="AM233" i="2"/>
  <c r="AE233" i="2"/>
  <c r="AL232" i="2"/>
  <c r="AI231" i="2"/>
  <c r="AH230" i="2"/>
  <c r="AM229" i="2"/>
  <c r="AE229" i="2"/>
  <c r="AL228" i="2"/>
  <c r="AI227" i="2"/>
  <c r="AH226" i="2"/>
  <c r="AM225" i="2"/>
  <c r="AE225" i="2"/>
  <c r="AL224" i="2"/>
  <c r="AI223" i="2"/>
  <c r="AH222" i="2"/>
  <c r="AM221" i="2"/>
  <c r="AE221" i="2"/>
  <c r="AL220" i="2"/>
  <c r="AI219" i="2"/>
  <c r="AH218" i="2"/>
  <c r="AM217" i="2"/>
  <c r="AE217" i="2"/>
  <c r="AL216" i="2"/>
  <c r="AI215" i="2"/>
  <c r="AH214" i="2"/>
  <c r="AM213" i="2"/>
  <c r="AE213" i="2"/>
  <c r="AL212" i="2"/>
  <c r="AI211" i="2"/>
  <c r="AH210" i="2"/>
  <c r="AM209" i="2"/>
  <c r="AE209" i="2"/>
  <c r="AL208" i="2"/>
  <c r="AI207" i="2"/>
  <c r="AH206" i="2"/>
  <c r="AM205" i="2"/>
  <c r="AE205" i="2"/>
  <c r="AL204" i="2"/>
  <c r="AI203" i="2"/>
  <c r="AH202" i="2"/>
  <c r="AM201" i="2"/>
  <c r="AE201" i="2"/>
  <c r="AL200" i="2"/>
  <c r="AI199" i="2"/>
  <c r="AH198" i="2"/>
  <c r="AM197" i="2"/>
  <c r="AE197" i="2"/>
  <c r="AL196" i="2"/>
  <c r="AI195" i="2"/>
  <c r="AH194" i="2"/>
  <c r="AM193" i="2"/>
  <c r="AE193" i="2"/>
  <c r="AL192" i="2"/>
  <c r="AI191" i="2"/>
  <c r="AH190" i="2"/>
  <c r="AM189" i="2"/>
  <c r="AE189" i="2"/>
  <c r="AL188" i="2"/>
  <c r="AG188" i="2"/>
  <c r="AI187" i="2"/>
  <c r="AL186" i="2"/>
  <c r="AG186" i="2"/>
  <c r="AI185" i="2"/>
  <c r="AL184" i="2"/>
  <c r="AG184" i="2"/>
  <c r="AI183" i="2"/>
  <c r="AL182" i="2"/>
  <c r="AG182" i="2"/>
  <c r="AI181" i="2"/>
  <c r="AL180" i="2"/>
  <c r="AG180" i="2"/>
  <c r="AI179" i="2"/>
  <c r="AL178" i="2"/>
  <c r="AG178" i="2"/>
  <c r="AI177" i="2"/>
  <c r="AJ313" i="2"/>
  <c r="AF305" i="2"/>
  <c r="AF297" i="2"/>
  <c r="AF289" i="2"/>
  <c r="AF281" i="2"/>
  <c r="AF273" i="2"/>
  <c r="AF260" i="2"/>
  <c r="AF256" i="2"/>
  <c r="AF252" i="2"/>
  <c r="AF248" i="2"/>
  <c r="AI244" i="2"/>
  <c r="AM242" i="2"/>
  <c r="AH239" i="2"/>
  <c r="AI236" i="2"/>
  <c r="AM234" i="2"/>
  <c r="AH231" i="2"/>
  <c r="AI228" i="2"/>
  <c r="AM226" i="2"/>
  <c r="AH223" i="2"/>
  <c r="AI220" i="2"/>
  <c r="AM218" i="2"/>
  <c r="AH215" i="2"/>
  <c r="AI212" i="2"/>
  <c r="AM210" i="2"/>
  <c r="AH207" i="2"/>
  <c r="AI204" i="2"/>
  <c r="AM202" i="2"/>
  <c r="AH199" i="2"/>
  <c r="AI196" i="2"/>
  <c r="AM194" i="2"/>
  <c r="AH191" i="2"/>
  <c r="AK188" i="2"/>
  <c r="AH187" i="2"/>
  <c r="AE186" i="2"/>
  <c r="AC185" i="2"/>
  <c r="AM181" i="2"/>
  <c r="AK180" i="2"/>
  <c r="AH179" i="2"/>
  <c r="AE178" i="2"/>
  <c r="AK176" i="2"/>
  <c r="AM175" i="2"/>
  <c r="AC175" i="2"/>
  <c r="AG174" i="2"/>
  <c r="AI173" i="2"/>
  <c r="AE172" i="2"/>
  <c r="AH171" i="2"/>
  <c r="AL170" i="2"/>
  <c r="AK168" i="2"/>
  <c r="AM167" i="2"/>
  <c r="AC167" i="2"/>
  <c r="AG166" i="2"/>
  <c r="AI165" i="2"/>
  <c r="AE164" i="2"/>
  <c r="AH163" i="2"/>
  <c r="AL162" i="2"/>
  <c r="AK160" i="2"/>
  <c r="AM159" i="2"/>
  <c r="AC159" i="2"/>
  <c r="AG158" i="2"/>
  <c r="AI157" i="2"/>
  <c r="AG156" i="2"/>
  <c r="AL155" i="2"/>
  <c r="AK154" i="2"/>
  <c r="AC154" i="2"/>
  <c r="AH153" i="2"/>
  <c r="AG152" i="2"/>
  <c r="AL151" i="2"/>
  <c r="AK150" i="2"/>
  <c r="AC150" i="2"/>
  <c r="AH149" i="2"/>
  <c r="AG148" i="2"/>
  <c r="AL147" i="2"/>
  <c r="AK146" i="2"/>
  <c r="AC146" i="2"/>
  <c r="AH142" i="2"/>
  <c r="AC142" i="2"/>
  <c r="AH138" i="2"/>
  <c r="AC138" i="2"/>
  <c r="AH134" i="2"/>
  <c r="AC134" i="2"/>
  <c r="AH130" i="2"/>
  <c r="AC130" i="2"/>
  <c r="AH126" i="2"/>
  <c r="AC126" i="2"/>
  <c r="AH122" i="2"/>
  <c r="AC122" i="2"/>
  <c r="AI307" i="2"/>
  <c r="AI299" i="2"/>
  <c r="AF291" i="2"/>
  <c r="AF283" i="2"/>
  <c r="AF275" i="2"/>
  <c r="AF267" i="2"/>
  <c r="AE242" i="2"/>
  <c r="AL237" i="2"/>
  <c r="AE234" i="2"/>
  <c r="AL229" i="2"/>
  <c r="AE226" i="2"/>
  <c r="AL221" i="2"/>
  <c r="AE218" i="2"/>
  <c r="AL213" i="2"/>
  <c r="AE210" i="2"/>
  <c r="AL205" i="2"/>
  <c r="AE202" i="2"/>
  <c r="AL197" i="2"/>
  <c r="AE194" i="2"/>
  <c r="AL189" i="2"/>
  <c r="AE188" i="2"/>
  <c r="AC187" i="2"/>
  <c r="AM183" i="2"/>
  <c r="AK182" i="2"/>
  <c r="AH181" i="2"/>
  <c r="AE180" i="2"/>
  <c r="AC179" i="2"/>
  <c r="AC177" i="2"/>
  <c r="AG176" i="2"/>
  <c r="AI175" i="2"/>
  <c r="AE174" i="2"/>
  <c r="AH173" i="2"/>
  <c r="AL172" i="2"/>
  <c r="AK170" i="2"/>
  <c r="AM169" i="2"/>
  <c r="AC169" i="2"/>
  <c r="AG168" i="2"/>
  <c r="AI167" i="2"/>
  <c r="AE166" i="2"/>
  <c r="AH165" i="2"/>
  <c r="AL164" i="2"/>
  <c r="AK162" i="2"/>
  <c r="AM161" i="2"/>
  <c r="AC161" i="2"/>
  <c r="AG160" i="2"/>
  <c r="AI159" i="2"/>
  <c r="AE158" i="2"/>
  <c r="AH157" i="2"/>
  <c r="AL156" i="2"/>
  <c r="AK155" i="2"/>
  <c r="AC155" i="2"/>
  <c r="AH154" i="2"/>
  <c r="AG153" i="2"/>
  <c r="AL152" i="2"/>
  <c r="AK151" i="2"/>
  <c r="AC151" i="2"/>
  <c r="AH150" i="2"/>
  <c r="AG149" i="2"/>
  <c r="AL148" i="2"/>
  <c r="AK147" i="2"/>
  <c r="AC147" i="2"/>
  <c r="AH146" i="2"/>
  <c r="AE326" i="2"/>
  <c r="AF309" i="2"/>
  <c r="AF301" i="2"/>
  <c r="AF293" i="2"/>
  <c r="AF285" i="2"/>
  <c r="AF277" i="2"/>
  <c r="AF269" i="2"/>
  <c r="AL259" i="2"/>
  <c r="AL255" i="2"/>
  <c r="AL251" i="2"/>
  <c r="AL247" i="2"/>
  <c r="AH243" i="2"/>
  <c r="AI240" i="2"/>
  <c r="AM238" i="2"/>
  <c r="AH235" i="2"/>
  <c r="AI232" i="2"/>
  <c r="AM230" i="2"/>
  <c r="AH227" i="2"/>
  <c r="AI224" i="2"/>
  <c r="AM222" i="2"/>
  <c r="AH219" i="2"/>
  <c r="AI216" i="2"/>
  <c r="AM214" i="2"/>
  <c r="AH211" i="2"/>
  <c r="AI208" i="2"/>
  <c r="AM206" i="2"/>
  <c r="AH203" i="2"/>
  <c r="AI200" i="2"/>
  <c r="AM198" i="2"/>
  <c r="AH195" i="2"/>
  <c r="AI192" i="2"/>
  <c r="AM190" i="2"/>
  <c r="AM185" i="2"/>
  <c r="AK184" i="2"/>
  <c r="AH183" i="2"/>
  <c r="AE182" i="2"/>
  <c r="AC181" i="2"/>
  <c r="AM177" i="2"/>
  <c r="AE176" i="2"/>
  <c r="AH175" i="2"/>
  <c r="AL174" i="2"/>
  <c r="AK172" i="2"/>
  <c r="AM171" i="2"/>
  <c r="AC171" i="2"/>
  <c r="AG170" i="2"/>
  <c r="AI169" i="2"/>
  <c r="AE168" i="2"/>
  <c r="AH167" i="2"/>
  <c r="AL166" i="2"/>
  <c r="AK164" i="2"/>
  <c r="AM163" i="2"/>
  <c r="AC163" i="2"/>
  <c r="AG162" i="2"/>
  <c r="AI161" i="2"/>
  <c r="AE160" i="2"/>
  <c r="AH159" i="2"/>
  <c r="AL158" i="2"/>
  <c r="AK156" i="2"/>
  <c r="AC156" i="2"/>
  <c r="AH155" i="2"/>
  <c r="AG154" i="2"/>
  <c r="AL153" i="2"/>
  <c r="AK152" i="2"/>
  <c r="AC152" i="2"/>
  <c r="AH151" i="2"/>
  <c r="AG150" i="2"/>
  <c r="AL149" i="2"/>
  <c r="AK148" i="2"/>
  <c r="AC148" i="2"/>
  <c r="AH147" i="2"/>
  <c r="AG146" i="2"/>
  <c r="AJ143" i="2"/>
  <c r="AK142" i="2"/>
  <c r="AF142" i="2"/>
  <c r="AJ139" i="2"/>
  <c r="AK138" i="2"/>
  <c r="AF138" i="2"/>
  <c r="AJ135" i="2"/>
  <c r="AK134" i="2"/>
  <c r="AF134" i="2"/>
  <c r="AJ131" i="2"/>
  <c r="AK130" i="2"/>
  <c r="AF130" i="2"/>
  <c r="AJ127" i="2"/>
  <c r="AK126" i="2"/>
  <c r="AF126" i="2"/>
  <c r="AJ123" i="2"/>
  <c r="AK122" i="2"/>
  <c r="AF122" i="2"/>
  <c r="AJ11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M82" i="2"/>
  <c r="AF83" i="2"/>
  <c r="AK83" i="2"/>
  <c r="AE84" i="2"/>
  <c r="AJ84" i="2"/>
  <c r="AC85" i="2"/>
  <c r="AI85" i="2"/>
  <c r="AL86" i="2"/>
  <c r="AH86" i="2"/>
  <c r="AG86" i="2"/>
  <c r="AM86" i="2"/>
  <c r="AF87" i="2"/>
  <c r="AK87" i="2"/>
  <c r="AE88" i="2"/>
  <c r="AJ88" i="2"/>
  <c r="AC89" i="2"/>
  <c r="AI89" i="2"/>
  <c r="AL90" i="2"/>
  <c r="AH90" i="2"/>
  <c r="AG90" i="2"/>
  <c r="AM90" i="2"/>
  <c r="AF91" i="2"/>
  <c r="AK91" i="2"/>
  <c r="AF92" i="2"/>
  <c r="AM93" i="2"/>
  <c r="AI93" i="2"/>
  <c r="AE93" i="2"/>
  <c r="AL93" i="2"/>
  <c r="AH93" i="2"/>
  <c r="AJ93" i="2"/>
  <c r="AF94" i="2"/>
  <c r="AM95" i="2"/>
  <c r="AI95" i="2"/>
  <c r="AE95" i="2"/>
  <c r="AL95" i="2"/>
  <c r="AH95" i="2"/>
  <c r="AJ95" i="2"/>
  <c r="AF96" i="2"/>
  <c r="AM97" i="2"/>
  <c r="AI97" i="2"/>
  <c r="AE97" i="2"/>
  <c r="AL97" i="2"/>
  <c r="AH97" i="2"/>
  <c r="AJ97" i="2"/>
  <c r="AF98" i="2"/>
  <c r="AM99" i="2"/>
  <c r="AI99" i="2"/>
  <c r="AE99" i="2"/>
  <c r="AL99" i="2"/>
  <c r="AH99" i="2"/>
  <c r="AJ99" i="2"/>
  <c r="AF100" i="2"/>
  <c r="AM101" i="2"/>
  <c r="AI101" i="2"/>
  <c r="AE101" i="2"/>
  <c r="AL101" i="2"/>
  <c r="AH101" i="2"/>
  <c r="AJ101" i="2"/>
  <c r="AF102" i="2"/>
  <c r="AM103" i="2"/>
  <c r="AI103" i="2"/>
  <c r="AE103" i="2"/>
  <c r="AL103" i="2"/>
  <c r="AH103" i="2"/>
  <c r="AJ103" i="2"/>
  <c r="AF104" i="2"/>
  <c r="AM105" i="2"/>
  <c r="AI105" i="2"/>
  <c r="AE105" i="2"/>
  <c r="AL105" i="2"/>
  <c r="AH105" i="2"/>
  <c r="AJ105" i="2"/>
  <c r="AF106" i="2"/>
  <c r="AM107" i="2"/>
  <c r="AI107" i="2"/>
  <c r="AE107" i="2"/>
  <c r="AL107" i="2"/>
  <c r="AH107" i="2"/>
  <c r="AJ107" i="2"/>
  <c r="AF108" i="2"/>
  <c r="AM109" i="2"/>
  <c r="AI109" i="2"/>
  <c r="AE109" i="2"/>
  <c r="AL109" i="2"/>
  <c r="AH109" i="2"/>
  <c r="AJ109" i="2"/>
  <c r="AF110" i="2"/>
  <c r="AM111" i="2"/>
  <c r="AI111" i="2"/>
  <c r="AE111" i="2"/>
  <c r="AL111" i="2"/>
  <c r="AH111" i="2"/>
  <c r="AJ111" i="2"/>
  <c r="AF112" i="2"/>
  <c r="AF113" i="2"/>
  <c r="AJ114" i="2"/>
  <c r="AM116" i="2"/>
  <c r="AI116" i="2"/>
  <c r="AE116" i="2"/>
  <c r="AL116" i="2"/>
  <c r="AH116" i="2"/>
  <c r="AK116" i="2"/>
  <c r="AG116" i="2"/>
  <c r="AC116" i="2"/>
  <c r="AF117" i="2"/>
  <c r="AJ118" i="2"/>
  <c r="AM120" i="2"/>
  <c r="AI120" i="2"/>
  <c r="AE120" i="2"/>
  <c r="AK120" i="2"/>
  <c r="AF120" i="2"/>
  <c r="AJ120" i="2"/>
  <c r="AH120" i="2"/>
  <c r="AC120" i="2"/>
  <c r="AF121" i="2"/>
  <c r="AJ122" i="2"/>
  <c r="AM124" i="2"/>
  <c r="AI124" i="2"/>
  <c r="AE124" i="2"/>
  <c r="AK124" i="2"/>
  <c r="AF124" i="2"/>
  <c r="AJ124" i="2"/>
  <c r="AH124" i="2"/>
  <c r="AC124" i="2"/>
  <c r="AF125" i="2"/>
  <c r="AJ126" i="2"/>
  <c r="AM128" i="2"/>
  <c r="AI128" i="2"/>
  <c r="AE128" i="2"/>
  <c r="AK128" i="2"/>
  <c r="AF128" i="2"/>
  <c r="AJ128" i="2"/>
  <c r="AH128" i="2"/>
  <c r="AC128" i="2"/>
  <c r="AF129" i="2"/>
  <c r="AJ130" i="2"/>
  <c r="AM132" i="2"/>
  <c r="AI132" i="2"/>
  <c r="AE132" i="2"/>
  <c r="AK132" i="2"/>
  <c r="AF132" i="2"/>
  <c r="AJ132" i="2"/>
  <c r="AH132" i="2"/>
  <c r="AC132" i="2"/>
  <c r="AF133" i="2"/>
  <c r="AJ134" i="2"/>
  <c r="AM136" i="2"/>
  <c r="AI136" i="2"/>
  <c r="AE136" i="2"/>
  <c r="AK136" i="2"/>
  <c r="AF136" i="2"/>
  <c r="AJ136" i="2"/>
  <c r="AH136" i="2"/>
  <c r="AC136" i="2"/>
  <c r="AF137" i="2"/>
  <c r="AJ138" i="2"/>
  <c r="AM140" i="2"/>
  <c r="AI140" i="2"/>
  <c r="AE140" i="2"/>
  <c r="AK140" i="2"/>
  <c r="AF140" i="2"/>
  <c r="AJ140" i="2"/>
  <c r="AH140" i="2"/>
  <c r="AC140" i="2"/>
  <c r="AF141" i="2"/>
  <c r="AJ142" i="2"/>
  <c r="AM144" i="2"/>
  <c r="AI144" i="2"/>
  <c r="AE144" i="2"/>
  <c r="AK144" i="2"/>
  <c r="AF144" i="2"/>
  <c r="AJ144" i="2"/>
  <c r="AH144" i="2"/>
  <c r="AC144" i="2"/>
  <c r="AF145" i="2"/>
  <c r="AL146" i="2"/>
  <c r="AH148" i="2"/>
  <c r="AG151" i="2"/>
  <c r="AC153" i="2"/>
  <c r="AL154" i="2"/>
  <c r="AH156" i="2"/>
  <c r="AJ160" i="2"/>
  <c r="AM165" i="2"/>
  <c r="AH169" i="2"/>
  <c r="AI171" i="2"/>
  <c r="AC173" i="2"/>
  <c r="AE184" i="2"/>
  <c r="AK186" i="2"/>
  <c r="AJ192" i="2"/>
  <c r="AE198" i="2"/>
  <c r="AL201" i="2"/>
  <c r="AJ208" i="2"/>
  <c r="AE214" i="2"/>
  <c r="AL217" i="2"/>
  <c r="AJ224" i="2"/>
  <c r="AE230" i="2"/>
  <c r="AL233" i="2"/>
  <c r="AJ240" i="2"/>
  <c r="AE266" i="2"/>
  <c r="AF287" i="2"/>
  <c r="AM121" i="2"/>
  <c r="AI121" i="2"/>
  <c r="AE121" i="2"/>
  <c r="AG121" i="2"/>
  <c r="AL121" i="2"/>
  <c r="AM125" i="2"/>
  <c r="AI125" i="2"/>
  <c r="AE125" i="2"/>
  <c r="AG125" i="2"/>
  <c r="AL125" i="2"/>
  <c r="AM129" i="2"/>
  <c r="AI129" i="2"/>
  <c r="AE129" i="2"/>
  <c r="AG129" i="2"/>
  <c r="AL129" i="2"/>
  <c r="AM133" i="2"/>
  <c r="AI133" i="2"/>
  <c r="AE133" i="2"/>
  <c r="AG133" i="2"/>
  <c r="AL133" i="2"/>
  <c r="AM137" i="2"/>
  <c r="AI137" i="2"/>
  <c r="AE137" i="2"/>
  <c r="AG137" i="2"/>
  <c r="AL137" i="2"/>
  <c r="AM141" i="2"/>
  <c r="AI141" i="2"/>
  <c r="AE141" i="2"/>
  <c r="AG141" i="2"/>
  <c r="AL141" i="2"/>
  <c r="AM145" i="2"/>
  <c r="AI145" i="2"/>
  <c r="AE145" i="2"/>
  <c r="AG145" i="2"/>
  <c r="AL145" i="2"/>
  <c r="AJ147" i="2"/>
  <c r="AJ151" i="2"/>
  <c r="AJ155" i="2"/>
  <c r="AJ158" i="2"/>
  <c r="AJ166" i="2"/>
  <c r="AJ174" i="2"/>
  <c r="AL264" i="2"/>
  <c r="AH264" i="2"/>
  <c r="AK264" i="2"/>
  <c r="AG264" i="2"/>
  <c r="AC264" i="2"/>
  <c r="AI264" i="2"/>
  <c r="AF264" i="2"/>
  <c r="AM264" i="2"/>
  <c r="AJ264" i="2"/>
  <c r="AE264" i="2"/>
  <c r="AJ319" i="2"/>
  <c r="AF119" i="2"/>
  <c r="AC121" i="2"/>
  <c r="AH121" i="2"/>
  <c r="AM122" i="2"/>
  <c r="AI122" i="2"/>
  <c r="AE122" i="2"/>
  <c r="AG122" i="2"/>
  <c r="AL122" i="2"/>
  <c r="AF123" i="2"/>
  <c r="AC125" i="2"/>
  <c r="AH125" i="2"/>
  <c r="AM126" i="2"/>
  <c r="AI126" i="2"/>
  <c r="AE126" i="2"/>
  <c r="AG126" i="2"/>
  <c r="AL126" i="2"/>
  <c r="AF127" i="2"/>
  <c r="AC129" i="2"/>
  <c r="AH129" i="2"/>
  <c r="AM130" i="2"/>
  <c r="AI130" i="2"/>
  <c r="AE130" i="2"/>
  <c r="AG130" i="2"/>
  <c r="AL130" i="2"/>
  <c r="AF131" i="2"/>
  <c r="AC133" i="2"/>
  <c r="AH133" i="2"/>
  <c r="AM134" i="2"/>
  <c r="AI134" i="2"/>
  <c r="AE134" i="2"/>
  <c r="AG134" i="2"/>
  <c r="AL134" i="2"/>
  <c r="AF135" i="2"/>
  <c r="AC137" i="2"/>
  <c r="AH137" i="2"/>
  <c r="AM138" i="2"/>
  <c r="AI138" i="2"/>
  <c r="AE138" i="2"/>
  <c r="AG138" i="2"/>
  <c r="AL138" i="2"/>
  <c r="AF139" i="2"/>
  <c r="AC141" i="2"/>
  <c r="AH141" i="2"/>
  <c r="AM142" i="2"/>
  <c r="AI142" i="2"/>
  <c r="AE142" i="2"/>
  <c r="AG142" i="2"/>
  <c r="AL142" i="2"/>
  <c r="AF143" i="2"/>
  <c r="AC145" i="2"/>
  <c r="AH145" i="2"/>
  <c r="AJ146" i="2"/>
  <c r="AJ150" i="2"/>
  <c r="AJ154" i="2"/>
  <c r="AJ164" i="2"/>
  <c r="AJ172" i="2"/>
  <c r="AJ196" i="2"/>
  <c r="AJ204" i="2"/>
  <c r="AJ212" i="2"/>
  <c r="AJ220" i="2"/>
  <c r="AJ228" i="2"/>
  <c r="AJ236" i="2"/>
  <c r="AJ244" i="2"/>
  <c r="AK246" i="2"/>
  <c r="AG246" i="2"/>
  <c r="AC246" i="2"/>
  <c r="AL246" i="2"/>
  <c r="AF246" i="2"/>
  <c r="AJ246" i="2"/>
  <c r="AE246" i="2"/>
  <c r="AI246" i="2"/>
  <c r="AH246" i="2"/>
  <c r="AK250" i="2"/>
  <c r="AG250" i="2"/>
  <c r="AC250" i="2"/>
  <c r="AL250" i="2"/>
  <c r="AF250" i="2"/>
  <c r="AJ250" i="2"/>
  <c r="AE250" i="2"/>
  <c r="AI250" i="2"/>
  <c r="AH250" i="2"/>
  <c r="AK254" i="2"/>
  <c r="AG254" i="2"/>
  <c r="AC254" i="2"/>
  <c r="AL254" i="2"/>
  <c r="AF254" i="2"/>
  <c r="AJ254" i="2"/>
  <c r="AE254" i="2"/>
  <c r="AI254" i="2"/>
  <c r="AH254" i="2"/>
  <c r="AK258" i="2"/>
  <c r="AG258" i="2"/>
  <c r="AC258" i="2"/>
  <c r="AL258" i="2"/>
  <c r="AF258" i="2"/>
  <c r="AJ258" i="2"/>
  <c r="AE258" i="2"/>
  <c r="AI258" i="2"/>
  <c r="AH258" i="2"/>
  <c r="AK262" i="2"/>
  <c r="AG262" i="2"/>
  <c r="AC262" i="2"/>
  <c r="AL262" i="2"/>
  <c r="AF262" i="2"/>
  <c r="AJ262" i="2"/>
  <c r="AE262" i="2"/>
  <c r="AI262" i="2"/>
  <c r="AH262" i="2"/>
  <c r="AI316" i="2"/>
  <c r="AM119" i="2"/>
  <c r="AI119" i="2"/>
  <c r="AE119" i="2"/>
  <c r="AG119" i="2"/>
  <c r="AL119" i="2"/>
  <c r="AJ121" i="2"/>
  <c r="AM123" i="2"/>
  <c r="AI123" i="2"/>
  <c r="AE123" i="2"/>
  <c r="AG123" i="2"/>
  <c r="AL123" i="2"/>
  <c r="AJ125" i="2"/>
  <c r="AM127" i="2"/>
  <c r="AI127" i="2"/>
  <c r="AE127" i="2"/>
  <c r="AG127" i="2"/>
  <c r="AL127" i="2"/>
  <c r="AJ129" i="2"/>
  <c r="AM131" i="2"/>
  <c r="AI131" i="2"/>
  <c r="AE131" i="2"/>
  <c r="AG131" i="2"/>
  <c r="AL131" i="2"/>
  <c r="AJ133" i="2"/>
  <c r="AM135" i="2"/>
  <c r="AI135" i="2"/>
  <c r="AE135" i="2"/>
  <c r="AG135" i="2"/>
  <c r="AL135" i="2"/>
  <c r="AJ137" i="2"/>
  <c r="AM139" i="2"/>
  <c r="AI139" i="2"/>
  <c r="AE139" i="2"/>
  <c r="AG139" i="2"/>
  <c r="AL139" i="2"/>
  <c r="AJ141" i="2"/>
  <c r="AM143" i="2"/>
  <c r="AI143" i="2"/>
  <c r="AE143" i="2"/>
  <c r="AG143" i="2"/>
  <c r="AL143" i="2"/>
  <c r="AJ145" i="2"/>
  <c r="AJ149" i="2"/>
  <c r="AJ153" i="2"/>
  <c r="AJ162" i="2"/>
  <c r="AJ170" i="2"/>
  <c r="AM246" i="2"/>
  <c r="AM250" i="2"/>
  <c r="AM254" i="2"/>
  <c r="AM258" i="2"/>
  <c r="AM262" i="2"/>
  <c r="AJ178" i="2"/>
  <c r="AJ180" i="2"/>
  <c r="AJ182" i="2"/>
  <c r="AJ184" i="2"/>
  <c r="AJ186" i="2"/>
  <c r="AJ188" i="2"/>
  <c r="AJ191" i="2"/>
  <c r="AJ195" i="2"/>
  <c r="AJ199" i="2"/>
  <c r="AJ203" i="2"/>
  <c r="AJ207" i="2"/>
  <c r="AJ211" i="2"/>
  <c r="AJ215" i="2"/>
  <c r="AJ219" i="2"/>
  <c r="AJ223" i="2"/>
  <c r="AJ227" i="2"/>
  <c r="AJ231" i="2"/>
  <c r="AJ235" i="2"/>
  <c r="AJ239" i="2"/>
  <c r="AJ243" i="2"/>
  <c r="AK247" i="2"/>
  <c r="AG247" i="2"/>
  <c r="AC247" i="2"/>
  <c r="AJ247" i="2"/>
  <c r="AE247" i="2"/>
  <c r="AI247" i="2"/>
  <c r="AM247" i="2"/>
  <c r="AK251" i="2"/>
  <c r="AG251" i="2"/>
  <c r="AC251" i="2"/>
  <c r="AJ251" i="2"/>
  <c r="AE251" i="2"/>
  <c r="AI251" i="2"/>
  <c r="AM251" i="2"/>
  <c r="AK255" i="2"/>
  <c r="AG255" i="2"/>
  <c r="AC255" i="2"/>
  <c r="AJ255" i="2"/>
  <c r="AE255" i="2"/>
  <c r="AI255" i="2"/>
  <c r="AM255" i="2"/>
  <c r="AK259" i="2"/>
  <c r="AG259" i="2"/>
  <c r="AC259" i="2"/>
  <c r="AJ259" i="2"/>
  <c r="AE259" i="2"/>
  <c r="AI259" i="2"/>
  <c r="AM259" i="2"/>
  <c r="AL263" i="2"/>
  <c r="AH263" i="2"/>
  <c r="AK263" i="2"/>
  <c r="AG263" i="2"/>
  <c r="AC263" i="2"/>
  <c r="AM263" i="2"/>
  <c r="AE263" i="2"/>
  <c r="AJ263" i="2"/>
  <c r="AL268" i="2"/>
  <c r="AH268" i="2"/>
  <c r="AK268" i="2"/>
  <c r="AG268" i="2"/>
  <c r="AC268" i="2"/>
  <c r="AI268" i="2"/>
  <c r="AF268" i="2"/>
  <c r="AM268" i="2"/>
  <c r="AE268" i="2"/>
  <c r="AL270" i="2"/>
  <c r="AH270" i="2"/>
  <c r="AK270" i="2"/>
  <c r="AG270" i="2"/>
  <c r="AC270" i="2"/>
  <c r="AI270" i="2"/>
  <c r="AF270" i="2"/>
  <c r="AM270" i="2"/>
  <c r="AE270" i="2"/>
  <c r="AL272" i="2"/>
  <c r="AH272" i="2"/>
  <c r="AK272" i="2"/>
  <c r="AG272" i="2"/>
  <c r="AC272" i="2"/>
  <c r="AI272" i="2"/>
  <c r="AF272" i="2"/>
  <c r="AM272" i="2"/>
  <c r="AE272" i="2"/>
  <c r="AL274" i="2"/>
  <c r="AH274" i="2"/>
  <c r="AK274" i="2"/>
  <c r="AG274" i="2"/>
  <c r="AC274" i="2"/>
  <c r="AI274" i="2"/>
  <c r="AF274" i="2"/>
  <c r="AM274" i="2"/>
  <c r="AE274" i="2"/>
  <c r="AL276" i="2"/>
  <c r="AH276" i="2"/>
  <c r="AK276" i="2"/>
  <c r="AG276" i="2"/>
  <c r="AC276" i="2"/>
  <c r="AI276" i="2"/>
  <c r="AF276" i="2"/>
  <c r="AM276" i="2"/>
  <c r="AE276" i="2"/>
  <c r="AL278" i="2"/>
  <c r="AH278" i="2"/>
  <c r="AK278" i="2"/>
  <c r="AG278" i="2"/>
  <c r="AC278" i="2"/>
  <c r="AI278" i="2"/>
  <c r="AF278" i="2"/>
  <c r="AM278" i="2"/>
  <c r="AE278" i="2"/>
  <c r="AL280" i="2"/>
  <c r="AH280" i="2"/>
  <c r="AK280" i="2"/>
  <c r="AG280" i="2"/>
  <c r="AC280" i="2"/>
  <c r="AI280" i="2"/>
  <c r="AF280" i="2"/>
  <c r="AM280" i="2"/>
  <c r="AE280" i="2"/>
  <c r="AL282" i="2"/>
  <c r="AH282" i="2"/>
  <c r="AK282" i="2"/>
  <c r="AG282" i="2"/>
  <c r="AC282" i="2"/>
  <c r="AI282" i="2"/>
  <c r="AF282" i="2"/>
  <c r="AM282" i="2"/>
  <c r="AE282" i="2"/>
  <c r="AL284" i="2"/>
  <c r="AH284" i="2"/>
  <c r="AK284" i="2"/>
  <c r="AG284" i="2"/>
  <c r="AC284" i="2"/>
  <c r="AI284" i="2"/>
  <c r="AF284" i="2"/>
  <c r="AM284" i="2"/>
  <c r="AE284" i="2"/>
  <c r="AL286" i="2"/>
  <c r="AH286" i="2"/>
  <c r="AK286" i="2"/>
  <c r="AG286" i="2"/>
  <c r="AC286" i="2"/>
  <c r="AI286" i="2"/>
  <c r="AF286" i="2"/>
  <c r="AM286" i="2"/>
  <c r="AE286" i="2"/>
  <c r="AL288" i="2"/>
  <c r="AH288" i="2"/>
  <c r="AK288" i="2"/>
  <c r="AG288" i="2"/>
  <c r="AC288" i="2"/>
  <c r="AI288" i="2"/>
  <c r="AF288" i="2"/>
  <c r="AM288" i="2"/>
  <c r="AE288" i="2"/>
  <c r="AL290" i="2"/>
  <c r="AH290" i="2"/>
  <c r="AK290" i="2"/>
  <c r="AG290" i="2"/>
  <c r="AC290" i="2"/>
  <c r="AI290" i="2"/>
  <c r="AF290" i="2"/>
  <c r="AM290" i="2"/>
  <c r="AE290" i="2"/>
  <c r="AL292" i="2"/>
  <c r="AH292" i="2"/>
  <c r="AK292" i="2"/>
  <c r="AG292" i="2"/>
  <c r="AC292" i="2"/>
  <c r="AI292" i="2"/>
  <c r="AF292" i="2"/>
  <c r="AM292" i="2"/>
  <c r="AE292" i="2"/>
  <c r="AK294" i="2"/>
  <c r="AG294" i="2"/>
  <c r="AI294" i="2"/>
  <c r="AM294" i="2"/>
  <c r="AH294" i="2"/>
  <c r="AC294" i="2"/>
  <c r="AJ294" i="2"/>
  <c r="AF294" i="2"/>
  <c r="AE294" i="2"/>
  <c r="AI296" i="2"/>
  <c r="AI300" i="2"/>
  <c r="AI304" i="2"/>
  <c r="AI308" i="2"/>
  <c r="AL317" i="2"/>
  <c r="AH317" i="2"/>
  <c r="AK317" i="2"/>
  <c r="AG317" i="2"/>
  <c r="AC317" i="2"/>
  <c r="AF317" i="2"/>
  <c r="AM317" i="2"/>
  <c r="AE317" i="2"/>
  <c r="AJ317" i="2"/>
  <c r="AI317" i="2"/>
  <c r="AI324" i="2"/>
  <c r="AJ327" i="2"/>
  <c r="AE146" i="2"/>
  <c r="AI146" i="2"/>
  <c r="AM146" i="2"/>
  <c r="AE147" i="2"/>
  <c r="AI147" i="2"/>
  <c r="AM147" i="2"/>
  <c r="AE148" i="2"/>
  <c r="AI148" i="2"/>
  <c r="AM148" i="2"/>
  <c r="AE149" i="2"/>
  <c r="AI149" i="2"/>
  <c r="AM149" i="2"/>
  <c r="AE150" i="2"/>
  <c r="AI150" i="2"/>
  <c r="AM150" i="2"/>
  <c r="AE151" i="2"/>
  <c r="AI151" i="2"/>
  <c r="AM151" i="2"/>
  <c r="AE152" i="2"/>
  <c r="AI152" i="2"/>
  <c r="AM152" i="2"/>
  <c r="AE153" i="2"/>
  <c r="AI153" i="2"/>
  <c r="AM153" i="2"/>
  <c r="AE154" i="2"/>
  <c r="AI154" i="2"/>
  <c r="AM154" i="2"/>
  <c r="AE155" i="2"/>
  <c r="AI155" i="2"/>
  <c r="AM155" i="2"/>
  <c r="AE156" i="2"/>
  <c r="AI156" i="2"/>
  <c r="AM156" i="2"/>
  <c r="AJ190" i="2"/>
  <c r="AJ194" i="2"/>
  <c r="AJ198" i="2"/>
  <c r="AJ202" i="2"/>
  <c r="AJ206" i="2"/>
  <c r="AJ210" i="2"/>
  <c r="AJ214" i="2"/>
  <c r="AJ218" i="2"/>
  <c r="AJ222" i="2"/>
  <c r="AJ226" i="2"/>
  <c r="AJ230" i="2"/>
  <c r="AJ234" i="2"/>
  <c r="AJ238" i="2"/>
  <c r="AJ242" i="2"/>
  <c r="AF247" i="2"/>
  <c r="AF251" i="2"/>
  <c r="AF255" i="2"/>
  <c r="AF259" i="2"/>
  <c r="AF263" i="2"/>
  <c r="AJ268" i="2"/>
  <c r="AJ270" i="2"/>
  <c r="AJ272" i="2"/>
  <c r="AJ274" i="2"/>
  <c r="AJ276" i="2"/>
  <c r="AJ278" i="2"/>
  <c r="AJ280" i="2"/>
  <c r="AJ282" i="2"/>
  <c r="AJ284" i="2"/>
  <c r="AJ286" i="2"/>
  <c r="AJ288" i="2"/>
  <c r="AJ290" i="2"/>
  <c r="AJ292" i="2"/>
  <c r="AL294" i="2"/>
  <c r="AL325" i="2"/>
  <c r="AH325" i="2"/>
  <c r="AK325" i="2"/>
  <c r="AG325" i="2"/>
  <c r="AC325" i="2"/>
  <c r="AF325" i="2"/>
  <c r="AM325" i="2"/>
  <c r="AE325" i="2"/>
  <c r="AJ325" i="2"/>
  <c r="AI325" i="2"/>
  <c r="AI330" i="2"/>
  <c r="AF146" i="2"/>
  <c r="AF147" i="2"/>
  <c r="AF148" i="2"/>
  <c r="AF149" i="2"/>
  <c r="AF150" i="2"/>
  <c r="AF151" i="2"/>
  <c r="AF152" i="2"/>
  <c r="AF153" i="2"/>
  <c r="AF154" i="2"/>
  <c r="AF155" i="2"/>
  <c r="AF156" i="2"/>
  <c r="AJ157" i="2"/>
  <c r="AJ159" i="2"/>
  <c r="AJ161" i="2"/>
  <c r="AJ163" i="2"/>
  <c r="AJ165" i="2"/>
  <c r="AJ167" i="2"/>
  <c r="AJ169" i="2"/>
  <c r="AJ171" i="2"/>
  <c r="AJ173" i="2"/>
  <c r="AJ175" i="2"/>
  <c r="AJ177" i="2"/>
  <c r="AJ179" i="2"/>
  <c r="AJ181" i="2"/>
  <c r="AJ183" i="2"/>
  <c r="AJ185" i="2"/>
  <c r="AJ187" i="2"/>
  <c r="AJ189" i="2"/>
  <c r="AJ193" i="2"/>
  <c r="AJ197" i="2"/>
  <c r="AJ201" i="2"/>
  <c r="AJ205" i="2"/>
  <c r="AJ209" i="2"/>
  <c r="AJ213" i="2"/>
  <c r="AJ217" i="2"/>
  <c r="AJ221" i="2"/>
  <c r="AJ225" i="2"/>
  <c r="AJ229" i="2"/>
  <c r="AJ233" i="2"/>
  <c r="AJ237" i="2"/>
  <c r="AJ241" i="2"/>
  <c r="AH247" i="2"/>
  <c r="AL249" i="2"/>
  <c r="AH251" i="2"/>
  <c r="AL253" i="2"/>
  <c r="AH255" i="2"/>
  <c r="AL257" i="2"/>
  <c r="AH259" i="2"/>
  <c r="AL261" i="2"/>
  <c r="AI263" i="2"/>
  <c r="AL266" i="2"/>
  <c r="AH266" i="2"/>
  <c r="AK266" i="2"/>
  <c r="AG266" i="2"/>
  <c r="AC266" i="2"/>
  <c r="AI266" i="2"/>
  <c r="AF266" i="2"/>
  <c r="AI289" i="2"/>
  <c r="AI291" i="2"/>
  <c r="AI293" i="2"/>
  <c r="AL297" i="2"/>
  <c r="AL301" i="2"/>
  <c r="AL305" i="2"/>
  <c r="AL309" i="2"/>
  <c r="AL295" i="2"/>
  <c r="AH297" i="2"/>
  <c r="AL299" i="2"/>
  <c r="AH301" i="2"/>
  <c r="AL303" i="2"/>
  <c r="AH305" i="2"/>
  <c r="AL307" i="2"/>
  <c r="AH309" i="2"/>
  <c r="AM311" i="2"/>
  <c r="AI314" i="2"/>
  <c r="AL315" i="2"/>
  <c r="AH315" i="2"/>
  <c r="AK315" i="2"/>
  <c r="AG315" i="2"/>
  <c r="AC315" i="2"/>
  <c r="AF315" i="2"/>
  <c r="AM315" i="2"/>
  <c r="AE315" i="2"/>
  <c r="AI322" i="2"/>
  <c r="AL323" i="2"/>
  <c r="AH323" i="2"/>
  <c r="AK323" i="2"/>
  <c r="AG323" i="2"/>
  <c r="AC323" i="2"/>
  <c r="AF323" i="2"/>
  <c r="AM323" i="2"/>
  <c r="AE323" i="2"/>
  <c r="AL349" i="2"/>
  <c r="AH349" i="2"/>
  <c r="AK349" i="2"/>
  <c r="AF349" i="2"/>
  <c r="AG349" i="2"/>
  <c r="AM349" i="2"/>
  <c r="AE349" i="2"/>
  <c r="AJ349" i="2"/>
  <c r="AC349" i="2"/>
  <c r="AI349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38" i="2"/>
  <c r="AF239" i="2"/>
  <c r="AF240" i="2"/>
  <c r="AF241" i="2"/>
  <c r="AF242" i="2"/>
  <c r="AF243" i="2"/>
  <c r="AF244" i="2"/>
  <c r="AK245" i="2"/>
  <c r="AG245" i="2"/>
  <c r="AF245" i="2"/>
  <c r="AL245" i="2"/>
  <c r="AK248" i="2"/>
  <c r="AG248" i="2"/>
  <c r="AC248" i="2"/>
  <c r="AH248" i="2"/>
  <c r="AM248" i="2"/>
  <c r="AF249" i="2"/>
  <c r="AK252" i="2"/>
  <c r="AG252" i="2"/>
  <c r="AC252" i="2"/>
  <c r="AH252" i="2"/>
  <c r="AM252" i="2"/>
  <c r="AF253" i="2"/>
  <c r="AK256" i="2"/>
  <c r="AG256" i="2"/>
  <c r="AC256" i="2"/>
  <c r="AH256" i="2"/>
  <c r="AM256" i="2"/>
  <c r="AF257" i="2"/>
  <c r="AK260" i="2"/>
  <c r="AG260" i="2"/>
  <c r="AC260" i="2"/>
  <c r="AH260" i="2"/>
  <c r="AM260" i="2"/>
  <c r="AF261" i="2"/>
  <c r="AL265" i="2"/>
  <c r="AH265" i="2"/>
  <c r="AK265" i="2"/>
  <c r="AG265" i="2"/>
  <c r="AC265" i="2"/>
  <c r="AJ265" i="2"/>
  <c r="AL267" i="2"/>
  <c r="AH267" i="2"/>
  <c r="AK267" i="2"/>
  <c r="AG267" i="2"/>
  <c r="AC267" i="2"/>
  <c r="AJ267" i="2"/>
  <c r="AL269" i="2"/>
  <c r="AH269" i="2"/>
  <c r="AK269" i="2"/>
  <c r="AG269" i="2"/>
  <c r="AC269" i="2"/>
  <c r="AJ269" i="2"/>
  <c r="AL271" i="2"/>
  <c r="AH271" i="2"/>
  <c r="AK271" i="2"/>
  <c r="AG271" i="2"/>
  <c r="AC271" i="2"/>
  <c r="AJ271" i="2"/>
  <c r="AL273" i="2"/>
  <c r="AH273" i="2"/>
  <c r="AK273" i="2"/>
  <c r="AG273" i="2"/>
  <c r="AC273" i="2"/>
  <c r="AJ273" i="2"/>
  <c r="AL275" i="2"/>
  <c r="AH275" i="2"/>
  <c r="AK275" i="2"/>
  <c r="AG275" i="2"/>
  <c r="AC275" i="2"/>
  <c r="AJ275" i="2"/>
  <c r="AL277" i="2"/>
  <c r="AH277" i="2"/>
  <c r="AK277" i="2"/>
  <c r="AG277" i="2"/>
  <c r="AC277" i="2"/>
  <c r="AJ277" i="2"/>
  <c r="AL279" i="2"/>
  <c r="AH279" i="2"/>
  <c r="AK279" i="2"/>
  <c r="AG279" i="2"/>
  <c r="AC279" i="2"/>
  <c r="AJ279" i="2"/>
  <c r="AL281" i="2"/>
  <c r="AH281" i="2"/>
  <c r="AK281" i="2"/>
  <c r="AG281" i="2"/>
  <c r="AC281" i="2"/>
  <c r="AJ281" i="2"/>
  <c r="AL283" i="2"/>
  <c r="AH283" i="2"/>
  <c r="AK283" i="2"/>
  <c r="AG283" i="2"/>
  <c r="AC283" i="2"/>
  <c r="AJ283" i="2"/>
  <c r="AL285" i="2"/>
  <c r="AH285" i="2"/>
  <c r="AK285" i="2"/>
  <c r="AG285" i="2"/>
  <c r="AC285" i="2"/>
  <c r="AJ285" i="2"/>
  <c r="AL287" i="2"/>
  <c r="AH287" i="2"/>
  <c r="AK287" i="2"/>
  <c r="AG287" i="2"/>
  <c r="AC287" i="2"/>
  <c r="AJ287" i="2"/>
  <c r="AL289" i="2"/>
  <c r="AH289" i="2"/>
  <c r="AK289" i="2"/>
  <c r="AG289" i="2"/>
  <c r="AC289" i="2"/>
  <c r="AJ289" i="2"/>
  <c r="AL291" i="2"/>
  <c r="AH291" i="2"/>
  <c r="AK291" i="2"/>
  <c r="AG291" i="2"/>
  <c r="AC291" i="2"/>
  <c r="AJ291" i="2"/>
  <c r="AL293" i="2"/>
  <c r="AH293" i="2"/>
  <c r="AK293" i="2"/>
  <c r="AG293" i="2"/>
  <c r="AC293" i="2"/>
  <c r="AJ293" i="2"/>
  <c r="AK296" i="2"/>
  <c r="AG296" i="2"/>
  <c r="AC296" i="2"/>
  <c r="AL296" i="2"/>
  <c r="AF296" i="2"/>
  <c r="AJ296" i="2"/>
  <c r="AE296" i="2"/>
  <c r="AM296" i="2"/>
  <c r="AK300" i="2"/>
  <c r="AG300" i="2"/>
  <c r="AC300" i="2"/>
  <c r="AL300" i="2"/>
  <c r="AF300" i="2"/>
  <c r="AJ300" i="2"/>
  <c r="AE300" i="2"/>
  <c r="AM300" i="2"/>
  <c r="AK304" i="2"/>
  <c r="AG304" i="2"/>
  <c r="AC304" i="2"/>
  <c r="AL304" i="2"/>
  <c r="AF304" i="2"/>
  <c r="AJ304" i="2"/>
  <c r="AE304" i="2"/>
  <c r="AM304" i="2"/>
  <c r="AK308" i="2"/>
  <c r="AG308" i="2"/>
  <c r="AC308" i="2"/>
  <c r="AL308" i="2"/>
  <c r="AF308" i="2"/>
  <c r="AJ308" i="2"/>
  <c r="AE308" i="2"/>
  <c r="AM308" i="2"/>
  <c r="AI312" i="2"/>
  <c r="AL313" i="2"/>
  <c r="AH313" i="2"/>
  <c r="AK313" i="2"/>
  <c r="AG313" i="2"/>
  <c r="AC313" i="2"/>
  <c r="AF313" i="2"/>
  <c r="AM313" i="2"/>
  <c r="AE313" i="2"/>
  <c r="AI320" i="2"/>
  <c r="AL321" i="2"/>
  <c r="AH321" i="2"/>
  <c r="AK321" i="2"/>
  <c r="AG321" i="2"/>
  <c r="AC321" i="2"/>
  <c r="AF321" i="2"/>
  <c r="AM321" i="2"/>
  <c r="AE321" i="2"/>
  <c r="AI328" i="2"/>
  <c r="AM331" i="2"/>
  <c r="AI331" i="2"/>
  <c r="AE331" i="2"/>
  <c r="AK331" i="2"/>
  <c r="AF331" i="2"/>
  <c r="AJ331" i="2"/>
  <c r="AH331" i="2"/>
  <c r="AG331" i="2"/>
  <c r="AC331" i="2"/>
  <c r="AK249" i="2"/>
  <c r="AG249" i="2"/>
  <c r="AC249" i="2"/>
  <c r="AH249" i="2"/>
  <c r="AM249" i="2"/>
  <c r="AK253" i="2"/>
  <c r="AG253" i="2"/>
  <c r="AC253" i="2"/>
  <c r="AH253" i="2"/>
  <c r="AM253" i="2"/>
  <c r="AK257" i="2"/>
  <c r="AG257" i="2"/>
  <c r="AC257" i="2"/>
  <c r="AH257" i="2"/>
  <c r="AM257" i="2"/>
  <c r="AK261" i="2"/>
  <c r="AG261" i="2"/>
  <c r="AC261" i="2"/>
  <c r="AH261" i="2"/>
  <c r="AM261" i="2"/>
  <c r="AK297" i="2"/>
  <c r="AG297" i="2"/>
  <c r="AC297" i="2"/>
  <c r="AJ297" i="2"/>
  <c r="AE297" i="2"/>
  <c r="AI297" i="2"/>
  <c r="AM297" i="2"/>
  <c r="AK301" i="2"/>
  <c r="AG301" i="2"/>
  <c r="AC301" i="2"/>
  <c r="AJ301" i="2"/>
  <c r="AE301" i="2"/>
  <c r="AI301" i="2"/>
  <c r="AM301" i="2"/>
  <c r="AK305" i="2"/>
  <c r="AG305" i="2"/>
  <c r="AC305" i="2"/>
  <c r="AJ305" i="2"/>
  <c r="AE305" i="2"/>
  <c r="AI305" i="2"/>
  <c r="AM305" i="2"/>
  <c r="AK309" i="2"/>
  <c r="AG309" i="2"/>
  <c r="AC309" i="2"/>
  <c r="AJ309" i="2"/>
  <c r="AE309" i="2"/>
  <c r="AI309" i="2"/>
  <c r="AM309" i="2"/>
  <c r="AI318" i="2"/>
  <c r="AL319" i="2"/>
  <c r="AH319" i="2"/>
  <c r="AK319" i="2"/>
  <c r="AG319" i="2"/>
  <c r="AC319" i="2"/>
  <c r="AF319" i="2"/>
  <c r="AM319" i="2"/>
  <c r="AE319" i="2"/>
  <c r="AI326" i="2"/>
  <c r="AL327" i="2"/>
  <c r="AH327" i="2"/>
  <c r="AK327" i="2"/>
  <c r="AG327" i="2"/>
  <c r="AC327" i="2"/>
  <c r="AF327" i="2"/>
  <c r="AM327" i="2"/>
  <c r="AE327" i="2"/>
  <c r="AK338" i="2"/>
  <c r="AL341" i="2"/>
  <c r="AH341" i="2"/>
  <c r="AK341" i="2"/>
  <c r="AF341" i="2"/>
  <c r="AG341" i="2"/>
  <c r="AM341" i="2"/>
  <c r="AE341" i="2"/>
  <c r="AJ341" i="2"/>
  <c r="AC341" i="2"/>
  <c r="AI341" i="2"/>
  <c r="AL357" i="2"/>
  <c r="AH357" i="2"/>
  <c r="AK357" i="2"/>
  <c r="AF357" i="2"/>
  <c r="AG357" i="2"/>
  <c r="AM357" i="2"/>
  <c r="AE357" i="2"/>
  <c r="AJ357" i="2"/>
  <c r="AC357" i="2"/>
  <c r="AI357" i="2"/>
  <c r="AL329" i="2"/>
  <c r="AH329" i="2"/>
  <c r="AK329" i="2"/>
  <c r="AG329" i="2"/>
  <c r="AC329" i="2"/>
  <c r="AJ329" i="2"/>
  <c r="AM332" i="2"/>
  <c r="AI332" i="2"/>
  <c r="AE332" i="2"/>
  <c r="AJ332" i="2"/>
  <c r="AH332" i="2"/>
  <c r="AC332" i="2"/>
  <c r="AL332" i="2"/>
  <c r="AF295" i="2"/>
  <c r="AK298" i="2"/>
  <c r="AG298" i="2"/>
  <c r="AC298" i="2"/>
  <c r="AH298" i="2"/>
  <c r="AM298" i="2"/>
  <c r="AF299" i="2"/>
  <c r="AK302" i="2"/>
  <c r="AG302" i="2"/>
  <c r="AC302" i="2"/>
  <c r="AH302" i="2"/>
  <c r="AM302" i="2"/>
  <c r="AF303" i="2"/>
  <c r="AK306" i="2"/>
  <c r="AG306" i="2"/>
  <c r="AC306" i="2"/>
  <c r="AH306" i="2"/>
  <c r="AM306" i="2"/>
  <c r="AF307" i="2"/>
  <c r="AK310" i="2"/>
  <c r="AG310" i="2"/>
  <c r="AC310" i="2"/>
  <c r="AH310" i="2"/>
  <c r="AM310" i="2"/>
  <c r="AF311" i="2"/>
  <c r="AE329" i="2"/>
  <c r="AM329" i="2"/>
  <c r="AF332" i="2"/>
  <c r="AG342" i="2"/>
  <c r="AL345" i="2"/>
  <c r="AH345" i="2"/>
  <c r="AK345" i="2"/>
  <c r="AF345" i="2"/>
  <c r="AG345" i="2"/>
  <c r="AM345" i="2"/>
  <c r="AE345" i="2"/>
  <c r="AJ345" i="2"/>
  <c r="AC345" i="2"/>
  <c r="AL353" i="2"/>
  <c r="AH353" i="2"/>
  <c r="AK353" i="2"/>
  <c r="AF353" i="2"/>
  <c r="AG353" i="2"/>
  <c r="AM353" i="2"/>
  <c r="AE353" i="2"/>
  <c r="AJ353" i="2"/>
  <c r="AC353" i="2"/>
  <c r="AL361" i="2"/>
  <c r="AH361" i="2"/>
  <c r="AK361" i="2"/>
  <c r="AF361" i="2"/>
  <c r="AG361" i="2"/>
  <c r="AM361" i="2"/>
  <c r="AE361" i="2"/>
  <c r="AJ361" i="2"/>
  <c r="AC361" i="2"/>
  <c r="AK366" i="2"/>
  <c r="AK295" i="2"/>
  <c r="AG295" i="2"/>
  <c r="AC295" i="2"/>
  <c r="AH295" i="2"/>
  <c r="AM295" i="2"/>
  <c r="AK299" i="2"/>
  <c r="AG299" i="2"/>
  <c r="AC299" i="2"/>
  <c r="AH299" i="2"/>
  <c r="AM299" i="2"/>
  <c r="AK303" i="2"/>
  <c r="AG303" i="2"/>
  <c r="AC303" i="2"/>
  <c r="AH303" i="2"/>
  <c r="AM303" i="2"/>
  <c r="AK307" i="2"/>
  <c r="AG307" i="2"/>
  <c r="AC307" i="2"/>
  <c r="AH307" i="2"/>
  <c r="AM307" i="2"/>
  <c r="AL311" i="2"/>
  <c r="AK311" i="2"/>
  <c r="AG311" i="2"/>
  <c r="AC311" i="2"/>
  <c r="AH311" i="2"/>
  <c r="AL312" i="2"/>
  <c r="AH312" i="2"/>
  <c r="AK312" i="2"/>
  <c r="AG312" i="2"/>
  <c r="AC312" i="2"/>
  <c r="AJ312" i="2"/>
  <c r="AL314" i="2"/>
  <c r="AH314" i="2"/>
  <c r="AK314" i="2"/>
  <c r="AG314" i="2"/>
  <c r="AC314" i="2"/>
  <c r="AJ314" i="2"/>
  <c r="AL316" i="2"/>
  <c r="AH316" i="2"/>
  <c r="AK316" i="2"/>
  <c r="AG316" i="2"/>
  <c r="AC316" i="2"/>
  <c r="AJ316" i="2"/>
  <c r="AL318" i="2"/>
  <c r="AH318" i="2"/>
  <c r="AK318" i="2"/>
  <c r="AG318" i="2"/>
  <c r="AC318" i="2"/>
  <c r="AJ318" i="2"/>
  <c r="AL320" i="2"/>
  <c r="AH320" i="2"/>
  <c r="AK320" i="2"/>
  <c r="AG320" i="2"/>
  <c r="AC320" i="2"/>
  <c r="AJ320" i="2"/>
  <c r="AL322" i="2"/>
  <c r="AH322" i="2"/>
  <c r="AK322" i="2"/>
  <c r="AG322" i="2"/>
  <c r="AC322" i="2"/>
  <c r="AJ322" i="2"/>
  <c r="AL324" i="2"/>
  <c r="AH324" i="2"/>
  <c r="AK324" i="2"/>
  <c r="AG324" i="2"/>
  <c r="AC324" i="2"/>
  <c r="AJ324" i="2"/>
  <c r="AL326" i="2"/>
  <c r="AH326" i="2"/>
  <c r="AK326" i="2"/>
  <c r="AG326" i="2"/>
  <c r="AC326" i="2"/>
  <c r="AJ326" i="2"/>
  <c r="AL328" i="2"/>
  <c r="AH328" i="2"/>
  <c r="AK328" i="2"/>
  <c r="AG328" i="2"/>
  <c r="AC328" i="2"/>
  <c r="AJ328" i="2"/>
  <c r="AF329" i="2"/>
  <c r="AM330" i="2"/>
  <c r="AL330" i="2"/>
  <c r="AH330" i="2"/>
  <c r="AK330" i="2"/>
  <c r="AG330" i="2"/>
  <c r="AC330" i="2"/>
  <c r="AJ330" i="2"/>
  <c r="AG332" i="2"/>
  <c r="AK334" i="2"/>
  <c r="AM335" i="2"/>
  <c r="AI335" i="2"/>
  <c r="AE335" i="2"/>
  <c r="AK335" i="2"/>
  <c r="AF335" i="2"/>
  <c r="AJ335" i="2"/>
  <c r="AH335" i="2"/>
  <c r="AC335" i="2"/>
  <c r="AL339" i="2"/>
  <c r="AI339" i="2"/>
  <c r="AE339" i="2"/>
  <c r="AK339" i="2"/>
  <c r="AF339" i="2"/>
  <c r="AJ339" i="2"/>
  <c r="AH339" i="2"/>
  <c r="AC339" i="2"/>
  <c r="AI345" i="2"/>
  <c r="AI353" i="2"/>
  <c r="AI361" i="2"/>
  <c r="AM336" i="2"/>
  <c r="AI336" i="2"/>
  <c r="AE336" i="2"/>
  <c r="AG336" i="2"/>
  <c r="AL336" i="2"/>
  <c r="AM333" i="2"/>
  <c r="AI333" i="2"/>
  <c r="AE333" i="2"/>
  <c r="AG333" i="2"/>
  <c r="AL333" i="2"/>
  <c r="AF334" i="2"/>
  <c r="AC336" i="2"/>
  <c r="AH336" i="2"/>
  <c r="AM337" i="2"/>
  <c r="AI337" i="2"/>
  <c r="AE337" i="2"/>
  <c r="AG337" i="2"/>
  <c r="AL337" i="2"/>
  <c r="AF338" i="2"/>
  <c r="AL343" i="2"/>
  <c r="AH343" i="2"/>
  <c r="AI343" i="2"/>
  <c r="AC343" i="2"/>
  <c r="AJ343" i="2"/>
  <c r="AL347" i="2"/>
  <c r="AH347" i="2"/>
  <c r="AI347" i="2"/>
  <c r="AC347" i="2"/>
  <c r="AJ347" i="2"/>
  <c r="AL351" i="2"/>
  <c r="AH351" i="2"/>
  <c r="AI351" i="2"/>
  <c r="AC351" i="2"/>
  <c r="AJ351" i="2"/>
  <c r="AL355" i="2"/>
  <c r="AH355" i="2"/>
  <c r="AI355" i="2"/>
  <c r="AC355" i="2"/>
  <c r="AJ355" i="2"/>
  <c r="AL359" i="2"/>
  <c r="AH359" i="2"/>
  <c r="AI359" i="2"/>
  <c r="AC359" i="2"/>
  <c r="AJ359" i="2"/>
  <c r="AL363" i="2"/>
  <c r="AH363" i="2"/>
  <c r="AI363" i="2"/>
  <c r="AC363" i="2"/>
  <c r="AJ363" i="2"/>
  <c r="AM334" i="2"/>
  <c r="AI334" i="2"/>
  <c r="AE334" i="2"/>
  <c r="AG334" i="2"/>
  <c r="AL334" i="2"/>
  <c r="AJ336" i="2"/>
  <c r="AM338" i="2"/>
  <c r="AI338" i="2"/>
  <c r="AE338" i="2"/>
  <c r="AG338" i="2"/>
  <c r="AL338" i="2"/>
  <c r="AL342" i="2"/>
  <c r="AH342" i="2"/>
  <c r="AJ342" i="2"/>
  <c r="AE342" i="2"/>
  <c r="AI342" i="2"/>
  <c r="AL346" i="2"/>
  <c r="AH346" i="2"/>
  <c r="AJ346" i="2"/>
  <c r="AE346" i="2"/>
  <c r="AI346" i="2"/>
  <c r="AE347" i="2"/>
  <c r="AK347" i="2"/>
  <c r="AL350" i="2"/>
  <c r="AH350" i="2"/>
  <c r="AJ350" i="2"/>
  <c r="AE350" i="2"/>
  <c r="AI350" i="2"/>
  <c r="AE351" i="2"/>
  <c r="AK351" i="2"/>
  <c r="AL354" i="2"/>
  <c r="AH354" i="2"/>
  <c r="AJ354" i="2"/>
  <c r="AE354" i="2"/>
  <c r="AI354" i="2"/>
  <c r="AE355" i="2"/>
  <c r="AK355" i="2"/>
  <c r="AL358" i="2"/>
  <c r="AH358" i="2"/>
  <c r="AJ358" i="2"/>
  <c r="AE358" i="2"/>
  <c r="AI358" i="2"/>
  <c r="AE359" i="2"/>
  <c r="AK359" i="2"/>
  <c r="AL362" i="2"/>
  <c r="AH362" i="2"/>
  <c r="AJ362" i="2"/>
  <c r="AE362" i="2"/>
  <c r="AI362" i="2"/>
  <c r="AE363" i="2"/>
  <c r="AK363" i="2"/>
  <c r="AF367" i="2"/>
  <c r="AL365" i="2"/>
  <c r="AH365" i="2"/>
  <c r="AG365" i="2"/>
  <c r="AM365" i="2"/>
  <c r="AF366" i="2"/>
  <c r="AE367" i="2"/>
  <c r="AL366" i="2"/>
  <c r="AH366" i="2"/>
  <c r="AG366" i="2"/>
  <c r="AM366" i="2"/>
  <c r="AM367" i="2"/>
  <c r="AL367" i="2"/>
  <c r="AH367" i="2"/>
  <c r="AK367" i="2"/>
  <c r="AJ367" i="2"/>
  <c r="AG367" i="2"/>
  <c r="AL340" i="2"/>
  <c r="AH340" i="2"/>
  <c r="AG340" i="2"/>
  <c r="AM340" i="2"/>
  <c r="AL344" i="2"/>
  <c r="AH344" i="2"/>
  <c r="AG344" i="2"/>
  <c r="AM344" i="2"/>
  <c r="AL348" i="2"/>
  <c r="AH348" i="2"/>
  <c r="AG348" i="2"/>
  <c r="AM348" i="2"/>
  <c r="AL352" i="2"/>
  <c r="AH352" i="2"/>
  <c r="AG352" i="2"/>
  <c r="AM352" i="2"/>
  <c r="AL356" i="2"/>
  <c r="AH356" i="2"/>
  <c r="AG356" i="2"/>
  <c r="AM356" i="2"/>
  <c r="AL360" i="2"/>
  <c r="AH360" i="2"/>
  <c r="AG360" i="2"/>
  <c r="AM360" i="2"/>
  <c r="AL364" i="2"/>
  <c r="AH364" i="2"/>
  <c r="AG364" i="2"/>
  <c r="AM364" i="2"/>
  <c r="AF365" i="2"/>
  <c r="AK365" i="2"/>
  <c r="AE366" i="2"/>
  <c r="AJ366" i="2"/>
  <c r="AC367" i="2"/>
  <c r="AI367" i="2"/>
  <c r="AD362" i="2" l="1"/>
  <c r="AD361" i="2"/>
  <c r="AD355" i="2"/>
  <c r="AD346" i="2"/>
  <c r="AD341" i="2"/>
  <c r="AD329" i="2"/>
  <c r="AD327" i="2"/>
  <c r="AD325" i="2"/>
  <c r="AD321" i="2"/>
  <c r="AD309" i="2"/>
  <c r="AD290" i="2"/>
  <c r="AD282" i="2"/>
  <c r="AD274" i="2"/>
  <c r="AD254" i="2"/>
  <c r="AD251" i="2"/>
  <c r="AD234" i="2"/>
  <c r="AD233" i="2"/>
  <c r="AD230" i="2"/>
  <c r="AD218" i="2"/>
  <c r="AD217" i="2"/>
  <c r="AD202" i="2"/>
  <c r="AD201" i="2"/>
  <c r="AD178" i="2"/>
  <c r="AD173" i="2"/>
  <c r="AD165" i="2"/>
  <c r="AD157" i="2"/>
  <c r="AD153" i="2"/>
  <c r="AD149" i="2"/>
  <c r="AD143" i="2"/>
  <c r="AD141" i="2"/>
  <c r="AD135" i="2"/>
  <c r="AD127" i="2"/>
  <c r="AD125" i="2"/>
  <c r="AD119" i="2"/>
  <c r="AD115" i="2"/>
  <c r="AD107" i="2"/>
  <c r="AD104" i="2"/>
  <c r="AD99" i="2"/>
  <c r="AD96" i="2"/>
  <c r="AD84" i="2"/>
  <c r="AD176" i="2"/>
  <c r="AD244" i="2"/>
  <c r="AD302" i="2"/>
  <c r="AD269" i="2"/>
  <c r="AD277" i="2"/>
  <c r="AD285" i="2"/>
  <c r="AD293" i="2"/>
  <c r="AD307" i="2"/>
  <c r="AD320" i="2"/>
  <c r="AD206" i="2"/>
  <c r="AD366" i="2"/>
  <c r="AD160" i="2"/>
  <c r="AD199" i="2"/>
  <c r="AD347" i="2"/>
  <c r="AD336" i="2"/>
  <c r="AD357" i="2"/>
  <c r="AD151" i="2"/>
  <c r="AD294" i="2"/>
  <c r="AD270" i="2"/>
  <c r="AD131" i="2"/>
  <c r="AD246" i="2"/>
  <c r="AD142" i="2"/>
  <c r="AD138" i="2"/>
  <c r="AD134" i="2"/>
  <c r="AD130" i="2"/>
  <c r="AD126" i="2"/>
  <c r="AD122" i="2"/>
  <c r="AD133" i="2"/>
  <c r="AD198" i="2"/>
  <c r="AD168" i="2"/>
  <c r="AD188" i="2"/>
  <c r="AD181" i="2"/>
  <c r="AD196" i="2"/>
  <c r="AD212" i="2"/>
  <c r="AD228" i="2"/>
  <c r="AD367" i="2"/>
  <c r="AD363" i="2"/>
  <c r="AD354" i="2"/>
  <c r="AD345" i="2"/>
  <c r="AD332" i="2"/>
  <c r="AD301" i="2"/>
  <c r="AD323" i="2"/>
  <c r="AD155" i="2"/>
  <c r="AD147" i="2"/>
  <c r="AD317" i="2"/>
  <c r="AD286" i="2"/>
  <c r="AD278" i="2"/>
  <c r="AD259" i="2"/>
  <c r="AD139" i="2"/>
  <c r="AD123" i="2"/>
  <c r="AD262" i="2"/>
  <c r="AD358" i="2"/>
  <c r="AD331" i="2"/>
  <c r="AD215" i="2"/>
  <c r="AD231" i="2"/>
  <c r="AD310" i="2"/>
  <c r="AD265" i="2"/>
  <c r="AD273" i="2"/>
  <c r="AD281" i="2"/>
  <c r="AD289" i="2"/>
  <c r="AD299" i="2"/>
  <c r="AD113" i="2"/>
  <c r="AD112" i="2"/>
  <c r="AD90" i="2"/>
  <c r="AD79" i="2"/>
  <c r="AD74" i="2"/>
  <c r="AD70" i="2"/>
  <c r="AD359" i="2"/>
  <c r="AD350" i="2"/>
  <c r="AD342" i="2"/>
  <c r="AD334" i="2"/>
  <c r="AD337" i="2"/>
  <c r="AD333" i="2"/>
  <c r="AD339" i="2"/>
  <c r="AD335" i="2"/>
  <c r="AD353" i="2"/>
  <c r="AD319" i="2"/>
  <c r="AD297" i="2"/>
  <c r="AD313" i="2"/>
  <c r="AD154" i="2"/>
  <c r="AD150" i="2"/>
  <c r="AD146" i="2"/>
  <c r="AD288" i="2"/>
  <c r="AD280" i="2"/>
  <c r="AD272" i="2"/>
  <c r="AD263" i="2"/>
  <c r="AD255" i="2"/>
  <c r="AD250" i="2"/>
  <c r="AD264" i="2"/>
  <c r="AD137" i="2"/>
  <c r="AD121" i="2"/>
  <c r="AD266" i="2"/>
  <c r="AD184" i="2"/>
  <c r="AD140" i="2"/>
  <c r="AD132" i="2"/>
  <c r="AD124" i="2"/>
  <c r="AD116" i="2"/>
  <c r="AD109" i="2"/>
  <c r="AD101" i="2"/>
  <c r="AD93" i="2"/>
  <c r="AD186" i="2"/>
  <c r="AD189" i="2"/>
  <c r="AD205" i="2"/>
  <c r="AD221" i="2"/>
  <c r="AD237" i="2"/>
  <c r="AD249" i="2"/>
  <c r="AD257" i="2"/>
  <c r="AD159" i="2"/>
  <c r="AD167" i="2"/>
  <c r="AD175" i="2"/>
  <c r="AD183" i="2"/>
  <c r="AD200" i="2"/>
  <c r="AD216" i="2"/>
  <c r="AD232" i="2"/>
  <c r="AD203" i="2"/>
  <c r="AD219" i="2"/>
  <c r="AD235" i="2"/>
  <c r="AD252" i="2"/>
  <c r="AD260" i="2"/>
  <c r="AD330" i="2"/>
  <c r="AD314" i="2"/>
  <c r="AD322" i="2"/>
  <c r="AD328" i="2"/>
  <c r="AD340" i="2"/>
  <c r="AD344" i="2"/>
  <c r="AD352" i="2"/>
  <c r="AD360" i="2"/>
  <c r="AD91" i="2"/>
  <c r="AD222" i="2"/>
  <c r="AD170" i="2"/>
  <c r="AD114" i="2"/>
  <c r="AD106" i="2"/>
  <c r="AD98" i="2"/>
  <c r="AD78" i="2"/>
  <c r="AD82" i="2"/>
  <c r="AD85" i="2"/>
  <c r="AD73" i="2"/>
  <c r="AD69" i="2"/>
  <c r="AD65" i="2"/>
  <c r="AD61" i="2"/>
  <c r="AD57" i="2"/>
  <c r="AD53" i="2"/>
  <c r="AD49" i="2"/>
  <c r="AD45" i="2"/>
  <c r="AD41" i="2"/>
  <c r="AD37" i="2"/>
  <c r="AD33" i="2"/>
  <c r="AD29" i="2"/>
  <c r="AD25" i="2"/>
  <c r="AD21" i="2"/>
  <c r="AD17" i="2"/>
  <c r="AD13" i="2"/>
  <c r="AD111" i="2"/>
  <c r="AD103" i="2"/>
  <c r="AD95" i="2"/>
  <c r="AD88" i="2"/>
  <c r="AD326" i="2"/>
  <c r="AD158" i="2"/>
  <c r="AD166" i="2"/>
  <c r="AD174" i="2"/>
  <c r="AD194" i="2"/>
  <c r="AD210" i="2"/>
  <c r="AD226" i="2"/>
  <c r="AD242" i="2"/>
  <c r="AD164" i="2"/>
  <c r="AD172" i="2"/>
  <c r="AD193" i="2"/>
  <c r="AD209" i="2"/>
  <c r="AD225" i="2"/>
  <c r="AD241" i="2"/>
  <c r="AD161" i="2"/>
  <c r="AD169" i="2"/>
  <c r="AD177" i="2"/>
  <c r="AD185" i="2"/>
  <c r="AD204" i="2"/>
  <c r="AD220" i="2"/>
  <c r="AD236" i="2"/>
  <c r="AD191" i="2"/>
  <c r="AD207" i="2"/>
  <c r="AD223" i="2"/>
  <c r="AD239" i="2"/>
  <c r="AD298" i="2"/>
  <c r="AD306" i="2"/>
  <c r="AD324" i="2"/>
  <c r="AD267" i="2"/>
  <c r="AD271" i="2"/>
  <c r="AD275" i="2"/>
  <c r="AD279" i="2"/>
  <c r="AD283" i="2"/>
  <c r="AD287" i="2"/>
  <c r="AD291" i="2"/>
  <c r="AD295" i="2"/>
  <c r="AD303" i="2"/>
  <c r="AD311" i="2"/>
  <c r="AD365" i="2"/>
  <c r="AD117" i="2"/>
  <c r="AD87" i="2"/>
  <c r="AD238" i="2"/>
  <c r="AD108" i="2"/>
  <c r="AD100" i="2"/>
  <c r="AD92" i="2"/>
  <c r="AD86" i="2"/>
  <c r="AD77" i="2"/>
  <c r="AD81" i="2"/>
  <c r="AD162" i="2"/>
  <c r="AD76" i="2"/>
  <c r="AD72" i="2"/>
  <c r="AD68" i="2"/>
  <c r="AD64" i="2"/>
  <c r="AD60" i="2"/>
  <c r="AD56" i="2"/>
  <c r="AD52" i="2"/>
  <c r="AD48" i="2"/>
  <c r="AD44" i="2"/>
  <c r="AD40" i="2"/>
  <c r="AD36" i="2"/>
  <c r="AD32" i="2"/>
  <c r="AD28" i="2"/>
  <c r="AD24" i="2"/>
  <c r="AD20" i="2"/>
  <c r="AD16" i="2"/>
  <c r="AD12" i="2"/>
  <c r="AD351" i="2"/>
  <c r="AD338" i="2"/>
  <c r="AD305" i="2"/>
  <c r="AD308" i="2"/>
  <c r="AD304" i="2"/>
  <c r="AD300" i="2"/>
  <c r="AD296" i="2"/>
  <c r="AD349" i="2"/>
  <c r="AD315" i="2"/>
  <c r="AD156" i="2"/>
  <c r="AD152" i="2"/>
  <c r="AD148" i="2"/>
  <c r="AD292" i="2"/>
  <c r="AD284" i="2"/>
  <c r="AD276" i="2"/>
  <c r="AD268" i="2"/>
  <c r="AD247" i="2"/>
  <c r="AD258" i="2"/>
  <c r="AD145" i="2"/>
  <c r="AD129" i="2"/>
  <c r="AD214" i="2"/>
  <c r="AD144" i="2"/>
  <c r="AD136" i="2"/>
  <c r="AD128" i="2"/>
  <c r="AD120" i="2"/>
  <c r="AD105" i="2"/>
  <c r="AD97" i="2"/>
  <c r="AD182" i="2"/>
  <c r="AD180" i="2"/>
  <c r="AD197" i="2"/>
  <c r="AD213" i="2"/>
  <c r="AD229" i="2"/>
  <c r="AD245" i="2"/>
  <c r="AD253" i="2"/>
  <c r="AD261" i="2"/>
  <c r="AD163" i="2"/>
  <c r="AD171" i="2"/>
  <c r="AD179" i="2"/>
  <c r="AD187" i="2"/>
  <c r="AD192" i="2"/>
  <c r="AD208" i="2"/>
  <c r="AD224" i="2"/>
  <c r="AD240" i="2"/>
  <c r="AD195" i="2"/>
  <c r="AD211" i="2"/>
  <c r="AD227" i="2"/>
  <c r="AD243" i="2"/>
  <c r="AD248" i="2"/>
  <c r="AD256" i="2"/>
  <c r="AD318" i="2"/>
  <c r="AD316" i="2"/>
  <c r="AD312" i="2"/>
  <c r="AD343" i="2"/>
  <c r="AD348" i="2"/>
  <c r="AD356" i="2"/>
  <c r="AD364" i="2"/>
  <c r="AD83" i="2"/>
  <c r="AD190" i="2"/>
  <c r="AD118" i="2"/>
  <c r="AD110" i="2"/>
  <c r="AD102" i="2"/>
  <c r="AD94" i="2"/>
  <c r="AD80" i="2"/>
  <c r="AD89" i="2"/>
  <c r="AD75" i="2"/>
  <c r="AD71" i="2"/>
  <c r="AD67" i="2"/>
  <c r="AD63" i="2"/>
  <c r="AD59" i="2"/>
  <c r="AD55" i="2"/>
  <c r="AD51" i="2"/>
  <c r="AD47" i="2"/>
  <c r="AD43" i="2"/>
  <c r="AD39" i="2"/>
  <c r="AD35" i="2"/>
  <c r="AD31" i="2"/>
  <c r="AD27" i="2"/>
  <c r="AD23" i="2"/>
  <c r="AD19" i="2"/>
  <c r="AD15" i="2"/>
  <c r="AD11" i="2"/>
  <c r="AD66" i="2"/>
  <c r="AD62" i="2"/>
  <c r="AD58" i="2"/>
  <c r="AD54" i="2"/>
  <c r="AD50" i="2"/>
  <c r="AD46" i="2"/>
  <c r="AD42" i="2"/>
  <c r="AD38" i="2"/>
  <c r="AD34" i="2"/>
  <c r="AD30" i="2"/>
  <c r="AD26" i="2"/>
  <c r="AD22" i="2"/>
  <c r="AD18" i="2"/>
  <c r="AD14" i="2"/>
  <c r="AD10" i="2"/>
</calcChain>
</file>

<file path=xl/sharedStrings.xml><?xml version="1.0" encoding="utf-8"?>
<sst xmlns="http://schemas.openxmlformats.org/spreadsheetml/2006/main" count="6718" uniqueCount="1191">
  <si>
    <t>VLOOKUP
検索用列</t>
  </si>
  <si>
    <t>追加順番号</t>
  </si>
  <si>
    <t>要求元階層</t>
  </si>
  <si>
    <t>要求元WP</t>
  </si>
  <si>
    <t>要求先階層</t>
  </si>
  <si>
    <t>要求先WP</t>
  </si>
  <si>
    <t>大項目</t>
  </si>
  <si>
    <t>小項目</t>
  </si>
  <si>
    <t>シーン</t>
  </si>
  <si>
    <t>単位</t>
  </si>
  <si>
    <t>要求中央値</t>
  </si>
  <si>
    <t>要求上限値</t>
  </si>
  <si>
    <t>要求下限値</t>
  </si>
  <si>
    <t>要求値(ファイル)</t>
  </si>
  <si>
    <t>設計値</t>
  </si>
  <si>
    <t>設計値(ファイル)</t>
  </si>
  <si>
    <t>評価値</t>
  </si>
  <si>
    <t>評価値(ファイル)</t>
  </si>
  <si>
    <t>備考</t>
  </si>
  <si>
    <t>基本情報</t>
  </si>
  <si>
    <t>プロジェクト番号</t>
  </si>
  <si>
    <t>ArasURL</t>
  </si>
  <si>
    <t>http://internal-awcp0018-alb00105-616219119.ap-northeast-1.elb.amazonaws.com/NPM_Innovator</t>
  </si>
  <si>
    <t>(エクセル利用者の)階層</t>
  </si>
  <si>
    <t>データベース名</t>
  </si>
  <si>
    <t>NPM_Innovator</t>
  </si>
  <si>
    <t>(エクセル利用者の)WP</t>
  </si>
  <si>
    <t>ログインID</t>
  </si>
  <si>
    <t>ロット</t>
  </si>
  <si>
    <t>PT構想審査</t>
  </si>
  <si>
    <t>ログインパスワード</t>
  </si>
  <si>
    <t>担当のタスク番号</t>
  </si>
  <si>
    <t>↓複数の場合は「,」で区切る</t>
  </si>
  <si>
    <t>操作</t>
  </si>
  <si>
    <t>ArasID</t>
  </si>
  <si>
    <t>Aras パラメータ値ID</t>
  </si>
  <si>
    <t>ステータス</t>
  </si>
  <si>
    <t>タイプ</t>
  </si>
  <si>
    <t>基となった上位領域パラメータID</t>
  </si>
  <si>
    <t>前提パラメータID</t>
  </si>
  <si>
    <t>代表値前パラメータID</t>
  </si>
  <si>
    <t>VLOOKUP検索用</t>
  </si>
  <si>
    <t>検索ヒット確認用</t>
  </si>
  <si>
    <t>更新あり</t>
  </si>
  <si>
    <t>前提記入中</t>
  </si>
  <si>
    <t>前提</t>
  </si>
  <si>
    <t>Vehicle Weight</t>
  </si>
  <si>
    <t>Min.C.W.</t>
  </si>
  <si>
    <t>－</t>
  </si>
  <si>
    <t>kg</t>
  </si>
  <si>
    <t>Max.C.W.</t>
  </si>
  <si>
    <t xml:space="preserve">スペアタイヤ&amp;工具 </t>
  </si>
  <si>
    <t>EPA届出重量</t>
  </si>
  <si>
    <t>no App</t>
  </si>
  <si>
    <t>Vehicle Severe Weight</t>
  </si>
  <si>
    <t>PTW or GVWR</t>
  </si>
  <si>
    <t>GAWR FR</t>
  </si>
  <si>
    <t>n</t>
  </si>
  <si>
    <t>GAWR RR</t>
  </si>
  <si>
    <t>Towing</t>
  </si>
  <si>
    <t>空力</t>
  </si>
  <si>
    <t xml:space="preserve">Cd </t>
  </si>
  <si>
    <t>A</t>
  </si>
  <si>
    <t>m²</t>
  </si>
  <si>
    <t>ΔCd (AGS閉→全開)</t>
  </si>
  <si>
    <t>Grill shutter車速閾値 高速側 (閉→開)/(開→閉)</t>
  </si>
  <si>
    <t>kph</t>
  </si>
  <si>
    <t>Grill shutter車速閾値 低速側 (閉→開)/(開→閉)</t>
  </si>
  <si>
    <t>タイヤ</t>
  </si>
  <si>
    <t>FRサイズ</t>
  </si>
  <si>
    <t>165/55R15</t>
  </si>
  <si>
    <t>FR動半径</t>
  </si>
  <si>
    <t>m</t>
  </si>
  <si>
    <t>FR RRC (ISO 28560 80kmh,210kPa)</t>
  </si>
  <si>
    <t>FR RRC (車両状態)</t>
  </si>
  <si>
    <t>FR RRC (車両状態)空気圧</t>
  </si>
  <si>
    <t>kPa</t>
  </si>
  <si>
    <t xml:space="preserve">FR イナーシャ(1本) </t>
  </si>
  <si>
    <t>kgm²</t>
  </si>
  <si>
    <t>RRサイズ</t>
  </si>
  <si>
    <t>RR動半径</t>
  </si>
  <si>
    <t>RR RRC (ISO 28560 80kmh,210kPa)</t>
  </si>
  <si>
    <t>RR RRC (車両状態)</t>
  </si>
  <si>
    <t>RR RRC (車両状態)空気圧</t>
  </si>
  <si>
    <t xml:space="preserve">RR イナーシャ(1本) </t>
  </si>
  <si>
    <t>ホイール</t>
  </si>
  <si>
    <t>仕様</t>
  </si>
  <si>
    <t>イナーシャ(1本)</t>
  </si>
  <si>
    <t>HUB</t>
  </si>
  <si>
    <t>Total引き摺りトルク (@80km/h)</t>
  </si>
  <si>
    <t>Nm/veh</t>
  </si>
  <si>
    <t>FR 引き摺りトルク (@80km/h)</t>
  </si>
  <si>
    <t>Totalに含む</t>
  </si>
  <si>
    <t>RR 引き摺りトルク (@80km/h)</t>
  </si>
  <si>
    <t>FR イナーシャ</t>
  </si>
  <si>
    <t>RR イナーシャ</t>
  </si>
  <si>
    <t>ブレーキ</t>
  </si>
  <si>
    <t xml:space="preserve">引き摺りトルク (＠経験圧3Mpa) </t>
  </si>
  <si>
    <t>FR引き摺りトルク (経験圧3Mpa＠60kph)</t>
  </si>
  <si>
    <t>RR引き摺りトルク(経験圧3Mpa＠60kph)</t>
  </si>
  <si>
    <t>FRイナーシャ</t>
  </si>
  <si>
    <t>RRイナーシャ</t>
  </si>
  <si>
    <t>車両姿勢</t>
  </si>
  <si>
    <t>グランドクリアランスMin</t>
  </si>
  <si>
    <t>mm</t>
  </si>
  <si>
    <t>Test Weight</t>
  </si>
  <si>
    <t>航続距離試験(ETW)Total</t>
  </si>
  <si>
    <t>航続距離試験(ETW)FR</t>
  </si>
  <si>
    <t>TBD</t>
  </si>
  <si>
    <t>航続距離試験(ETW)RR</t>
  </si>
  <si>
    <t xml:space="preserve">動力当り前性能 </t>
  </si>
  <si>
    <t>動力Accerelation</t>
  </si>
  <si>
    <t>動力Vmax</t>
  </si>
  <si>
    <t>熱NEMシビアシーン</t>
  </si>
  <si>
    <t>熱加減速繰り返し走行</t>
  </si>
  <si>
    <t>熱Towing</t>
  </si>
  <si>
    <t>W/O</t>
  </si>
  <si>
    <t>熱低温性能</t>
  </si>
  <si>
    <t>走行抵抗</t>
  </si>
  <si>
    <t>届出(Target Lset式) A0</t>
  </si>
  <si>
    <t>N</t>
  </si>
  <si>
    <t>届出(Target Lset式) A1</t>
  </si>
  <si>
    <t>N/kph</t>
  </si>
  <si>
    <t>届出(Target Lset式) A2</t>
  </si>
  <si>
    <t>N/kph²</t>
  </si>
  <si>
    <t>届出(Target Lset式) IP</t>
  </si>
  <si>
    <t>lbs</t>
  </si>
  <si>
    <t>性能検討用走行抵抗式(ePT連れ回り排除)</t>
  </si>
  <si>
    <t>航続距離(C/D車載状態)A0</t>
  </si>
  <si>
    <t>航続距離(C/D車載状態)A1</t>
  </si>
  <si>
    <t>航続距離(C/D車載状態)A2</t>
  </si>
  <si>
    <t>航続距離(C/D車載状態)IP</t>
  </si>
  <si>
    <t>動力当り前性能A0</t>
  </si>
  <si>
    <t>動力当り前性能A1</t>
  </si>
  <si>
    <t>動力当り前性能A2</t>
  </si>
  <si>
    <t>動力当り前性能IP</t>
  </si>
  <si>
    <t>動力AccerelationA0</t>
  </si>
  <si>
    <t>動力AccerelationA1</t>
  </si>
  <si>
    <t>動力AccerelationA2</t>
  </si>
  <si>
    <t>動力AccerelationIP</t>
  </si>
  <si>
    <t>動力VmaxA0</t>
  </si>
  <si>
    <t>動力VmaxA1</t>
  </si>
  <si>
    <t>動力VmaxA2</t>
  </si>
  <si>
    <t>動力VmaxIP</t>
  </si>
  <si>
    <t>熱NEMシビアシーンA0</t>
  </si>
  <si>
    <t>別紙</t>
  </si>
  <si>
    <t>CDxA 0.381x2.19</t>
  </si>
  <si>
    <t>熱加減速繰り返し走行A0</t>
  </si>
  <si>
    <t>熱加減速繰り返し走行A1</t>
  </si>
  <si>
    <t>熱加減速繰り返し走行A2</t>
  </si>
  <si>
    <t>熱加減速繰り返し走行IP</t>
  </si>
  <si>
    <t>熱TowingA0</t>
  </si>
  <si>
    <t>熱TowingA1</t>
  </si>
  <si>
    <t>熱TowingA2</t>
  </si>
  <si>
    <t>熱TowingIP</t>
  </si>
  <si>
    <t>熱低温性能A0</t>
  </si>
  <si>
    <t>熱低温性能A1</t>
  </si>
  <si>
    <t>熱低温性能A2</t>
  </si>
  <si>
    <t>熱低温性能IP</t>
  </si>
  <si>
    <t>ePT</t>
  </si>
  <si>
    <t>最高システム総合出力(公称）</t>
  </si>
  <si>
    <t>kW</t>
  </si>
  <si>
    <t>FR MOTイナーシャ</t>
  </si>
  <si>
    <t>FR GBイナーシャ</t>
  </si>
  <si>
    <t>0.134(DIFF軸上)</t>
  </si>
  <si>
    <t>RR MOTイナーシャ</t>
  </si>
  <si>
    <t>RR GBイナーシャ</t>
  </si>
  <si>
    <t>FR MOT制限設定トルク上限(第一象限)</t>
  </si>
  <si>
    <t>Nm</t>
  </si>
  <si>
    <t>FR MOT制限設定トルク下限(第四象限)</t>
  </si>
  <si>
    <t>FR GB減速比</t>
  </si>
  <si>
    <t>RR MOT制限設定トルク上限(第一象限)</t>
  </si>
  <si>
    <t>RR MOT制限設定トルク下限(第四象限)</t>
  </si>
  <si>
    <t>RR GB減速比</t>
  </si>
  <si>
    <t>ドライブシャフト</t>
  </si>
  <si>
    <t>FR右ドライブシャフトイナーシャ</t>
  </si>
  <si>
    <t>FR左ドライブシャフトイナーシャ</t>
  </si>
  <si>
    <t>RR右ドライブシャフトイナーシャ</t>
  </si>
  <si>
    <t>RR左ドライブシャフトイナーシャ</t>
  </si>
  <si>
    <t>DCDC</t>
  </si>
  <si>
    <t>DCDC効率(走行時弱電220W,355V入力(SOC20%),13V出力)</t>
  </si>
  <si>
    <t>%</t>
  </si>
  <si>
    <t>LV BATT</t>
  </si>
  <si>
    <t>消費電力(電費試験時WLTCモード)</t>
  </si>
  <si>
    <t>HV BATT</t>
  </si>
  <si>
    <t>直列セル数</t>
  </si>
  <si>
    <t>cell</t>
  </si>
  <si>
    <t>並列セル数</t>
  </si>
  <si>
    <t>para</t>
  </si>
  <si>
    <t>セル容量</t>
  </si>
  <si>
    <t>Ah</t>
  </si>
  <si>
    <t>パック繋ぎ抵抗</t>
  </si>
  <si>
    <t>Ω</t>
  </si>
  <si>
    <t>0.01(TBD)</t>
  </si>
  <si>
    <t>DCハーネスの抵抗</t>
  </si>
  <si>
    <t>http://localhost/InnovatorServer_120_SP18</t>
  </si>
  <si>
    <t xml:space="preserve"> </t>
  </si>
  <si>
    <t>新規</t>
  </si>
  <si>
    <t>〇</t>
  </si>
  <si>
    <t>Activity Assignment</t>
  </si>
  <si>
    <t>更新</t>
  </si>
  <si>
    <t>InBasket Task</t>
  </si>
  <si>
    <t>Discussion</t>
  </si>
  <si>
    <t>MyReports</t>
  </si>
  <si>
    <t>ES_Search</t>
  </si>
  <si>
    <t>PRMV0081971</t>
  </si>
  <si>
    <t>MBSE検討1回目</t>
  </si>
  <si>
    <t>Variation#1</t>
  </si>
  <si>
    <t>PRMV0081972</t>
  </si>
  <si>
    <t>PRMV0081973</t>
  </si>
  <si>
    <t>PRMV0081974</t>
  </si>
  <si>
    <t>PRMV0081975</t>
  </si>
  <si>
    <t>PRMV0081976</t>
  </si>
  <si>
    <t>PRMV0081977</t>
  </si>
  <si>
    <t>PRMV0081978</t>
  </si>
  <si>
    <t>PRMV0081979</t>
  </si>
  <si>
    <t>0.389(NML)
0.392(MMC)</t>
  </si>
  <si>
    <t>PRMV0081980</t>
  </si>
  <si>
    <t>PRMV0081981</t>
  </si>
  <si>
    <t>PRMV0081982</t>
  </si>
  <si>
    <t>PRMV0081983</t>
  </si>
  <si>
    <t>PRMV0081984</t>
  </si>
  <si>
    <t>PRMV0081985</t>
  </si>
  <si>
    <t>PRMV0081986</t>
  </si>
  <si>
    <t>PRMV0081987</t>
  </si>
  <si>
    <t>PRMV0081988</t>
  </si>
  <si>
    <t>PRMV0081989</t>
  </si>
  <si>
    <t>PRMV0081990</t>
  </si>
  <si>
    <t>PRMV0081991</t>
  </si>
  <si>
    <t>PRMV0081992</t>
  </si>
  <si>
    <t>PRMV0081993</t>
  </si>
  <si>
    <t>PRMV0081994</t>
  </si>
  <si>
    <t>PRMV0081995</t>
  </si>
  <si>
    <t>PRMV0081996</t>
  </si>
  <si>
    <t>PRMV0081997</t>
  </si>
  <si>
    <t>PRMV0081998</t>
  </si>
  <si>
    <t>PRMV0081999</t>
  </si>
  <si>
    <t>PRMV0082000</t>
  </si>
  <si>
    <t>PRMV0082001</t>
  </si>
  <si>
    <t>PRMV0082002</t>
  </si>
  <si>
    <t>PRMV0082003</t>
  </si>
  <si>
    <t>PRMV0082004</t>
  </si>
  <si>
    <t>PRMV0082005</t>
  </si>
  <si>
    <t>PRMV0082006</t>
  </si>
  <si>
    <t>PRMV0082007</t>
  </si>
  <si>
    <t>PRMV0082008</t>
  </si>
  <si>
    <t>PRMV0082009</t>
  </si>
  <si>
    <t>PRMV0082010</t>
  </si>
  <si>
    <t>PRMV0082011</t>
  </si>
  <si>
    <t>PRMV0082012</t>
  </si>
  <si>
    <t>PRMV0082013</t>
  </si>
  <si>
    <t>PRMV0082014</t>
  </si>
  <si>
    <t>PRMV0082015</t>
  </si>
  <si>
    <t>PRMV0082016</t>
  </si>
  <si>
    <t>PRMV0082017</t>
  </si>
  <si>
    <t>PRMV0082018</t>
  </si>
  <si>
    <t>PRMV0082019</t>
  </si>
  <si>
    <t>PRMV0082020</t>
  </si>
  <si>
    <t>PRMV0082021</t>
  </si>
  <si>
    <t>PRMV0082022</t>
  </si>
  <si>
    <t>PRMV0082023</t>
  </si>
  <si>
    <t>PRMV0082024</t>
  </si>
  <si>
    <t>PRMV0082025</t>
  </si>
  <si>
    <t>PRMV0082026</t>
  </si>
  <si>
    <t>PRMV0082027</t>
  </si>
  <si>
    <t>PRMV0082028</t>
  </si>
  <si>
    <t>PRMV0082029</t>
  </si>
  <si>
    <t>PRMV0082030</t>
  </si>
  <si>
    <t>PRMV0082031</t>
  </si>
  <si>
    <t>PRMV0082032</t>
  </si>
  <si>
    <t>PRMV0082033</t>
  </si>
  <si>
    <t>PRMV0082034</t>
  </si>
  <si>
    <t>PRMV0082035</t>
  </si>
  <si>
    <t>PRMV0082036</t>
  </si>
  <si>
    <t>PRMV0082037</t>
  </si>
  <si>
    <t>PRMV0082038</t>
  </si>
  <si>
    <t>PRMV0082039</t>
  </si>
  <si>
    <t>PRMV0082040</t>
  </si>
  <si>
    <t>PRMV0082041</t>
  </si>
  <si>
    <t>PRMV0082042</t>
  </si>
  <si>
    <t>PRMV0082043</t>
  </si>
  <si>
    <t>PRMV0082044</t>
  </si>
  <si>
    <t>PRMV0082045</t>
  </si>
  <si>
    <t>PRMV0082046</t>
  </si>
  <si>
    <t>PRMV0082047</t>
  </si>
  <si>
    <t>PRMV0082048</t>
  </si>
  <si>
    <t>PRMV0082049</t>
  </si>
  <si>
    <t>PRMV0082050</t>
  </si>
  <si>
    <t>PRMV0082051</t>
  </si>
  <si>
    <t>PRMV0082052</t>
  </si>
  <si>
    <t>PRMV0082053</t>
  </si>
  <si>
    <t>PRMV0082054</t>
  </si>
  <si>
    <t>PRMV0082055</t>
  </si>
  <si>
    <t>PRMV0082056</t>
  </si>
  <si>
    <t>PRMV0082057</t>
  </si>
  <si>
    <t>PRMV0082058</t>
  </si>
  <si>
    <t>PRMV0082059</t>
  </si>
  <si>
    <t>PRMV0082060</t>
  </si>
  <si>
    <t>PRMV0082061</t>
  </si>
  <si>
    <t>PRMV0082062</t>
  </si>
  <si>
    <t>PRMV0082063</t>
  </si>
  <si>
    <t>2.007×10^-3</t>
  </si>
  <si>
    <t>PRMV0082064</t>
  </si>
  <si>
    <t>1.951×10^-3</t>
  </si>
  <si>
    <t>PRMV0082065</t>
  </si>
  <si>
    <t>PRMV0082066</t>
  </si>
  <si>
    <t>PRMV0082067</t>
  </si>
  <si>
    <t>PRMV0082068</t>
  </si>
  <si>
    <t>PRMV0082069</t>
  </si>
  <si>
    <t>PRMV0082070</t>
  </si>
  <si>
    <t>PRMV0082071</t>
  </si>
  <si>
    <t>PRMV0082072</t>
  </si>
  <si>
    <t>PRMV0082073</t>
  </si>
  <si>
    <t>PRMV0082074</t>
  </si>
  <si>
    <t>Variation#2</t>
  </si>
  <si>
    <t>PRMV0082075</t>
  </si>
  <si>
    <t>PRMV0082076</t>
  </si>
  <si>
    <t>PRMV0082077</t>
  </si>
  <si>
    <t>PRMV0082078</t>
  </si>
  <si>
    <t>PRMV0082079</t>
  </si>
  <si>
    <t>PRMV0082080</t>
  </si>
  <si>
    <t>PRMV0082081</t>
  </si>
  <si>
    <t>PRMV0082082</t>
  </si>
  <si>
    <t>PRMV0082083</t>
  </si>
  <si>
    <t>PRMV0082084</t>
  </si>
  <si>
    <t>PRMV0082085</t>
  </si>
  <si>
    <t>PRMV0082086</t>
  </si>
  <si>
    <t>PRMV0082087</t>
  </si>
  <si>
    <t>PRMV0082088</t>
  </si>
  <si>
    <t>PRMV0082089</t>
  </si>
  <si>
    <t>PRMV0082090</t>
  </si>
  <si>
    <t>PRMV0082091</t>
  </si>
  <si>
    <t>PRMV0082092</t>
  </si>
  <si>
    <t>PRMV0082093</t>
  </si>
  <si>
    <t>PRMV0082094</t>
  </si>
  <si>
    <t>PRMV0082095</t>
  </si>
  <si>
    <t>PRMV0082096</t>
  </si>
  <si>
    <t>PRMV0082097</t>
  </si>
  <si>
    <t>PRMV0082098</t>
  </si>
  <si>
    <t>PRMV0082099</t>
  </si>
  <si>
    <t>PRMV0082100</t>
  </si>
  <si>
    <t>PRMV0082101</t>
  </si>
  <si>
    <t>PRMV0082102</t>
  </si>
  <si>
    <t>PRMV0082103</t>
  </si>
  <si>
    <t>PRMV0082104</t>
  </si>
  <si>
    <t>PRMV0082105</t>
  </si>
  <si>
    <t>PRMV0082106</t>
  </si>
  <si>
    <t>PRMV0082107</t>
  </si>
  <si>
    <t>PRMV0082108</t>
  </si>
  <si>
    <t>PRMV0082109</t>
  </si>
  <si>
    <t>PRMV0082110</t>
  </si>
  <si>
    <t>PRMV0082111</t>
  </si>
  <si>
    <t>PRMV0082112</t>
  </si>
  <si>
    <t>PRMV0082113</t>
  </si>
  <si>
    <t>PRMV0082114</t>
  </si>
  <si>
    <t>PRMV0082115</t>
  </si>
  <si>
    <t>PRMV0082116</t>
  </si>
  <si>
    <t>PRMV0082117</t>
  </si>
  <si>
    <t>PRMV0082118</t>
  </si>
  <si>
    <t>PRMV0082119</t>
  </si>
  <si>
    <t>PRMV0082120</t>
  </si>
  <si>
    <t>PRMV0082121</t>
  </si>
  <si>
    <t>PRMV0082122</t>
  </si>
  <si>
    <t>PRMV0082123</t>
  </si>
  <si>
    <t>PRMV0082124</t>
  </si>
  <si>
    <t>PRMV0082125</t>
  </si>
  <si>
    <t>PRMV0082126</t>
  </si>
  <si>
    <t>PRMV0082127</t>
  </si>
  <si>
    <t>PRMV0082128</t>
  </si>
  <si>
    <t>PRMV0082129</t>
  </si>
  <si>
    <t>PRMV0082130</t>
  </si>
  <si>
    <t>PRMV0082131</t>
  </si>
  <si>
    <t>PRMV0082132</t>
  </si>
  <si>
    <t>PRMV0082133</t>
  </si>
  <si>
    <t>PRMV0082134</t>
  </si>
  <si>
    <t>PRMV0082135</t>
  </si>
  <si>
    <t>前提承認待ち</t>
  </si>
  <si>
    <t>PRMV0082136</t>
  </si>
  <si>
    <t>PRMV0082137</t>
  </si>
  <si>
    <t>PRMV0082138</t>
  </si>
  <si>
    <t>PRMV0082139</t>
  </si>
  <si>
    <t>PRMV0082140</t>
  </si>
  <si>
    <t>PRMV0082141</t>
  </si>
  <si>
    <t>PRMV0082142</t>
  </si>
  <si>
    <t>PRMV0082143</t>
  </si>
  <si>
    <t>PRMV0082144</t>
  </si>
  <si>
    <t>PRMV0082145</t>
  </si>
  <si>
    <t>PRMV0082146</t>
  </si>
  <si>
    <t>PRMV0082147</t>
  </si>
  <si>
    <t>PRMV0082148</t>
  </si>
  <si>
    <t>PRMV0082149</t>
  </si>
  <si>
    <t>PRMV0082150</t>
  </si>
  <si>
    <t>PRMV0082151</t>
  </si>
  <si>
    <t>PRMV0082152</t>
  </si>
  <si>
    <t>PRMV0082153</t>
  </si>
  <si>
    <t>PRMV0082154</t>
  </si>
  <si>
    <t>PRMV0082155</t>
  </si>
  <si>
    <t>PRMV0082156</t>
  </si>
  <si>
    <t>PRMV0082157</t>
  </si>
  <si>
    <t>PRMV0082158</t>
  </si>
  <si>
    <t>PRMV0082159</t>
  </si>
  <si>
    <t>PRMV0082160</t>
  </si>
  <si>
    <t>PRMV0082161</t>
  </si>
  <si>
    <t>PRMV0082162</t>
  </si>
  <si>
    <t>PRMV0082163</t>
  </si>
  <si>
    <t>PRMV0082164</t>
  </si>
  <si>
    <t>PRMV0082165</t>
  </si>
  <si>
    <t>PRMV0082166</t>
  </si>
  <si>
    <t>PRMV0082167</t>
  </si>
  <si>
    <t>PRMV0082168</t>
  </si>
  <si>
    <t>PRMV0082169</t>
  </si>
  <si>
    <t>PRMV0082170</t>
  </si>
  <si>
    <t>PRMV0082171</t>
  </si>
  <si>
    <t>PRMV0082172</t>
  </si>
  <si>
    <t>PRMV0082173</t>
  </si>
  <si>
    <t>PRMV0082174</t>
  </si>
  <si>
    <t>PRMV0082175</t>
  </si>
  <si>
    <t>PRMV0082176</t>
  </si>
  <si>
    <t>PRMV0082177</t>
  </si>
  <si>
    <t>Variation#3</t>
  </si>
  <si>
    <t>PRMV0082178</t>
  </si>
  <si>
    <t>PRMV0082179</t>
  </si>
  <si>
    <t>PRMV0082180</t>
  </si>
  <si>
    <t>PRMV0082181</t>
  </si>
  <si>
    <t>PRMV0082182</t>
  </si>
  <si>
    <t>PRMV0082183</t>
  </si>
  <si>
    <t>PRMV0082184</t>
  </si>
  <si>
    <t>PRMV0082185</t>
  </si>
  <si>
    <t>PRMV0082186</t>
  </si>
  <si>
    <t>PRMV0082187</t>
  </si>
  <si>
    <t>PRMV0082188</t>
  </si>
  <si>
    <t>PRMV0082189</t>
  </si>
  <si>
    <t>PRMV0082190</t>
  </si>
  <si>
    <t>PRMV0082191</t>
  </si>
  <si>
    <t>PRMV0082192</t>
  </si>
  <si>
    <t>PRMV0082193</t>
  </si>
  <si>
    <t>PRMV0082194</t>
  </si>
  <si>
    <t>PRMV0082195</t>
  </si>
  <si>
    <t>PRMV0082196</t>
  </si>
  <si>
    <t>PRMV0082197</t>
  </si>
  <si>
    <t>PRMV0082198</t>
  </si>
  <si>
    <t>PRMV0082199</t>
  </si>
  <si>
    <t>PRMV0082200</t>
  </si>
  <si>
    <t>PRMV0082201</t>
  </si>
  <si>
    <t>PRMV0082202</t>
  </si>
  <si>
    <t>PRMV0082203</t>
  </si>
  <si>
    <t>PRMV0082204</t>
  </si>
  <si>
    <t>PRMV0082205</t>
  </si>
  <si>
    <t>PRMV0082206</t>
  </si>
  <si>
    <t>PRMV0082207</t>
  </si>
  <si>
    <t>PRMV0082208</t>
  </si>
  <si>
    <t>PRMV0082209</t>
  </si>
  <si>
    <t>PRMV0082210</t>
  </si>
  <si>
    <t>PRMV0082211</t>
  </si>
  <si>
    <t>PRMV0082212</t>
  </si>
  <si>
    <t>PRMV0082213</t>
  </si>
  <si>
    <t>PRMV0082214</t>
  </si>
  <si>
    <t>PRMV0082215</t>
  </si>
  <si>
    <t>PRMV0082216</t>
  </si>
  <si>
    <t>PRMV0082217</t>
  </si>
  <si>
    <t>PRMV0082218</t>
  </si>
  <si>
    <t>PRMV0082219</t>
  </si>
  <si>
    <t>PRMV0082220</t>
  </si>
  <si>
    <t>PRMV0082221</t>
  </si>
  <si>
    <t>PRMV0082222</t>
  </si>
  <si>
    <t>PRMV0082223</t>
  </si>
  <si>
    <t>PRMV0082224</t>
  </si>
  <si>
    <t>PRMV0082225</t>
  </si>
  <si>
    <t>PRMV0082226</t>
  </si>
  <si>
    <t>PRMV0082227</t>
  </si>
  <si>
    <t>PRMV0082228</t>
  </si>
  <si>
    <t>PRMV0082229</t>
  </si>
  <si>
    <t>PRMV0082230</t>
  </si>
  <si>
    <t>PRMV0082231</t>
  </si>
  <si>
    <t>PRMV0082232</t>
  </si>
  <si>
    <t>PRMV0082233</t>
  </si>
  <si>
    <t>PRMV0082234</t>
  </si>
  <si>
    <t>PRMV0082235</t>
  </si>
  <si>
    <t>PRMV0082236</t>
  </si>
  <si>
    <t>PRMV0082237</t>
  </si>
  <si>
    <t>PRMV0082238</t>
  </si>
  <si>
    <t>PRMV0082239</t>
  </si>
  <si>
    <t>PRMV0082240</t>
  </si>
  <si>
    <t>PRMV0082241</t>
  </si>
  <si>
    <t>PRMV0082242</t>
  </si>
  <si>
    <t>PRMV0082243</t>
  </si>
  <si>
    <t>PRMV0082244</t>
  </si>
  <si>
    <t>PRMV0082245</t>
  </si>
  <si>
    <t>PRMV0082246</t>
  </si>
  <si>
    <t>PRMV0082247</t>
  </si>
  <si>
    <t>PRMV0082248</t>
  </si>
  <si>
    <t>PRMV0082249</t>
  </si>
  <si>
    <t>PRMV0082250</t>
  </si>
  <si>
    <t>PRMV0082251</t>
  </si>
  <si>
    <t>PRMV0082252</t>
  </si>
  <si>
    <t>PRMV0082253</t>
  </si>
  <si>
    <t>PRMV0082254</t>
  </si>
  <si>
    <t>PRMV0082255</t>
  </si>
  <si>
    <t>PRMV0082256</t>
  </si>
  <si>
    <t>PRMV0082257</t>
  </si>
  <si>
    <t>PRMV0082258</t>
  </si>
  <si>
    <t>PRMV0082259</t>
  </si>
  <si>
    <t>PRMV0082260</t>
  </si>
  <si>
    <t>PRMV0082261</t>
  </si>
  <si>
    <t>PRMV0082262</t>
  </si>
  <si>
    <t>PRMV0082263</t>
  </si>
  <si>
    <t>PRMV0082264</t>
  </si>
  <si>
    <t>PRMV0082265</t>
  </si>
  <si>
    <t>PRMV0082266</t>
  </si>
  <si>
    <t>PRMV0082267</t>
  </si>
  <si>
    <t>PRMV0082268</t>
  </si>
  <si>
    <t>PRMV0082269</t>
  </si>
  <si>
    <t>PRMV0082270</t>
  </si>
  <si>
    <t>PRMV0082271</t>
  </si>
  <si>
    <t>PRMV0082272</t>
  </si>
  <si>
    <t>PRMV0082273</t>
  </si>
  <si>
    <t>PRMV0082274</t>
  </si>
  <si>
    <t>PRMV0082275</t>
  </si>
  <si>
    <t>PRMV0082276</t>
  </si>
  <si>
    <t>PRMV0082277</t>
  </si>
  <si>
    <t>PRMV0082278</t>
  </si>
  <si>
    <t>PRMV0082279</t>
  </si>
  <si>
    <t>PRMV0082280</t>
  </si>
  <si>
    <t>Variation#4</t>
  </si>
  <si>
    <t>PRMV0082281</t>
  </si>
  <si>
    <t>PRMV0082282</t>
  </si>
  <si>
    <t>PRMV0082283</t>
  </si>
  <si>
    <t>PRMV0082284</t>
  </si>
  <si>
    <t>PRMV0082285</t>
  </si>
  <si>
    <t>PRMV0082286</t>
  </si>
  <si>
    <t>PRMV0082287</t>
  </si>
  <si>
    <t>PRMV0082288</t>
  </si>
  <si>
    <t>PRMV0082289</t>
  </si>
  <si>
    <t>PRMV0082290</t>
  </si>
  <si>
    <t>PRMV0082291</t>
  </si>
  <si>
    <t>PRMV0082292</t>
  </si>
  <si>
    <t>PRMV0082293</t>
  </si>
  <si>
    <t>PRMV0082294</t>
  </si>
  <si>
    <t>PRMV0082295</t>
  </si>
  <si>
    <t>PRMV0082296</t>
  </si>
  <si>
    <t>PRMV0082297</t>
  </si>
  <si>
    <t>PRMV0082298</t>
  </si>
  <si>
    <t>PRMV0082299</t>
  </si>
  <si>
    <t>PRMV0082300</t>
  </si>
  <si>
    <t>PRMV0082301</t>
  </si>
  <si>
    <t>PRMV0082302</t>
  </si>
  <si>
    <t>PRMV0082303</t>
  </si>
  <si>
    <t>PRMV0082304</t>
  </si>
  <si>
    <t>PRMV0082305</t>
  </si>
  <si>
    <t>PRMV0082306</t>
  </si>
  <si>
    <t>PRMV0082307</t>
  </si>
  <si>
    <t>PRMV0082308</t>
  </si>
  <si>
    <t>PRMV0082309</t>
  </si>
  <si>
    <t>PRMV0082310</t>
  </si>
  <si>
    <t>PRMV0082311</t>
  </si>
  <si>
    <t>PRMV0082312</t>
  </si>
  <si>
    <t>PRMV0082313</t>
  </si>
  <si>
    <t>PRMV0082314</t>
  </si>
  <si>
    <t>PRMV0082315</t>
  </si>
  <si>
    <t>PRMV0082316</t>
  </si>
  <si>
    <t>PRMV0082317</t>
  </si>
  <si>
    <t>PRMV0082318</t>
  </si>
  <si>
    <t>PRMV0082319</t>
  </si>
  <si>
    <t>PRMV0082320</t>
  </si>
  <si>
    <t>PRMV0082321</t>
  </si>
  <si>
    <t>PRMV0082322</t>
  </si>
  <si>
    <t>PRMV0082323</t>
  </si>
  <si>
    <t>PRMV0082324</t>
  </si>
  <si>
    <t>PRMV0082325</t>
  </si>
  <si>
    <t>PRMV0082326</t>
  </si>
  <si>
    <t>PRMV0082327</t>
  </si>
  <si>
    <t>PRMV0082328</t>
  </si>
  <si>
    <t>PRMV0082329</t>
  </si>
  <si>
    <t>PRMV0082330</t>
  </si>
  <si>
    <t>PRMV0082331</t>
  </si>
  <si>
    <t>PRMV0082332</t>
  </si>
  <si>
    <t>PRMV0082333</t>
  </si>
  <si>
    <t>PRMV0082334</t>
  </si>
  <si>
    <t>PRMV0082335</t>
  </si>
  <si>
    <t>PRMV0082336</t>
  </si>
  <si>
    <t>PRMV0082337</t>
  </si>
  <si>
    <t>PRMV0082338</t>
  </si>
  <si>
    <t>PRMV0082339</t>
  </si>
  <si>
    <t>PRMV0082340</t>
  </si>
  <si>
    <t>PRMV0082341</t>
  </si>
  <si>
    <t>PRMV0082342</t>
  </si>
  <si>
    <t>PRMV0082343</t>
  </si>
  <si>
    <t>PRMV0082344</t>
  </si>
  <si>
    <t>PRMV0082345</t>
  </si>
  <si>
    <t>PRMV0082346</t>
  </si>
  <si>
    <t>PRMV0082347</t>
  </si>
  <si>
    <t>PRMV0082348</t>
  </si>
  <si>
    <t>PRMV0082349</t>
  </si>
  <si>
    <t>PRMV0082350</t>
  </si>
  <si>
    <t>PRMV0082351</t>
  </si>
  <si>
    <t>PRMV0082352</t>
  </si>
  <si>
    <t>PRMV0082353</t>
  </si>
  <si>
    <t>PRMV0082354</t>
  </si>
  <si>
    <t>PRMV0082355</t>
  </si>
  <si>
    <t>PRMV0082356</t>
  </si>
  <si>
    <t>PRMV0082357</t>
  </si>
  <si>
    <t>PRMV0082358</t>
  </si>
  <si>
    <t>PRMV0082359</t>
  </si>
  <si>
    <t>PRMV0082360</t>
  </si>
  <si>
    <t>PRMV0082361</t>
  </si>
  <si>
    <t>PRMV0082362</t>
  </si>
  <si>
    <t>PRMV0082363</t>
  </si>
  <si>
    <t>PRMV0082364</t>
  </si>
  <si>
    <t>PRMV0082365</t>
  </si>
  <si>
    <t>PRMV0082366</t>
  </si>
  <si>
    <t>PRMV0082367</t>
  </si>
  <si>
    <t>PRMV0082368</t>
  </si>
  <si>
    <t>PRMV0082369</t>
  </si>
  <si>
    <t>PRMV0082370</t>
  </si>
  <si>
    <t>PRMV0082371</t>
  </si>
  <si>
    <t>PRMV0082372</t>
  </si>
  <si>
    <t>PRMV0082373</t>
  </si>
  <si>
    <t>PRMV0082374</t>
  </si>
  <si>
    <t>PRMV0082375</t>
  </si>
  <si>
    <t>PRMV0082376</t>
  </si>
  <si>
    <t>PRMV0082377</t>
  </si>
  <si>
    <t>PRMV0082378</t>
  </si>
  <si>
    <t>PRMV0082379</t>
  </si>
  <si>
    <t>PRMV0082380</t>
  </si>
  <si>
    <t>PRMV0082381</t>
  </si>
  <si>
    <t>PRMV0082382</t>
  </si>
  <si>
    <t>PRMV0083220</t>
  </si>
  <si>
    <t>iBooster作動時ブレーキ力(Time-ブレーキ力)</t>
  </si>
  <si>
    <t>MAP</t>
  </si>
  <si>
    <t>○</t>
  </si>
  <si>
    <t>PRMV0083221</t>
  </si>
  <si>
    <t>FR MOT出力N-T特性(回転-トルク)</t>
  </si>
  <si>
    <t>PRMV0083222</t>
  </si>
  <si>
    <t>FR MOT制限設定出力上限(第一象限)</t>
  </si>
  <si>
    <t>PRMV0083223</t>
  </si>
  <si>
    <t>FR MOT制限設定出力下限(第四象限)</t>
  </si>
  <si>
    <t>PRMV0083224</t>
  </si>
  <si>
    <t>FR MOT損失特性</t>
  </si>
  <si>
    <t>PRMV0083225</t>
  </si>
  <si>
    <t>FR GB損失特性(有負荷)</t>
  </si>
  <si>
    <t>PRMV0083226</t>
  </si>
  <si>
    <t>ePT Sys無負荷損失特性(車速-駆動力)</t>
  </si>
  <si>
    <t>PRMV0083227</t>
  </si>
  <si>
    <t>パワマネ</t>
  </si>
  <si>
    <t>駆動力Map(APO-車速-駆動力)</t>
  </si>
  <si>
    <t>PRMV0083228</t>
  </si>
  <si>
    <t>協調回生システム</t>
  </si>
  <si>
    <t>回生ブレーキすり替え車速(車速-G)</t>
  </si>
  <si>
    <t>PRMV0083229</t>
  </si>
  <si>
    <t>セル開放電圧特性(SOC-OCV)</t>
  </si>
  <si>
    <t>PRMV0083230</t>
  </si>
  <si>
    <t>バッテリ制限設定(Pin入力上限/BATT温度-SOC-電力)</t>
  </si>
  <si>
    <t>PRMV0083231</t>
  </si>
  <si>
    <t>バッテリ制限設定(Pout出力上限/BATT温度-SOC-電力)</t>
  </si>
  <si>
    <t>PRMV0083232</t>
  </si>
  <si>
    <t>セル内部抵抗特性(充電/BATT温度-SOC-内部抵抗)</t>
  </si>
  <si>
    <t>PRMV0083233</t>
  </si>
  <si>
    <t>セル内部抵抗特性(放電/BATT温度-SOC-内部抵抗)</t>
  </si>
  <si>
    <t>PRMV0083234</t>
  </si>
  <si>
    <t>MOT FAN</t>
  </si>
  <si>
    <t>PQ特性</t>
  </si>
  <si>
    <t>PRMV0083235</t>
  </si>
  <si>
    <t>ePT Sys熱容量</t>
  </si>
  <si>
    <t>PRMV0083236</t>
  </si>
  <si>
    <t>PRMV0083237</t>
  </si>
  <si>
    <t>PRMV0083238</t>
  </si>
  <si>
    <t>PRMV0083239</t>
  </si>
  <si>
    <t>PRMV0083240</t>
  </si>
  <si>
    <t>PRMV0083241</t>
  </si>
  <si>
    <t>PRMV0083242</t>
  </si>
  <si>
    <t>PRMV0083243</t>
  </si>
  <si>
    <t>PRMV0083244</t>
  </si>
  <si>
    <t>PRMV0083245</t>
  </si>
  <si>
    <t>PRMV0083246</t>
  </si>
  <si>
    <t>PRMV0083247</t>
  </si>
  <si>
    <t>PRMV0083248</t>
  </si>
  <si>
    <t>PRMV0083249</t>
  </si>
  <si>
    <t>PRMV0083250</t>
  </si>
  <si>
    <t>PRMV0083251</t>
  </si>
  <si>
    <t>PRMV0083252</t>
  </si>
  <si>
    <t>PRMV0083253</t>
  </si>
  <si>
    <t>PRMV0083254</t>
  </si>
  <si>
    <t>PRMV0083255</t>
  </si>
  <si>
    <t>PRMV0083256</t>
  </si>
  <si>
    <t>PRMV0083257</t>
  </si>
  <si>
    <t>PRMV0083258</t>
  </si>
  <si>
    <t>PRMV0083259</t>
  </si>
  <si>
    <t>PRMV0083260</t>
  </si>
  <si>
    <t>PRMV0083261</t>
  </si>
  <si>
    <t>PRMV0083262</t>
  </si>
  <si>
    <t>PRMV0083263</t>
  </si>
  <si>
    <t>PRMV0083264</t>
  </si>
  <si>
    <t>PRMV0083265</t>
  </si>
  <si>
    <t>PRMV0083266</t>
  </si>
  <si>
    <t>PRMV0083267</t>
  </si>
  <si>
    <t>PRMV0083268</t>
  </si>
  <si>
    <t>PRMV0083269</t>
  </si>
  <si>
    <t>PRMV0083270</t>
  </si>
  <si>
    <t>PRMV0083271</t>
  </si>
  <si>
    <t>PRMV0083272</t>
  </si>
  <si>
    <t>PRMV0083273</t>
  </si>
  <si>
    <t>PRMV0083274</t>
  </si>
  <si>
    <t>PRMV0083275</t>
  </si>
  <si>
    <t>PRMV0083276</t>
  </si>
  <si>
    <t>PRMV0083277</t>
  </si>
  <si>
    <t>PRMV0083278</t>
  </si>
  <si>
    <t>PRMV0083279</t>
  </si>
  <si>
    <t>PRMV0083280</t>
  </si>
  <si>
    <t>PRMV0083281</t>
  </si>
  <si>
    <t>PRMV0083282</t>
  </si>
  <si>
    <t>PRMV0083283</t>
  </si>
  <si>
    <t>UU3:MIZOKOSHI KANATA</t>
  </si>
  <si>
    <t>N194000</t>
  </si>
  <si>
    <t>N194000</t>
    <phoneticPr fontId="2"/>
  </si>
  <si>
    <t>DA30DFBFE7984B3AB7D64C8E00601144</t>
  </si>
  <si>
    <t>E31254FAFE004618961108384C89EEA2</t>
  </si>
  <si>
    <t>6F2E90BEFBD042E3810CF274783D2487</t>
  </si>
  <si>
    <t>6F5CD19E6BEE47EBA7995123A05A4E9D</t>
  </si>
  <si>
    <t>D36B477ACC3E40F08AA34209DAD96BA6</t>
  </si>
  <si>
    <t>7E02C6E67B154F92A4F0BF78C1B3F555</t>
  </si>
  <si>
    <t>7397AA082BE544A9A04A06CDB8FE3004</t>
  </si>
  <si>
    <t>9AC61F22BC7A42ED95CBB3AE43591579</t>
  </si>
  <si>
    <t>A182764EDDB94938A0A28B2798381103</t>
  </si>
  <si>
    <t>1629E606059548199A5D5B86DEFD2B56</t>
  </si>
  <si>
    <t>96C79065D9A344E98B96A1016F6651FA</t>
  </si>
  <si>
    <t>12CE1BFACA4A4A709E4F415516F2BBF0</t>
  </si>
  <si>
    <t>639CBBB9082249F3B732EB1CCE7824EA</t>
  </si>
  <si>
    <t>7439DCDB1B09493F8281868AE044962A</t>
  </si>
  <si>
    <t>1C2563B656D14FBCA06E91B7560C2466</t>
  </si>
  <si>
    <t>98D3D4E964E84E5A9B4AAA3A39B0C852</t>
  </si>
  <si>
    <t>649A821DE5E74AC29AACE1106038D2E6</t>
  </si>
  <si>
    <t>54E0D74C1CA746D78419BA0D8182BD69</t>
  </si>
  <si>
    <t>055366E06684480FA9B42211F83383B6</t>
  </si>
  <si>
    <t>A7CE4B0F5901444DB0673575E8064937</t>
  </si>
  <si>
    <t>A0E457FCD36C4DFF93EE5374B18BCF1A</t>
  </si>
  <si>
    <t>AFA98495527041B797AE53806D1DA4B1</t>
  </si>
  <si>
    <t>A68C79ADC7C649FF8B1128AB7CBC4C67</t>
  </si>
  <si>
    <t>80EFAF747E58405FBBFEB415D8A784F7</t>
  </si>
  <si>
    <t>5D128958A3C8490DADAEA4726984A605</t>
  </si>
  <si>
    <t>3D4E6CEFB9964A178C10B68CFEA62060</t>
  </si>
  <si>
    <t>550B6C02C8ED4F799EE757B2440E80DF</t>
  </si>
  <si>
    <t>7CA870C2635942B3BEBDE9B5A8C91570</t>
  </si>
  <si>
    <t>3EEAA60850EC436B800031588DF650D6</t>
  </si>
  <si>
    <t>2610C839659944A78A2F8A6D6E0AB161</t>
  </si>
  <si>
    <t>9D60214B107542C5AC38E6425BAF9E21</t>
  </si>
  <si>
    <t>3177B95CCE7F488596DDE7746F54AC90</t>
  </si>
  <si>
    <t>D62DE64D52004DCB8C1F6900E4E6ECCA</t>
  </si>
  <si>
    <t>C1A719B245BB4A1CBBCC6CE5834AB4E7</t>
  </si>
  <si>
    <t>83774A1CDA9747F18C7E611A4B2E0D46</t>
  </si>
  <si>
    <t>9BA66B4C22954894A7B62AAFD48245D0</t>
  </si>
  <si>
    <t>A3662D0EFBAF49E79322CA58B2B5B3CA</t>
  </si>
  <si>
    <t>6E98B179E3C847E19467E51F679074D3</t>
  </si>
  <si>
    <t>817CD89CC00A4244934D3BA54CB0C94C</t>
  </si>
  <si>
    <t>D604A7817B1F4B27A9F6884D27751A31</t>
  </si>
  <si>
    <t>E97523E91D5548EEA99C6BE9D7641DF9</t>
  </si>
  <si>
    <t>147E3D795BD048419DC7160E7F502869</t>
  </si>
  <si>
    <t>8C12D0715F5E445F960475D0F00CD623</t>
  </si>
  <si>
    <t>1F114F0EAAB14D3CBF0DEC060AB60ACE</t>
  </si>
  <si>
    <t>D7F681865F744FA28DBD1743D76300E4</t>
  </si>
  <si>
    <t>00A4C0CFDB204B909EAA5397AC47CA82</t>
  </si>
  <si>
    <t>973CACB336804E86A604AFBF45323CAD</t>
  </si>
  <si>
    <t>79B4E5DE6C77414389DDDA3456BA217F</t>
  </si>
  <si>
    <t>F512D98E0FE845F6AFE7C391B7E470BD</t>
  </si>
  <si>
    <t>D837F145AEC347D0BFDE2EFAD1A537C2</t>
  </si>
  <si>
    <t>963B776FADC141A780285FEF44DC86DA</t>
  </si>
  <si>
    <t>71CE007C65DB4A56836932CAEC8C68F6</t>
  </si>
  <si>
    <t>B062B5A949C845FE8D92B66B3E86E9D1</t>
  </si>
  <si>
    <t>19596108C6C547C6AAE356363569FECE</t>
  </si>
  <si>
    <t>0EAF06F46DB046F8838D671076971D26</t>
  </si>
  <si>
    <t>06076357F3AD4A1F8D05AB0016054FCF</t>
  </si>
  <si>
    <t>61E0FB398123407FAC2E8BB82683BC3A</t>
  </si>
  <si>
    <t>C8ABEDB5239C4B89B657623123CF13BD</t>
  </si>
  <si>
    <t>35E891A1293C477FBB056A196332867F</t>
  </si>
  <si>
    <t>E76F51FE39E24DF7A993A60EA179EAE1</t>
  </si>
  <si>
    <t>4C27BE351F43497BAAFB63D4FE8D0DD9</t>
  </si>
  <si>
    <t>F999E783354749848609C0A58B28EC00</t>
  </si>
  <si>
    <t>81395B00C2734A3A9640FC0D442F0893</t>
  </si>
  <si>
    <t>EFFE7B049F7F41FEA0E57E2716E4D3C2</t>
  </si>
  <si>
    <t>A82C06623C854B9BB9C7EB1DF7494847</t>
  </si>
  <si>
    <t>65BDE7BA193649798EBA7F3F4B723810</t>
  </si>
  <si>
    <t>11828573B1CB4A2092460FDB5DBA3F43</t>
  </si>
  <si>
    <t>60A2A9E235114E85BF9F33DF1D8A1F2C</t>
  </si>
  <si>
    <t>A6AD3A6E929843DE8FF2130E3FEC8484</t>
  </si>
  <si>
    <t>04274D05AAB8483690D0DE6571C7F8FE</t>
  </si>
  <si>
    <t>939C38074886456BA51F7298C128A396</t>
  </si>
  <si>
    <t>9C540C30CD5D44EFA8A68F53B49E9162</t>
  </si>
  <si>
    <t>4D58A04CB53D4D23A05C3BAEAC67F707</t>
  </si>
  <si>
    <t>5143C8225DFC42CD8991A5FDE0E208C7</t>
  </si>
  <si>
    <t>A5CA64F5205F4AEA8E1466484D7989C0</t>
  </si>
  <si>
    <t>032D82A5953140369E60A3368FA64DF7</t>
  </si>
  <si>
    <t>2E81EB7A746047F88DCB6A699604A7A1</t>
  </si>
  <si>
    <t>4A70495F66394A968F295C0AFCD542B2</t>
  </si>
  <si>
    <t>90B783298E924E479BFB5F787BC1923C</t>
  </si>
  <si>
    <t>ADF28C4D6EB54AEABD33E1689EE1B9A2</t>
  </si>
  <si>
    <t>219C1348256B4B9188FB3346DEC2B845</t>
  </si>
  <si>
    <t>066ED88056304EA0B5267CD935884FEF</t>
  </si>
  <si>
    <t>ABD31597DCA545FD8C67F882CFD79EFC</t>
  </si>
  <si>
    <t>1562E4442C1B4D03AB169043161CF474</t>
  </si>
  <si>
    <t>B66E51B229CC49F48F1C996EDA02B355</t>
  </si>
  <si>
    <t>F70B85DAE2814A938452A7347C7068E4</t>
  </si>
  <si>
    <t>36AC8C5DBE014B229697D315B00AA658</t>
  </si>
  <si>
    <t>16A94DF31635445AB93524F9AA91CE62</t>
  </si>
  <si>
    <t>13D3772415CD4BE6B654E467E3A4AC0B</t>
  </si>
  <si>
    <t>E004CD8291B74036AD884DBA709ED6E8</t>
  </si>
  <si>
    <t>6CDC2F0A1CB841B199C6547A5A3DB194</t>
  </si>
  <si>
    <t>706D4FF534E548478D96CD7ED9AD2038</t>
  </si>
  <si>
    <t>59BE5346F6784C4C86C93F98DA1CA56B</t>
  </si>
  <si>
    <t>0A1B036B6968471994A5691B51B8C418</t>
  </si>
  <si>
    <t>C7B82C1103B945A38BFD4ECFE87330F3</t>
  </si>
  <si>
    <t>53CB44590B43464FBE8466BF0936998E</t>
  </si>
  <si>
    <t>4261DA4A0882422B94E32294D432DC6E</t>
  </si>
  <si>
    <t>7D570B135E244DE78FDBCFA1BC4A3B14</t>
  </si>
  <si>
    <t>AEF5F35C583147AE844DAEC5D4C9D8D1</t>
  </si>
  <si>
    <t>9F2E81C103A547E7BE00C567E704EF66</t>
  </si>
  <si>
    <t>D4215BADF5514F96AC25AF443FD6B978</t>
  </si>
  <si>
    <t>5938B319467241ADB5602D642C6E2A7D</t>
  </si>
  <si>
    <t>4861631E5C5D4F4B9DC2374406B7E4A0</t>
  </si>
  <si>
    <t>D70B319F3C6F4204987BB5F1949A2A3E</t>
  </si>
  <si>
    <t>06C5384639DD4946896383EABF308798</t>
  </si>
  <si>
    <t>9E8761B5E3E84F6997262C6C943A586A</t>
  </si>
  <si>
    <t>9C437C2835124D7E963BD901D171D55D</t>
  </si>
  <si>
    <t>6A9B3EF1EF5843A181F037B010469903</t>
  </si>
  <si>
    <t>F3A29C57879A49039AB954D3F896D490</t>
  </si>
  <si>
    <t>3761FE2D58BD40FBB82914643669DCDC</t>
  </si>
  <si>
    <t>B50479B0E9144CCD8BAC153A619812C5</t>
  </si>
  <si>
    <t>45D30C340C3441D49F1B3E68992F8A64</t>
  </si>
  <si>
    <t>0EFC99946331432DA7F8F7D752B88C43</t>
  </si>
  <si>
    <t>02E966EDF6444167B8D99F065F1A51E3</t>
  </si>
  <si>
    <t>994F8BFCABEE4798A4D4657C90AC2823</t>
  </si>
  <si>
    <t>5BC10CF643DC46A6829FDF6150C3B83E</t>
  </si>
  <si>
    <t>7A3E1FE3311E4A2B8A4BCC1089C26CC4</t>
  </si>
  <si>
    <t>935A8ACD4D654C1C99C9632E6D19D497</t>
  </si>
  <si>
    <t>81ACD10267E24BA1B64C60E3A1E23FDF</t>
  </si>
  <si>
    <t>2CDC808F87A641428BC6E682702A9BDE</t>
  </si>
  <si>
    <t>D8F75A95D9E94C3E9ACC049AA8C858B7</t>
  </si>
  <si>
    <t>2D0C2544E4394BB1B6D498E471089883</t>
  </si>
  <si>
    <t>81BD53A2C2304F20A96A5583ED148079</t>
  </si>
  <si>
    <t>F2FB51720DD74853B55E28B87035394F</t>
  </si>
  <si>
    <t>E626439B5E674977972CE19F1668A2CA</t>
  </si>
  <si>
    <t>EA001811D57747FC8FB1B809570C9F04</t>
  </si>
  <si>
    <t>D4CF7CBB593B47B6AA3BE100A7CC12E0</t>
  </si>
  <si>
    <t>98792B381CA048E79536AFC66F476853</t>
  </si>
  <si>
    <t>FA0EF7679E0642658F4EABD7545807A3</t>
  </si>
  <si>
    <t>7B2DB088AF9D4DB0A52609588289CD2F</t>
  </si>
  <si>
    <t>10B6753ECB524CABA7420B78AEF1A1E6</t>
  </si>
  <si>
    <t>73FD4D35CBCA4ACEBBFBAF241CD9DACD</t>
  </si>
  <si>
    <t>2034A382770E4CA0852F4FB192A15D72</t>
  </si>
  <si>
    <t>E4B9782F50DA4AFA838E8D1BB1D88A85</t>
  </si>
  <si>
    <t>C669C87148DA4D75B3F1516664FA4295</t>
  </si>
  <si>
    <t>36E694F0C1D04EF9AFEA31A7843AC05E</t>
  </si>
  <si>
    <t>C98D9A3EB98344BB8C34E7576E9D83FB</t>
  </si>
  <si>
    <t>73A5D175D11C40898EE67442E23FA61D</t>
  </si>
  <si>
    <t>5F710BCB97B84B8EAB7C4E1EC50D85B2</t>
  </si>
  <si>
    <t>CF44695D51144C9EA336FF254ADAF467</t>
  </si>
  <si>
    <t>7CDAD996F46B4C62BC38ECCFBD0CD587</t>
  </si>
  <si>
    <t>52FEBC84288C402DB72D43ACCA4A3430</t>
  </si>
  <si>
    <t>2B2C70492F7A4C9581E4206CF1187118</t>
  </si>
  <si>
    <t>897621E3921E43F8B11E914764AC5B3F</t>
  </si>
  <si>
    <t>E2EDE90526D242C0A83D4B5BECD6AC63</t>
  </si>
  <si>
    <t>D9CC34100AEB479EB80B0BA12A7804D8</t>
  </si>
  <si>
    <t>D19014DD085C406F87FD17312E13E6A9</t>
  </si>
  <si>
    <t>21A96F360A114D938921A1F7DFB329FD</t>
  </si>
  <si>
    <t>A5100D66D23D4E40B332A73786F5BE3B</t>
  </si>
  <si>
    <t>E25BEBA5DFD34A518E860E1FC2EA3F24</t>
  </si>
  <si>
    <t>ECECEA8A9C674FF795963C1D644D4E12</t>
  </si>
  <si>
    <t>DD84DF8012234366BFECF5BA0320632A</t>
  </si>
  <si>
    <t>44589027FD4841EF8DB99A3503904F16</t>
  </si>
  <si>
    <t>6A172D861F524BEABC248992C09BD9A6</t>
  </si>
  <si>
    <t>562D7DC4773C4BEDA487A895B3E8B647</t>
  </si>
  <si>
    <t>1D3D7CB44D2B4FDA911CED351C4471D6</t>
  </si>
  <si>
    <t>19A0FF5FC9AC485E88A7CF4C4DC9B8E8</t>
  </si>
  <si>
    <t>9770FC31D1254BBBA1892777651D1772</t>
  </si>
  <si>
    <t>5E6F1EDA6B9C4B368C14395CD3BBD4AD</t>
  </si>
  <si>
    <t>79C17058C20247FE97552998D340EE35</t>
  </si>
  <si>
    <t>DA02C9F96D0A4806BF0DAF3DBCD7F7F6</t>
  </si>
  <si>
    <t>805ADCCD5F684AEDBBE8A5ABD4A50524</t>
  </si>
  <si>
    <t>871786CDA16A4F75A9B54DEB2D957A18</t>
  </si>
  <si>
    <t>11C79E324EA344A6A653BA699152D94E</t>
  </si>
  <si>
    <t>9AAAAEF9F65D42079E9AA69B5AEAF8D2</t>
  </si>
  <si>
    <t>19FB57AA8BA149019540D28AFF5D3C43</t>
  </si>
  <si>
    <t>58D819CEF2F54D01B8C5C6EBF62F60B2</t>
  </si>
  <si>
    <t>B4BC7A698359482E8913EBA4D8C755B1</t>
  </si>
  <si>
    <t>D35CCE54FE45421095FCF78BCEAD7257</t>
  </si>
  <si>
    <t>163B5AC350B647A8AB725C62FD654C08</t>
  </si>
  <si>
    <t>F1C0CE09DCB54DA39AE5A8510D85A6A9</t>
  </si>
  <si>
    <t>0C80ACD8EB064F4AB90B249141B73919</t>
  </si>
  <si>
    <t>575CB8953D9342AFA433E87B8DD02BC8</t>
  </si>
  <si>
    <t>C82B14D8594847AABE289AA8A556C067</t>
  </si>
  <si>
    <t>13D9B1636D2245E48E1926B476B33AE3</t>
  </si>
  <si>
    <t>C90CA205D30E4552B239ADFEBD05E8B0</t>
  </si>
  <si>
    <t>A9DC1F879A29450CB3E4BE618C4A4D77</t>
  </si>
  <si>
    <t>E7CDB8989CD94261BF39319FA97254B5</t>
  </si>
  <si>
    <t>42255E964A9B488BB1053980D45B454D</t>
  </si>
  <si>
    <t>6AC7914E107A46D0885104CA05F064D2</t>
  </si>
  <si>
    <t>4FBF1AACC5904D0CA873C695A8B52A2B</t>
  </si>
  <si>
    <t>0CDE54C76AB643C69CDD0D43366410E6</t>
  </si>
  <si>
    <t>A202B5970D2B4317BACB5F36FCA68BD9</t>
  </si>
  <si>
    <t>C4C28ABD02EB4BE1A8ECFE0C8086664D</t>
  </si>
  <si>
    <t>D03896F79CF64B59BB16777CB33E72BF</t>
  </si>
  <si>
    <t>1CD03CAEF3D548A890821276DE60CA8A</t>
  </si>
  <si>
    <t>C39BC57FA0164954A969FBD975BEE365</t>
  </si>
  <si>
    <t>B7046AA882154BDE807324EF0F454037</t>
  </si>
  <si>
    <t>78FDCF3E5C6F441ABBE87757FF07F4E8</t>
  </si>
  <si>
    <t>24267AD31A3040578991C23FEAAE860B</t>
  </si>
  <si>
    <t>9C8C74324D77400CA78F0ECA06138FB0</t>
  </si>
  <si>
    <t>EC55A518B306406C83073FA1BC50DE90</t>
  </si>
  <si>
    <t>6A6C2B698E1249578426F25F684EEAA5</t>
  </si>
  <si>
    <t>8D42BEE297B04577BEB714251B8DE518</t>
  </si>
  <si>
    <t>00D6B85877C04CAFA5F131A8663A7724</t>
  </si>
  <si>
    <t>0B6A56BB31704F2A93F6EB46A566BA04</t>
  </si>
  <si>
    <t>68790E50CC76488FA2946535BFF7A7BA</t>
  </si>
  <si>
    <t>642A6A00453A4846A5EABB92BB528DC6</t>
  </si>
  <si>
    <t>3B565B5012794869A6031D83F391C8BB</t>
  </si>
  <si>
    <t>34538A63AC204666B73A271049C891BE</t>
  </si>
  <si>
    <t>CC1AE742D9074B889742D5E56F664CE2</t>
  </si>
  <si>
    <t>F4C0B45CD1C645C5AD63C4A4FC784544</t>
  </si>
  <si>
    <t>0E8205EB80994CCCB7675DF67FE18FA6</t>
  </si>
  <si>
    <t>18492801768E41C59A816C0426EE0124</t>
  </si>
  <si>
    <t>EFE713A4A04D49D7AF229147C60A4BB4</t>
  </si>
  <si>
    <t>C0F33EC202CE499DAC8E17B8311D288D</t>
  </si>
  <si>
    <t>FC9A2CC214C44CA4A52C2AA0523DA4B6</t>
  </si>
  <si>
    <t>5B2B3C8855C64A64B35CEE59E4758DA7</t>
  </si>
  <si>
    <t>503AF1F7298B49C6858B1C4CA785DBBB</t>
  </si>
  <si>
    <t>5FE48D87BAF74A72AF9BF27A105B5E33</t>
  </si>
  <si>
    <t>ADAEBA3382BD4167A0143DEEA1D4CE8D</t>
  </si>
  <si>
    <t>A6EED9CA630049E1A6756118C769ED1A</t>
  </si>
  <si>
    <t>CD8AFDCD80AB404DAFB5C86BAB704719</t>
  </si>
  <si>
    <t>712F4DC4E3FE4F9382EF904E8BA86068</t>
  </si>
  <si>
    <t>0190E3A94C50495482AC108FF42FB0B7</t>
  </si>
  <si>
    <t>F2B326DB13AE4D8EB1217E7993868E87</t>
  </si>
  <si>
    <t>E0E011FC308E4F5DAE0A04BA096DF4DE</t>
  </si>
  <si>
    <t>78ECFA545EBF4B3AB59C574022DA3CE8</t>
  </si>
  <si>
    <t>07C8A7D723234373A6A371BFF25FA9E2</t>
  </si>
  <si>
    <t>29C9398C68554E5A901214C585CC5495</t>
  </si>
  <si>
    <t>5862C5F8CFA4409B80C2EB094271F8E8</t>
  </si>
  <si>
    <t>E82B498FB6524344BBE50CD084C85149</t>
  </si>
  <si>
    <t>2D7C588993E14E61AF083C749FC75B1D</t>
  </si>
  <si>
    <t>32C8A07AF2F9471899FBA605C728BACB</t>
  </si>
  <si>
    <t>6C8C038002E84F1FAEA49B0EDD2447A4</t>
  </si>
  <si>
    <t>88C7277F78314AB98040B9D1FC430951</t>
  </si>
  <si>
    <t>DEF5E8A7BBEA467887006FE56B4E4925</t>
  </si>
  <si>
    <t>895D94AC7CE2460CACEC728D188874A8</t>
  </si>
  <si>
    <t>163D2788CC4E47DBA9433E48F7E3C568</t>
  </si>
  <si>
    <t>7BECFABAF340465AA8F3D451678CA1EA</t>
  </si>
  <si>
    <t>2BEB1CFC42734C6981BF60E5408D3777</t>
  </si>
  <si>
    <t>FA996CD5101E43E18DAFE95B78225131</t>
  </si>
  <si>
    <t>D47CEA4C16674E42A599C980DAF1D8E6</t>
  </si>
  <si>
    <t>FE95B1E48AEF4CCDB7D2D106AC541A05</t>
  </si>
  <si>
    <t>558F48680DD34302A7C79CE6D57EFD49</t>
  </si>
  <si>
    <t>19B7DE4503E64C7FA596818E971E6E02</t>
  </si>
  <si>
    <t>EF9E18EF084248FF8E890EF8B180BE40</t>
  </si>
  <si>
    <t>DD8DE686C1E44ACDBBA49D59A024347D</t>
  </si>
  <si>
    <t>C2F6D79448644156AB8ACBD97648A5C8</t>
  </si>
  <si>
    <t>294F5A1E20464C73BF1DE90EC698274B</t>
  </si>
  <si>
    <t>50FD42380B944946A63C5938BE16B967</t>
  </si>
  <si>
    <t>2377942BD4D3486CA621734812272AC6</t>
  </si>
  <si>
    <t>751CB0B346544A3DB7DB5DCD547F699E</t>
  </si>
  <si>
    <t>CCE2EF502BD94EE383EFF613F3CFE825</t>
  </si>
  <si>
    <t>8D97D689A300485EB905652003A3B7E4</t>
  </si>
  <si>
    <t>1E385ECF5CDE4D5B978CDC3E5A74A596</t>
  </si>
  <si>
    <t>2B40939C136B4030A21EDCD849E93AC1</t>
  </si>
  <si>
    <t>A15EDBDAD8424D1B8D25E9581BA50E1E</t>
  </si>
  <si>
    <t>E6434EFAAF4443AD8862207AE287C661</t>
  </si>
  <si>
    <t>3FCBDD5069A54351B46DB71E7DC48EC8</t>
  </si>
  <si>
    <t>3E35418791DA4AA486E1DBF7154D56CF</t>
  </si>
  <si>
    <t>6BBA23C8B04647F3A96ED87CA1A6FD0B</t>
  </si>
  <si>
    <t>BC95C7B73A714A3886164270E7CF45F7</t>
  </si>
  <si>
    <t>9CC545800E6A46DDB4D8DA3C749768AA</t>
  </si>
  <si>
    <t>8433F0D5FF494217BB83AA2E6468C51F</t>
  </si>
  <si>
    <t>6E834260DBE041018E7643FBCE6A7DDE</t>
  </si>
  <si>
    <t>13D0A8B672B14B1D96A04195D6AC4B2B</t>
  </si>
  <si>
    <t>5E0631F2405E413E9AD88453E1AFE67F</t>
  </si>
  <si>
    <t>5B63741A72B34B51B84A9C2519710DB7</t>
  </si>
  <si>
    <t>C7666B909FDD4131BA6865BE827C08ED</t>
  </si>
  <si>
    <t>282D923051E64A81885A39F824AAFE72</t>
  </si>
  <si>
    <t>DD6F781F91034C3884BC6ACC9C3303BD</t>
  </si>
  <si>
    <t>B2A9EDEB7E0744B08408E2C0249F544F</t>
  </si>
  <si>
    <t>F4E74D17C24041F0A972F42C307F979D</t>
  </si>
  <si>
    <t>94C57FA84D6D4AA780218CA5C1648F44</t>
  </si>
  <si>
    <t>32086DE1ADFD41A8A2812987138EB495</t>
  </si>
  <si>
    <t>7980346A76D645A191FCD8A307392572</t>
  </si>
  <si>
    <t>D74A35B0C1184D71AB09B527713E1ACD</t>
  </si>
  <si>
    <t>E5801898878E445E92F91D795F691B72</t>
  </si>
  <si>
    <t>720B9BB4830D430C9EAA3412493E403A</t>
  </si>
  <si>
    <t>958CF5181D93405BB967DFA58F4D856F</t>
  </si>
  <si>
    <t>B1A4EE9055E64971BEE2DE424C664CC2</t>
  </si>
  <si>
    <t>8EBE7E4E11AE42B3BF2E28220E5A37ED</t>
  </si>
  <si>
    <t>2CA7C0E86B324B3AB61B0E0BADF6AF14</t>
  </si>
  <si>
    <t>D47D62FD740D4EE2B64FA1E0214E6BB1</t>
  </si>
  <si>
    <t>F1759A83C7404A2E8EA49586C02E9E15</t>
  </si>
  <si>
    <t>6F17E6B8C930402F92AF82898D1679D5</t>
  </si>
  <si>
    <t>F1B628B83858476AAD5B28AF999E5EBA</t>
  </si>
  <si>
    <t>7E34ED8C347C4E3D82692D1494E64924</t>
  </si>
  <si>
    <t>CE2D7D21519642E8A7DF7EFEB6E56E5A</t>
  </si>
  <si>
    <t>96E0DDD830FD4A0B81B6765D56EB8AC3</t>
  </si>
  <si>
    <t>E3DD0322F9774CD48B235E4452E07B91</t>
  </si>
  <si>
    <t>E3A38B6537D5486EAD17C6CA0ED56B1C</t>
  </si>
  <si>
    <t>D4B5624C9C164E4186A20E8BF326D0C9</t>
  </si>
  <si>
    <t>A3814086495C46D18C53F39B8F193A23</t>
  </si>
  <si>
    <t>3AD9A6FE1B5F4E80B5907BF37489CA71</t>
  </si>
  <si>
    <t>8280FA02BBE9486FAF6547DCB5E51620</t>
  </si>
  <si>
    <t>CB5C858EC0414FC7882216C42B97ADA3</t>
  </si>
  <si>
    <t>794CDD6B56F74BDBBF4081D57692303E</t>
  </si>
  <si>
    <t>E70654EA354D4BBDB26569042D41D38B</t>
  </si>
  <si>
    <t>011251CAEB3242D89F15D8BE44B7E6C0</t>
  </si>
  <si>
    <t>5A2025F591134D0BB004321F48554A8B</t>
  </si>
  <si>
    <t>D7743BAF786D4194B868E6B315A852C6</t>
  </si>
  <si>
    <t>769EEC021B2041318AF3A2CB954B256A</t>
  </si>
  <si>
    <t>250CB85421AE47478D5F4CF1355FB767</t>
  </si>
  <si>
    <t>698C65C2618940169D974A9774AF9D96</t>
  </si>
  <si>
    <t>B5934A84132042EDB85130DD07213D8D</t>
  </si>
  <si>
    <t>8A0C4418C71347649506607622D028D0</t>
  </si>
  <si>
    <t>6E6B30E0DA0B46D58CA936F81A8D11CC</t>
  </si>
  <si>
    <t>84540CF513A04AD5902F0C2423F0C990</t>
  </si>
  <si>
    <t>8ECC024C5A544D5ABF42BB49B722F9C9</t>
  </si>
  <si>
    <t>5E91AA0493614AC9A9CB326F6255883B</t>
  </si>
  <si>
    <t>6F006F9F2D0742B99111A689E86C6FF9</t>
  </si>
  <si>
    <t>F7FC9F8001714B289239B804F890D154</t>
  </si>
  <si>
    <t>F689BAC80B6E470D9821F27431E95B5D</t>
  </si>
  <si>
    <t>BCBD55EBADCE40C993C2C40FB3C64FEE</t>
  </si>
  <si>
    <t>28639ACEF21B4155A26CA3587E39BDF3</t>
  </si>
  <si>
    <t>6C6AA90B7BD94B90A642E871EBBEDCAA</t>
  </si>
  <si>
    <t>30847EDA56D7444090462E1D5CCF7D1D</t>
  </si>
  <si>
    <t>115D802416944DB5B2A93D2C030A3258</t>
  </si>
  <si>
    <t>53AE0831033D480EB14336CF8429118E</t>
  </si>
  <si>
    <t>FCB34C1ED4A64292B2E6E0CC3E331A2B</t>
  </si>
  <si>
    <t>709AD92C8C7B46B69A5377DC5BD097E4</t>
  </si>
  <si>
    <t>56B52697EE41446E8851E76DFC920918</t>
  </si>
  <si>
    <t>60AE9BEA5E1E41E8BB4CD366B6546E1E</t>
  </si>
  <si>
    <t>B04A74A5B8034FC69EA1EBCFC8221878</t>
  </si>
  <si>
    <t>B08EBDA124604D6B9B60249EC3C0E3C8</t>
  </si>
  <si>
    <t>19875DD81C4F4BA4BD38DF02C82E0AF7</t>
  </si>
  <si>
    <t>7092980C1DEA46FCBB0421ACA4128F58</t>
  </si>
  <si>
    <t>761FCD1CC5AE4FEEB783CD8617EA2CC8</t>
  </si>
  <si>
    <t>D22F0738E1B2415EA06830951C4AC769</t>
  </si>
  <si>
    <t>05F91998625A4E43BE4629307F0DE7C5</t>
  </si>
  <si>
    <t>04D40C83F542417CA943C106FC332D77</t>
  </si>
  <si>
    <t>C456F247A86B40D79D13731B75C1E441</t>
  </si>
  <si>
    <t>EF6ED2F1CEA54266AD2973F0F9E33E93</t>
  </si>
  <si>
    <t>E302A088F8224D2C8132C7D1B3E3A223</t>
  </si>
  <si>
    <t>53FF8B313C354D0588F437C032242F3A</t>
  </si>
  <si>
    <t>A92F3FA92411432192D37293769EAEFD</t>
  </si>
  <si>
    <t>CD1CA668714C4B78992B278831B76331</t>
  </si>
  <si>
    <t>8CFC4605143C47D3AF51E5C5CB45328C</t>
  </si>
  <si>
    <t>634B9CD5DB0B49EEAE7B7245FE23908F</t>
  </si>
  <si>
    <t>A3A585DAC440431183897EC407797504</t>
  </si>
  <si>
    <t>1C1E7B40A47C49469779A6FC89C7C54D</t>
  </si>
  <si>
    <t>0F2CABA8B98748C4B2CDEB8D81D0A503</t>
  </si>
  <si>
    <t>1D3DE4EA666046E1B912A906991BF3E1</t>
  </si>
  <si>
    <t>18066A0FBAB442A3BEBD7D8E26FDC3C0</t>
  </si>
  <si>
    <t>6950616694384C7FBD70052D985C2BB5</t>
  </si>
  <si>
    <t>CDDF1857855B4938BE52E6F07B8E1FCC</t>
  </si>
  <si>
    <t>83EF26D46D45459F800D60070FBBC12A</t>
  </si>
  <si>
    <t>D6CBDF8EF5F44D77819D63C42E31C678</t>
  </si>
  <si>
    <t>E9329025BE0A4E358DA8210FCC4A0267</t>
  </si>
  <si>
    <t>9717765585D64164BEB173AAD46910C5</t>
  </si>
  <si>
    <t>9B3699D599624E9AB59F988B88F3D446</t>
  </si>
  <si>
    <t>FC77850FC65A42D09C2D31CE1B87157F</t>
  </si>
  <si>
    <t>411BEA2A016442B39AEBC75DC1B699A6</t>
  </si>
  <si>
    <t>A0FD0B637EC64F5F932C888D748FB205</t>
  </si>
  <si>
    <t>966E005EA49B4DBCB58F26ADF1588A0D</t>
  </si>
  <si>
    <t>D10495CFCB014FFBB76773EF076099AE</t>
  </si>
  <si>
    <t>1D5135BFED294AD793EE43351F32B7D6</t>
  </si>
  <si>
    <t>94F388DFDD11406D9CC551425D680249</t>
  </si>
  <si>
    <t>D36E78921B634F768ADC8CD385D88361</t>
  </si>
  <si>
    <t>FBBDE9FD4EED468CACB16E6134DC33F5</t>
  </si>
  <si>
    <t>BF927EE8C5074FB58CD7299525FCABF3</t>
  </si>
  <si>
    <t>5EEAD3E4C95440CA832AD2B1D4CDBE82</t>
  </si>
  <si>
    <t>4CADEF40FAF848B88FEBF3243FD8812F</t>
  </si>
  <si>
    <t>7398B39DC24048269BCBEB9B93ED47A1</t>
  </si>
  <si>
    <t>6ED26E885DAC486CA76DE32068CDFB3F</t>
  </si>
  <si>
    <t>BFEA5EA3310E4C268CB49235764E9064</t>
  </si>
  <si>
    <t>20BEBB9F85A44EAEA1B3F22ABC3B599B</t>
  </si>
  <si>
    <t>B27C2DC0D9AF499E8F5C454ED1D3BADC</t>
  </si>
  <si>
    <t>9A519CF42EF74B908E29EF5045841C1D</t>
  </si>
  <si>
    <t>127B641170534912B4F70681EA77BE03</t>
  </si>
  <si>
    <t>D9419518FB7D4A639D1D0CC9C7579820</t>
  </si>
  <si>
    <t>6B6769A74D2E48B28F01FE35B1D28736</t>
  </si>
  <si>
    <t>57DBC3E43FBA4328A93DFEB390807051</t>
  </si>
  <si>
    <t>5C8A6ECEBF494E26BD0C261A9BFC0023</t>
  </si>
  <si>
    <t>80E05CD4B36646F480069AF88DA2EC70</t>
  </si>
  <si>
    <t>B1EA2E46D04F45CFB8332AA317B26B80</t>
  </si>
  <si>
    <t>37E757FD3EE448579E529293894A3842</t>
  </si>
  <si>
    <t>D4267345ADA34E399E9B0D7B8EDC72ED</t>
  </si>
  <si>
    <t>60B5A50A482445F1840F1281AB36593B</t>
  </si>
  <si>
    <t>C9CD01BE3AD34C9AB1CAAF06263E6557</t>
  </si>
  <si>
    <t>4ED932ABCB3B4D598BE7C7BD103AF708</t>
  </si>
  <si>
    <t>A07ADF0E3BED4CAABCE24380D8637BCD</t>
  </si>
  <si>
    <t>BF36925A07D7413C8882DCAEA910EB12</t>
  </si>
  <si>
    <t>FD918EC26C664563A33C9D92C70153F1</t>
  </si>
  <si>
    <t>4BDF85967FF54B0E8113117EA038E46A</t>
  </si>
  <si>
    <t>077C8C79BDD845D09648FEE894402C26</t>
  </si>
  <si>
    <t>3C841D8FEAC5437AADF8DD0BEDA9C0B2</t>
  </si>
  <si>
    <t>D3DDF7BE7C664EEEBB91DBA4D6AC4006</t>
  </si>
  <si>
    <t>6E1F65D70EF74DF88CBB41162F1885B9</t>
  </si>
  <si>
    <t>4F1566191C5A4F889A45739F64C22FDA</t>
  </si>
  <si>
    <t>62D750855A124E8BA9229C1060DB3B9B</t>
  </si>
  <si>
    <t>5615BE9E281C400BBA34FE99F6424D35</t>
  </si>
  <si>
    <t>88ADEACAA03045AAAB6BE132223FB98D</t>
  </si>
  <si>
    <t>F998B7BAE6F949EC99539DFDB698A6F8</t>
  </si>
  <si>
    <t>17BB8D58416A4C88BD84EDAC4E82DD69</t>
  </si>
  <si>
    <t>0E8226DDF30A49F8BD8603E3F988779D</t>
  </si>
  <si>
    <t>436545BD1E28400C9405F22528A459EE</t>
  </si>
  <si>
    <t>6BAEA35112104EEAA4F7D774B7CCB9E7</t>
  </si>
  <si>
    <t>7EBEA6BA00894E2CAFEE22E35256E05F</t>
  </si>
  <si>
    <t>6F458AE39AC6486DBAB2EFAE86DA62A2</t>
  </si>
  <si>
    <t>07DD43F3671849DE9D1F8281BA6C0BD1</t>
  </si>
  <si>
    <t>12D1D626B23B4634AC4C4AEA98B1FD1A</t>
  </si>
  <si>
    <t>96A9F92B66E044DA8B157DF1A0202E56</t>
  </si>
  <si>
    <t>6F799F2D50DA473E9DA30B263FDCF193</t>
  </si>
  <si>
    <t>D1B7596BC00340BE8DDCD10986F39943</t>
  </si>
  <si>
    <t>1571624A33BC4EFFB56DDE01E0B96E35</t>
  </si>
  <si>
    <t>889CE22A623F4B70924518F55E15B46E</t>
  </si>
  <si>
    <t>AA0300E42C984B3A9E6BF9F97AB0B6A6</t>
  </si>
  <si>
    <t>B4F8D983745145FC841677F5C67CFDA2</t>
  </si>
  <si>
    <t>78E5407665A1449FBAC1E366BD54C7AF</t>
  </si>
  <si>
    <t>ED1B808139AA43F4BEB0606D95E7EB43</t>
  </si>
  <si>
    <t>BFFC53BC16EE4A4295BE527AC30F5273</t>
  </si>
  <si>
    <t>66F4DC2410EF4279A8E5CB4C26BC5647</t>
  </si>
  <si>
    <t>02243DCEEE8547DC99878FE795B738E2</t>
  </si>
  <si>
    <t>407EDD5FFF414508B21F4537AF406C8A</t>
  </si>
  <si>
    <t>CED951CFD8B34263B100C2D04982807F</t>
  </si>
  <si>
    <t>87DAF85C8CA94B7BA462BBF7BE188766</t>
  </si>
  <si>
    <t>D7C2458DC91947F3B9BBB27EFBEA69B2</t>
  </si>
  <si>
    <t>CBE215F56D26400FBF617BC309ADE556</t>
  </si>
  <si>
    <t>398C6706E6AF4862BA9052930C00C4D4</t>
  </si>
  <si>
    <t>2204664375B749DCB6C36633949CBFC7</t>
  </si>
  <si>
    <t>826F7BE24F3546EF8C4016EEC3056BF0</t>
  </si>
  <si>
    <t>506670A3331545D48AD36974009FF407</t>
  </si>
  <si>
    <t>A33041DFFBF74A2EB741FDFF2E74C457</t>
  </si>
  <si>
    <t>42D056E7DA6042E18FF96A2E503990E4</t>
  </si>
  <si>
    <t>C007BA9073E14221AE48158FCD9C5CFD</t>
  </si>
  <si>
    <t>4D73B72CCD4E4C2090672F1E9CE4AD6C</t>
  </si>
  <si>
    <t>4EC22BFC01B745BC9700F1283C2BDAF8</t>
  </si>
  <si>
    <t>122A64066EB24168ACBD1266AA8DC3A2</t>
  </si>
  <si>
    <t>3547008DD78F4301AC0C925CB4ED9DF7</t>
  </si>
  <si>
    <t>40B10503BB4945658F59D72B637F955E</t>
  </si>
  <si>
    <t>4BAA8A58AFDD42188AF8651E78329345</t>
  </si>
  <si>
    <t>FE0BBFC3B3AD477DBAA18A252FA29E1C</t>
  </si>
  <si>
    <t>E3CD9B01B8CD48A0B3605DFEB1AEC8F4</t>
  </si>
  <si>
    <t>DA56B1270BF64E7F9E2ABFDD157C8A68</t>
  </si>
  <si>
    <t>FF7662670A18404B9E930613C2C690A2</t>
  </si>
  <si>
    <t>BFD3E62C67A148EA8DDDBDCCAB31EE5D</t>
  </si>
  <si>
    <t>AC204B1F64744549B5E91FA944870CB3</t>
  </si>
  <si>
    <t>DDF9E0A0C95040548CFB265048A146C5</t>
  </si>
  <si>
    <t>F3611BDBF95C4D028B3A2A18F5F2091F</t>
  </si>
  <si>
    <t>967209DF2360442084947E9398E8C21E</t>
  </si>
  <si>
    <t>B5CE78AEB3A44BB7872DE142509A57FE</t>
  </si>
  <si>
    <t>1033117A9E37408FB6BD83B59C1180F9</t>
  </si>
  <si>
    <t>AF1618EC9B20422CB0AC1389BD575A9F</t>
  </si>
  <si>
    <t>469AAB32B8C541AFBA6E5785B85C0AB0</t>
  </si>
  <si>
    <t>C2BA23A365714C8ABE9C2B0417986BB5</t>
  </si>
  <si>
    <t>0B89E5F9727B487FA114ADE0BB60F5D0</t>
  </si>
  <si>
    <t>11A0821A7D084C619609DAD5721341B3</t>
  </si>
  <si>
    <t>FAED5334F62241BCBC4258EFE6F8B8B7</t>
  </si>
  <si>
    <t>D7DC49866E7A4F42BFB5F2B12E8365B7</t>
  </si>
  <si>
    <t>C31EF031B35C4214927FC5F0A0901B06</t>
  </si>
  <si>
    <t>9FC48FF4DAB84B59AD0C1DFBC1A4DA76</t>
  </si>
  <si>
    <t>953732DC0C364BB0874D61FD7038BA98</t>
  </si>
  <si>
    <t>CA5F67AF83174A3B97A94DBACC513595</t>
  </si>
  <si>
    <t>C0CC49FDF235490C9C8D1EBC1492AE2D</t>
  </si>
  <si>
    <t>BC2A1AE198DF4DCD94EC70907E76AD2F</t>
  </si>
  <si>
    <t>D3161D23FEE4408BA8FAB40AB4D923C0</t>
  </si>
  <si>
    <t>B61B2F18D6AD482EAA24DF44F3F75977</t>
  </si>
  <si>
    <t>BA4CA16BB77244739979277AC584071F</t>
  </si>
  <si>
    <t>29EB35BE516542E791495BE3941D9D8F</t>
  </si>
  <si>
    <t>3015D2A336F2452C90613E0379CFC3E1</t>
  </si>
  <si>
    <t>C443B599680F46829C936FDB7393D84C</t>
  </si>
  <si>
    <t>7458CBCF523A44FCA27CEE7ECFFA3A2F</t>
  </si>
  <si>
    <t>BA4ED2501762492AB02E3C1AA55FF753</t>
  </si>
  <si>
    <t>BD19DF81658247BAB9E2A704DCF87D94</t>
  </si>
  <si>
    <t>4FB872B47D74420D877122C057021771</t>
  </si>
  <si>
    <t>9F29E739367D49F6AADC6C5C9A549DDA</t>
  </si>
  <si>
    <t>85F74CC9367A4758A336D8184BFF799B</t>
  </si>
  <si>
    <t>DA0A7DF9CBC94854A403AFFAEBFC84CB</t>
  </si>
  <si>
    <t>7D38BC5E2B2D484DAA307668B9496EAB</t>
  </si>
  <si>
    <t>FAEB56250F0048A2834A255283580709</t>
  </si>
  <si>
    <t>B44122674C8C412899BC542DE9CF7746</t>
  </si>
  <si>
    <t>375F380DFFB64DD8A47CD7D3FE5B1630</t>
  </si>
  <si>
    <t>1CDEEE2061B8478EB00F488845B40630</t>
  </si>
  <si>
    <t>08F8D9E8BB1E4113A0E65B12D0E153A1</t>
  </si>
  <si>
    <t>CABA2F94FFC9485B81D1C42FEF94E229</t>
  </si>
  <si>
    <t>63FD7B62317B4B2FA0C34CCF9897FCAD</t>
  </si>
  <si>
    <t>25C4378A831F410E8B52166CAA4D20A2</t>
  </si>
  <si>
    <t>9607B5F614554E99929813BD59157587</t>
  </si>
  <si>
    <t>149D663851A24DFCB3055CD5B74D745D</t>
  </si>
  <si>
    <t>501678AEC54D49EBBAB8CDA5AB5DC666</t>
  </si>
  <si>
    <t>6BB0C8654CFB4CD48E81FF2757B120C2</t>
  </si>
  <si>
    <t>102AD9618D954B83B015AF8796DE410A</t>
  </si>
  <si>
    <t>B0031CB0A97D43F6B62D4A7B37C7FC8C</t>
  </si>
  <si>
    <t>SElist_[Kei]_JPN_4WD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</si>
</sst>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19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name val="Meiryo UI"/>
      <family val="3"/>
      <charset val="128"/>
    </font>
    <font>
      <sz val="11"/>
      <name val="ＭＳ Ｐゴシック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1"/>
      <color theme="10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9"/>
      <color theme="1"/>
      <name val="Meiryo UI"/>
      <family val="3"/>
      <charset val="128"/>
    </font>
    <font>
      <sz val="9"/>
      <color rgb="FF000000"/>
      <name val="Meiryo UI"/>
      <family val="3"/>
      <charset val="128"/>
    </font>
    <font>
      <sz val="9"/>
      <name val="Meiryo UI"/>
      <family val="3"/>
      <charset val="128"/>
    </font>
    <font>
      <sz val="9"/>
      <color rgb="FF4F81BD"/>
      <name val="Meiryo UI"/>
      <family val="3"/>
      <charset val="128"/>
    </font>
    <font>
      <sz val="9"/>
      <color rgb="FFFF0000"/>
      <name val="Meiryo UI"/>
      <family val="3"/>
      <charset val="128"/>
    </font>
    <font>
      <u/>
      <sz val="11"/>
      <color theme="10"/>
      <name val="Meiryo UI"/>
      <family val="2"/>
      <charset val="128"/>
    </font>
    <font>
      <b/>
      <sz val="9"/>
      <color rgb="FF0000FF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11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4D0C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medium">
        <color indexed="64"/>
      </bottom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medium">
        <color indexed="64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18">
    <xf numFmtId="0" fontId="0" fillId="0" borderId="0"/>
    <xf numFmtId="0" fontId="4" fillId="0" borderId="0"/>
    <xf numFmtId="0" fontId="1" fillId="0" borderId="0">
      <alignment vertical="center"/>
    </xf>
    <xf numFmtId="176" fontId="1" fillId="0" borderId="0">
      <alignment vertical="center"/>
    </xf>
    <xf numFmtId="9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7" fillId="0" borderId="0"/>
    <xf numFmtId="0" fontId="1" fillId="0" borderId="0">
      <alignment vertical="center"/>
    </xf>
    <xf numFmtId="176" fontId="1" fillId="0" borderId="0">
      <alignment vertical="center"/>
    </xf>
    <xf numFmtId="9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14" fillId="0" borderId="0">
      <alignment vertical="center"/>
    </xf>
  </cellStyleXfs>
  <cellXfs count="131">
    <xf numFmtId="0" fontId="0" fillId="0" borderId="0" xfId="0"/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top"/>
    </xf>
    <xf numFmtId="0" fontId="3" fillId="0" borderId="0" xfId="0" applyFont="1"/>
    <xf numFmtId="0" fontId="3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vertical="center"/>
    </xf>
    <xf numFmtId="0" fontId="6" fillId="0" borderId="5" xfId="0" applyFont="1" applyBorder="1" applyAlignment="1">
      <alignment vertical="center"/>
    </xf>
    <xf numFmtId="0" fontId="6" fillId="2" borderId="5" xfId="0" applyFont="1" applyFill="1" applyBorder="1" applyAlignment="1">
      <alignment vertical="center"/>
    </xf>
    <xf numFmtId="0" fontId="6" fillId="3" borderId="2" xfId="0" applyFont="1" applyFill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4" borderId="2" xfId="0" applyFont="1" applyFill="1" applyBorder="1" applyAlignment="1">
      <alignment vertical="center"/>
    </xf>
    <xf numFmtId="0" fontId="6" fillId="4" borderId="3" xfId="0" applyFont="1" applyFill="1" applyBorder="1" applyAlignment="1">
      <alignment vertical="center"/>
    </xf>
    <xf numFmtId="0" fontId="7" fillId="0" borderId="0" xfId="8"/>
    <xf numFmtId="0" fontId="6" fillId="4" borderId="19" xfId="0" applyFont="1" applyFill="1" applyBorder="1"/>
    <xf numFmtId="0" fontId="6" fillId="3" borderId="19" xfId="0" applyFont="1" applyFill="1" applyBorder="1"/>
    <xf numFmtId="0" fontId="6" fillId="4" borderId="20" xfId="0" applyFont="1" applyFill="1" applyBorder="1"/>
    <xf numFmtId="0" fontId="6" fillId="4" borderId="21" xfId="0" applyFont="1" applyFill="1" applyBorder="1"/>
    <xf numFmtId="0" fontId="6" fillId="3" borderId="21" xfId="0" applyFont="1" applyFill="1" applyBorder="1"/>
    <xf numFmtId="0" fontId="6" fillId="4" borderId="22" xfId="0" applyFont="1" applyFill="1" applyBorder="1"/>
    <xf numFmtId="0" fontId="6" fillId="4" borderId="25" xfId="0" applyFont="1" applyFill="1" applyBorder="1"/>
    <xf numFmtId="0" fontId="6" fillId="4" borderId="26" xfId="0" applyFont="1" applyFill="1" applyBorder="1"/>
    <xf numFmtId="0" fontId="6" fillId="4" borderId="27" xfId="0" applyFont="1" applyFill="1" applyBorder="1"/>
    <xf numFmtId="0" fontId="6" fillId="4" borderId="28" xfId="0" applyFont="1" applyFill="1" applyBorder="1"/>
    <xf numFmtId="0" fontId="6" fillId="4" borderId="23" xfId="0" applyFont="1" applyFill="1" applyBorder="1"/>
    <xf numFmtId="0" fontId="6" fillId="4" borderId="24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3" xfId="0" applyFont="1" applyFill="1" applyBorder="1"/>
    <xf numFmtId="0" fontId="6" fillId="3" borderId="24" xfId="0" applyFont="1" applyFill="1" applyBorder="1"/>
    <xf numFmtId="0" fontId="6" fillId="3" borderId="27" xfId="0" applyFont="1" applyFill="1" applyBorder="1"/>
    <xf numFmtId="0" fontId="6" fillId="3" borderId="28" xfId="0" applyFont="1" applyFill="1" applyBorder="1"/>
    <xf numFmtId="0" fontId="3" fillId="0" borderId="15" xfId="0" applyFont="1" applyBorder="1" applyAlignment="1">
      <alignment horizontal="center" vertical="center"/>
    </xf>
    <xf numFmtId="0" fontId="0" fillId="0" borderId="0" xfId="0"/>
    <xf numFmtId="0" fontId="6" fillId="0" borderId="23" xfId="0" applyFont="1" applyBorder="1"/>
    <xf numFmtId="0" fontId="6" fillId="0" borderId="24" xfId="0" applyFont="1" applyBorder="1"/>
    <xf numFmtId="0" fontId="6" fillId="0" borderId="0" xfId="15" applyFont="1" applyAlignment="1">
      <alignment vertical="center"/>
    </xf>
    <xf numFmtId="0" fontId="9" fillId="0" borderId="0" xfId="15" applyFont="1" applyAlignment="1">
      <alignment horizontal="left" vertical="center"/>
    </xf>
    <xf numFmtId="0" fontId="10" fillId="0" borderId="0" xfId="15" applyFont="1" applyAlignment="1">
      <alignment horizontal="left" vertical="top"/>
    </xf>
    <xf numFmtId="0" fontId="11" fillId="0" borderId="0" xfId="15" applyFont="1" applyAlignment="1">
      <alignment horizontal="left" vertical="top"/>
    </xf>
    <xf numFmtId="0" fontId="12" fillId="0" borderId="0" xfId="15" applyFont="1" applyAlignment="1">
      <alignment horizontal="left" vertical="top"/>
    </xf>
    <xf numFmtId="0" fontId="0" fillId="0" borderId="0" xfId="15" applyFont="1" applyAlignment="1">
      <alignment vertical="center"/>
    </xf>
    <xf numFmtId="0" fontId="9" fillId="0" borderId="0" xfId="15" applyFont="1" applyAlignment="1">
      <alignment horizontal="left" vertical="top"/>
    </xf>
    <xf numFmtId="0" fontId="13" fillId="0" borderId="0" xfId="15" applyFont="1" applyAlignment="1">
      <alignment horizontal="left" vertical="top"/>
    </xf>
    <xf numFmtId="0" fontId="11" fillId="0" borderId="0" xfId="16" applyFont="1" applyAlignment="1">
      <alignment horizontal="left" vertical="center"/>
    </xf>
    <xf numFmtId="0" fontId="13" fillId="0" borderId="0" xfId="16" applyFont="1" applyAlignment="1">
      <alignment horizontal="left" vertical="center"/>
    </xf>
    <xf numFmtId="0" fontId="6" fillId="0" borderId="0" xfId="15" applyFont="1" applyAlignment="1">
      <alignment horizontal="left" vertical="top"/>
    </xf>
    <xf numFmtId="0" fontId="15" fillId="0" borderId="0" xfId="15" applyFont="1" applyAlignment="1">
      <alignment horizontal="left" vertical="top"/>
    </xf>
    <xf numFmtId="0" fontId="14" fillId="0" borderId="0" xfId="17" applyAlignment="1">
      <alignment vertical="top" wrapText="1"/>
    </xf>
    <xf numFmtId="3" fontId="6" fillId="0" borderId="0" xfId="15" applyNumberFormat="1" applyFont="1" applyAlignment="1">
      <alignment horizontal="center" vertical="center"/>
    </xf>
    <xf numFmtId="0" fontId="7" fillId="0" borderId="0" xfId="8" applyAlignment="1">
      <alignment vertical="top" wrapText="1"/>
    </xf>
    <xf numFmtId="0" fontId="11" fillId="0" borderId="0" xfId="15" applyFont="1" applyAlignment="1">
      <alignment horizontal="left" vertical="center"/>
    </xf>
    <xf numFmtId="0" fontId="0" fillId="0" borderId="0" xfId="15" applyFont="1" applyAlignment="1">
      <alignment horizontal="center" vertical="center"/>
    </xf>
    <xf numFmtId="0" fontId="6" fillId="0" borderId="0" xfId="15" applyFont="1" applyAlignment="1">
      <alignment horizontal="center" vertical="top"/>
    </xf>
    <xf numFmtId="0" fontId="9" fillId="0" borderId="0" xfId="15" applyFont="1" applyAlignment="1">
      <alignment horizontal="left" vertical="center" wrapText="1"/>
    </xf>
    <xf numFmtId="0" fontId="6" fillId="0" borderId="0" xfId="15" applyFont="1" applyAlignment="1">
      <alignment horizontal="center" vertical="top" wrapText="1"/>
    </xf>
    <xf numFmtId="0" fontId="5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16" fillId="0" borderId="0" xfId="15" applyFont="1" applyAlignment="1">
      <alignment horizontal="center" vertical="center"/>
    </xf>
    <xf numFmtId="0" fontId="5" fillId="0" borderId="13" xfId="0" applyFont="1" applyBorder="1" applyAlignment="1">
      <alignment horizontal="center" vertical="center" wrapText="1"/>
    </xf>
    <xf numFmtId="0" fontId="6" fillId="0" borderId="31" xfId="0" applyFont="1" applyBorder="1"/>
    <xf numFmtId="0" fontId="6" fillId="0" borderId="0" xfId="0" applyFont="1"/>
    <xf numFmtId="0" fontId="6" fillId="8" borderId="32" xfId="0" applyFont="1" applyFill="1" applyBorder="1"/>
    <xf numFmtId="0" fontId="6" fillId="0" borderId="33" xfId="0" applyFont="1" applyBorder="1"/>
    <xf numFmtId="0" fontId="6" fillId="0" borderId="34" xfId="0" applyFont="1" applyBorder="1"/>
    <xf numFmtId="0" fontId="6" fillId="8" borderId="35" xfId="0" applyFont="1" applyFill="1" applyBorder="1"/>
    <xf numFmtId="0" fontId="6" fillId="8" borderId="36" xfId="0" applyFont="1" applyFill="1" applyBorder="1"/>
    <xf numFmtId="0" fontId="6" fillId="8" borderId="30" xfId="0" applyFont="1" applyFill="1" applyBorder="1"/>
    <xf numFmtId="0" fontId="6" fillId="8" borderId="37" xfId="0" applyFont="1" applyFill="1" applyBorder="1"/>
    <xf numFmtId="0" fontId="6" fillId="8" borderId="38" xfId="0" applyFont="1" applyFill="1" applyBorder="1"/>
    <xf numFmtId="0" fontId="6" fillId="8" borderId="39" xfId="0" applyFont="1" applyFill="1" applyBorder="1"/>
    <xf numFmtId="0" fontId="6" fillId="8" borderId="40" xfId="0" applyFont="1" applyFill="1" applyBorder="1"/>
    <xf numFmtId="0" fontId="6" fillId="8" borderId="41" xfId="0" applyFont="1" applyFill="1" applyBorder="1"/>
    <xf numFmtId="0" fontId="6" fillId="8" borderId="42" xfId="0" applyFont="1" applyFill="1" applyBorder="1"/>
    <xf numFmtId="0" fontId="5" fillId="0" borderId="11" xfId="0" applyFont="1" applyBorder="1" applyAlignment="1">
      <alignment horizontal="center" vertical="center" wrapText="1"/>
    </xf>
    <xf numFmtId="0" fontId="6" fillId="8" borderId="43" xfId="0" applyFont="1" applyFill="1" applyBorder="1"/>
    <xf numFmtId="0" fontId="6" fillId="8" borderId="44" xfId="0" applyFont="1" applyFill="1" applyBorder="1"/>
    <xf numFmtId="0" fontId="6" fillId="3" borderId="45" xfId="0" applyFont="1" applyFill="1" applyBorder="1"/>
    <xf numFmtId="0" fontId="6" fillId="3" borderId="46" xfId="0" applyFont="1" applyFill="1" applyBorder="1"/>
    <xf numFmtId="0" fontId="6" fillId="4" borderId="47" xfId="0" applyFont="1" applyFill="1" applyBorder="1"/>
    <xf numFmtId="0" fontId="6" fillId="3" borderId="47" xfId="0" applyFont="1" applyFill="1" applyBorder="1"/>
    <xf numFmtId="0" fontId="6" fillId="4" borderId="48" xfId="0" applyFont="1" applyFill="1" applyBorder="1"/>
    <xf numFmtId="0" fontId="17" fillId="4" borderId="46" xfId="8" applyFont="1" applyFill="1" applyBorder="1"/>
    <xf numFmtId="0" fontId="17" fillId="4" borderId="25" xfId="8" applyFont="1" applyFill="1" applyBorder="1"/>
    <xf numFmtId="0" fontId="6" fillId="4" borderId="49" xfId="0" applyFont="1" applyFill="1" applyBorder="1"/>
    <xf numFmtId="0" fontId="6" fillId="4" borderId="46" xfId="0" applyFont="1" applyFill="1" applyBorder="1"/>
    <xf numFmtId="0" fontId="6" fillId="3" borderId="49" xfId="0" applyFont="1" applyFill="1" applyBorder="1"/>
    <xf numFmtId="0" fontId="6" fillId="3" borderId="25" xfId="0" applyFont="1" applyFill="1" applyBorder="1" applyAlignment="1">
      <alignment wrapText="1"/>
    </xf>
    <xf numFmtId="0" fontId="6" fillId="0" borderId="0" xfId="0" applyFont="1" applyAlignment="1">
      <alignment horizontal="center" vertical="center"/>
    </xf>
    <xf numFmtId="0" fontId="3" fillId="7" borderId="50" xfId="7" applyFont="1" applyFill="1" applyBorder="1" applyAlignment="1">
      <alignment horizontal="center" vertical="top" wrapText="1"/>
    </xf>
    <xf numFmtId="0" fontId="3" fillId="0" borderId="29" xfId="7" applyFont="1" applyBorder="1" applyAlignment="1">
      <alignment horizontal="center" vertical="top"/>
    </xf>
    <xf numFmtId="0" fontId="3" fillId="9" borderId="29" xfId="7" applyFont="1" applyFill="1" applyBorder="1" applyAlignment="1">
      <alignment horizontal="center" vertical="top"/>
    </xf>
    <xf numFmtId="0" fontId="6" fillId="0" borderId="29" xfId="7" applyFont="1" applyBorder="1" applyAlignment="1">
      <alignment horizontal="center" vertical="center"/>
    </xf>
    <xf numFmtId="0" fontId="18" fillId="6" borderId="51" xfId="7" applyFont="1" applyFill="1" applyBorder="1" applyAlignment="1">
      <alignment vertical="top"/>
    </xf>
    <xf numFmtId="0" fontId="3" fillId="6" borderId="50" xfId="7" applyFont="1" applyFill="1" applyBorder="1" applyAlignment="1">
      <alignment horizontal="center" vertical="top" wrapText="1"/>
    </xf>
    <xf numFmtId="0" fontId="3" fillId="6" borderId="50" xfId="7" applyFont="1" applyFill="1" applyBorder="1" applyAlignment="1">
      <alignment horizontal="center" vertical="top"/>
    </xf>
    <xf numFmtId="0" fontId="3" fillId="0" borderId="50" xfId="0" applyFont="1" applyBorder="1" applyAlignment="1">
      <alignment horizontal="center" vertical="top" wrapText="1"/>
    </xf>
    <xf numFmtId="0" fontId="6" fillId="0" borderId="29" xfId="0" applyFont="1" applyBorder="1" applyAlignment="1">
      <alignment vertical="center"/>
    </xf>
    <xf numFmtId="0" fontId="6" fillId="9" borderId="29" xfId="0" applyFont="1" applyFill="1" applyBorder="1" applyAlignment="1">
      <alignment vertical="center"/>
    </xf>
    <xf numFmtId="0" fontId="6" fillId="0" borderId="29" xfId="2" applyFont="1" applyBorder="1" applyAlignment="1">
      <alignment horizontal="left" vertical="top"/>
    </xf>
    <xf numFmtId="0" fontId="6" fillId="0" borderId="0" xfId="15" applyFont="1" applyAlignment="1">
      <alignment horizontal="center" vertical="center"/>
    </xf>
    <xf numFmtId="0" fontId="3" fillId="3" borderId="25" xfId="0" applyFont="1" applyFill="1" applyBorder="1"/>
    <xf numFmtId="0" fontId="3" fillId="3" borderId="26" xfId="0" applyFont="1" applyFill="1" applyBorder="1"/>
    <xf numFmtId="0" fontId="6" fillId="0" borderId="49" xfId="0" applyFont="1" applyFill="1" applyBorder="1"/>
    <xf numFmtId="0" fontId="6" fillId="0" borderId="23" xfId="0" applyFont="1" applyFill="1" applyBorder="1"/>
    <xf numFmtId="0" fontId="6" fillId="0" borderId="24" xfId="0" applyFont="1" applyFill="1" applyBorder="1"/>
    <xf numFmtId="0" fontId="6" fillId="0" borderId="0" xfId="15" applyFont="1" applyAlignment="1">
      <alignment horizontal="center" vertical="center"/>
    </xf>
    <xf numFmtId="0" fontId="0" fillId="0" borderId="0" xfId="0"/>
    <xf numFmtId="0" fontId="7" fillId="5" borderId="5" xfId="8" applyFill="1" applyBorder="1" applyAlignment="1">
      <alignment vertical="center"/>
    </xf>
    <xf numFmtId="0" fontId="0" fillId="0" borderId="8" xfId="0" applyBorder="1"/>
    <xf numFmtId="0" fontId="0" fillId="0" borderId="6" xfId="0" applyBorder="1"/>
    <xf numFmtId="0" fontId="6" fillId="5" borderId="2" xfId="0" applyFont="1" applyFill="1" applyBorder="1" applyAlignment="1">
      <alignment vertical="center"/>
    </xf>
    <xf numFmtId="0" fontId="0" fillId="0" borderId="9" xfId="0" applyBorder="1"/>
    <xf numFmtId="0" fontId="0" fillId="0" borderId="7" xfId="0" applyBorder="1"/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0" fillId="0" borderId="10" xfId="0" applyBorder="1"/>
    <xf numFmtId="0" fontId="0" fillId="0" borderId="4" xfId="0" applyBorder="1"/>
  </cellXfs>
  <cellStyles count="18">
    <cellStyle name="Hyperlink" xfId="17" xr:uid="{00000000-0005-0000-0000-000011000000}"/>
    <cellStyle name="Normal 2 2" xfId="6" xr:uid="{00000000-0005-0000-0000-000006000000}"/>
    <cellStyle name="Normal 2 2 2" xfId="13" xr:uid="{00000000-0005-0000-0000-00000D000000}"/>
    <cellStyle name="パーセント 2" xfId="4" xr:uid="{00000000-0005-0000-0000-000004000000}"/>
    <cellStyle name="パーセント 2 2" xfId="11" xr:uid="{00000000-0005-0000-0000-00000B000000}"/>
    <cellStyle name="ハイパーリンク" xfId="8" builtinId="8"/>
    <cellStyle name="通貨 2" xfId="3" xr:uid="{00000000-0005-0000-0000-000003000000}"/>
    <cellStyle name="通貨 2 2" xfId="10" xr:uid="{00000000-0005-0000-0000-00000A000000}"/>
    <cellStyle name="標準" xfId="0" builtinId="0"/>
    <cellStyle name="標準 12" xfId="16" xr:uid="{00000000-0005-0000-0000-000010000000}"/>
    <cellStyle name="標準 2" xfId="7" xr:uid="{00000000-0005-0000-0000-000007000000}"/>
    <cellStyle name="標準 2 2" xfId="1" xr:uid="{00000000-0005-0000-0000-000001000000}"/>
    <cellStyle name="標準 2 3" xfId="14" xr:uid="{00000000-0005-0000-0000-00000E000000}"/>
    <cellStyle name="標準 2 3 2" xfId="15" xr:uid="{00000000-0005-0000-0000-00000F000000}"/>
    <cellStyle name="標準 3" xfId="2" xr:uid="{00000000-0005-0000-0000-000002000000}"/>
    <cellStyle name="標準 3 2" xfId="5" xr:uid="{00000000-0005-0000-0000-000005000000}"/>
    <cellStyle name="標準 3 2 2" xfId="12" xr:uid="{00000000-0005-0000-0000-00000C000000}"/>
    <cellStyle name="標準 3 3" xfId="9" xr:uid="{00000000-0005-0000-0000-000009000000}"/>
  </cellStyles>
  <dxfs count="5">
    <dxf>
      <fill>
        <patternFill>
          <bgColor rgb="FFBDD7EE"/>
        </patternFill>
      </fill>
    </dxf>
    <dxf>
      <fill>
        <patternFill>
          <bgColor rgb="FFBDD7EE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1</xdr:row>
      <xdr:rowOff>69850</xdr:rowOff>
    </xdr:from>
    <xdr:to>
      <xdr:col>10</xdr:col>
      <xdr:colOff>1152525</xdr:colOff>
      <xdr:row>3</xdr:row>
      <xdr:rowOff>9525</xdr:rowOff>
    </xdr:to>
    <xdr:pic macro="[0]!登録されている全体パラメータの取得_Click">
      <xdr:nvPicPr>
        <xdr:cNvPr id="8193" name="登録されている全体パラメータの取得">
          <a:extLst>
            <a:ext uri="{FF2B5EF4-FFF2-40B4-BE49-F238E27FC236}">
              <a16:creationId xmlns:a16="http://schemas.microsoft.com/office/drawing/2014/main" id="{564CABDE-4CFB-0131-1F12-D24D8840D02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3</xdr:row>
      <xdr:rowOff>76200</xdr:rowOff>
    </xdr:from>
    <xdr:to>
      <xdr:col>10</xdr:col>
      <xdr:colOff>1152525</xdr:colOff>
      <xdr:row>5</xdr:row>
      <xdr:rowOff>9525</xdr:rowOff>
    </xdr:to>
    <xdr:pic>
      <xdr:nvPicPr>
        <xdr:cNvPr id="8194" name="他部門からの前提の新規作成_更新">
          <a:extLst>
            <a:ext uri="{FF2B5EF4-FFF2-40B4-BE49-F238E27FC236}">
              <a16:creationId xmlns:a16="http://schemas.microsoft.com/office/drawing/2014/main" id="{83764023-7465-85D9-D331-1950517EC29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87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3</xdr:row>
      <xdr:rowOff>76200</xdr:rowOff>
    </xdr:from>
    <xdr:to>
      <xdr:col>10</xdr:col>
      <xdr:colOff>1149350</xdr:colOff>
      <xdr:row>5</xdr:row>
      <xdr:rowOff>6350</xdr:rowOff>
    </xdr:to>
    <xdr:pic>
      <xdr:nvPicPr>
        <xdr:cNvPr id="20483" name="他部門からの要求の新規作成_更新">
          <a:extLst>
            <a:ext uri="{FF2B5EF4-FFF2-40B4-BE49-F238E27FC236}">
              <a16:creationId xmlns:a16="http://schemas.microsoft.com/office/drawing/2014/main" id="{48CD0AFC-DDEE-9A13-51FE-91D9B655E8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87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1</xdr:row>
      <xdr:rowOff>69850</xdr:rowOff>
    </xdr:from>
    <xdr:to>
      <xdr:col>10</xdr:col>
      <xdr:colOff>1149350</xdr:colOff>
      <xdr:row>3</xdr:row>
      <xdr:rowOff>6350</xdr:rowOff>
    </xdr:to>
    <xdr:pic>
      <xdr:nvPicPr>
        <xdr:cNvPr id="20481" name="登録されている全体パラメータの取得">
          <a:extLst>
            <a:ext uri="{FF2B5EF4-FFF2-40B4-BE49-F238E27FC236}">
              <a16:creationId xmlns:a16="http://schemas.microsoft.com/office/drawing/2014/main" id="{955BF596-4EAC-2881-677F-440B0567903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1</xdr:row>
      <xdr:rowOff>69850</xdr:rowOff>
    </xdr:from>
    <xdr:to>
      <xdr:col>10</xdr:col>
      <xdr:colOff>1149350</xdr:colOff>
      <xdr:row>3</xdr:row>
      <xdr:rowOff>6350</xdr:rowOff>
    </xdr:to>
    <xdr:pic>
      <xdr:nvPicPr>
        <xdr:cNvPr id="14337" name="WPに登録されている前提の取得">
          <a:extLst>
            <a:ext uri="{FF2B5EF4-FFF2-40B4-BE49-F238E27FC236}">
              <a16:creationId xmlns:a16="http://schemas.microsoft.com/office/drawing/2014/main" id="{74E0BE76-151C-CEF5-194A-AD1E4CD6ABC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3</xdr:row>
      <xdr:rowOff>76200</xdr:rowOff>
    </xdr:from>
    <xdr:to>
      <xdr:col>10</xdr:col>
      <xdr:colOff>1149350</xdr:colOff>
      <xdr:row>5</xdr:row>
      <xdr:rowOff>12700</xdr:rowOff>
    </xdr:to>
    <xdr:pic>
      <xdr:nvPicPr>
        <xdr:cNvPr id="14338" name="登録されている全体パラメータの取得">
          <a:extLst>
            <a:ext uri="{FF2B5EF4-FFF2-40B4-BE49-F238E27FC236}">
              <a16:creationId xmlns:a16="http://schemas.microsoft.com/office/drawing/2014/main" id="{64F746A2-89AF-C28C-43CA-88205F5CFF7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5</xdr:row>
      <xdr:rowOff>76200</xdr:rowOff>
    </xdr:from>
    <xdr:to>
      <xdr:col>12</xdr:col>
      <xdr:colOff>552450</xdr:colOff>
      <xdr:row>7</xdr:row>
      <xdr:rowOff>12700</xdr:rowOff>
    </xdr:to>
    <xdr:pic>
      <xdr:nvPicPr>
        <xdr:cNvPr id="14339" name="タスクで使用する前提の新規作成_更新">
          <a:extLst>
            <a:ext uri="{FF2B5EF4-FFF2-40B4-BE49-F238E27FC236}">
              <a16:creationId xmlns:a16="http://schemas.microsoft.com/office/drawing/2014/main" id="{3BEC4C82-9D7F-4F3E-A256-9F7203C9E13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118745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1</xdr:row>
      <xdr:rowOff>69850</xdr:rowOff>
    </xdr:from>
    <xdr:to>
      <xdr:col>12</xdr:col>
      <xdr:colOff>552450</xdr:colOff>
      <xdr:row>3</xdr:row>
      <xdr:rowOff>6350</xdr:rowOff>
    </xdr:to>
    <xdr:pic>
      <xdr:nvPicPr>
        <xdr:cNvPr id="14341" name="タスクで使用する前提の登録">
          <a:extLst>
            <a:ext uri="{FF2B5EF4-FFF2-40B4-BE49-F238E27FC236}">
              <a16:creationId xmlns:a16="http://schemas.microsoft.com/office/drawing/2014/main" id="{5385BAC8-0396-C01A-84CC-9FB287EF25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26670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5</xdr:row>
      <xdr:rowOff>76200</xdr:rowOff>
    </xdr:from>
    <xdr:to>
      <xdr:col>10</xdr:col>
      <xdr:colOff>1149350</xdr:colOff>
      <xdr:row>7</xdr:row>
      <xdr:rowOff>12700</xdr:rowOff>
    </xdr:to>
    <xdr:pic>
      <xdr:nvPicPr>
        <xdr:cNvPr id="14343" name="タスクに登録されている前提の取得">
          <a:extLst>
            <a:ext uri="{FF2B5EF4-FFF2-40B4-BE49-F238E27FC236}">
              <a16:creationId xmlns:a16="http://schemas.microsoft.com/office/drawing/2014/main" id="{5929EED0-C65E-36EE-3751-60E9FEE525D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118745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3</xdr:row>
      <xdr:rowOff>76200</xdr:rowOff>
    </xdr:from>
    <xdr:to>
      <xdr:col>12</xdr:col>
      <xdr:colOff>552450</xdr:colOff>
      <xdr:row>5</xdr:row>
      <xdr:rowOff>12700</xdr:rowOff>
    </xdr:to>
    <xdr:pic>
      <xdr:nvPicPr>
        <xdr:cNvPr id="14344" name="自己決定した前提の新規作成_更新">
          <a:extLst>
            <a:ext uri="{FF2B5EF4-FFF2-40B4-BE49-F238E27FC236}">
              <a16:creationId xmlns:a16="http://schemas.microsoft.com/office/drawing/2014/main" id="{727E9970-F76F-7E63-00A2-703194D3EB2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73025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1</xdr:row>
      <xdr:rowOff>69850</xdr:rowOff>
    </xdr:from>
    <xdr:to>
      <xdr:col>10</xdr:col>
      <xdr:colOff>1149350</xdr:colOff>
      <xdr:row>3</xdr:row>
      <xdr:rowOff>6350</xdr:rowOff>
    </xdr:to>
    <xdr:pic>
      <xdr:nvPicPr>
        <xdr:cNvPr id="18433" name="WPに登録されている要求の取得">
          <a:extLst>
            <a:ext uri="{FF2B5EF4-FFF2-40B4-BE49-F238E27FC236}">
              <a16:creationId xmlns:a16="http://schemas.microsoft.com/office/drawing/2014/main" id="{1F91FC64-3E35-1C9D-1EC7-2A01B214AFB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3</xdr:row>
      <xdr:rowOff>76200</xdr:rowOff>
    </xdr:from>
    <xdr:to>
      <xdr:col>10</xdr:col>
      <xdr:colOff>1149350</xdr:colOff>
      <xdr:row>5</xdr:row>
      <xdr:rowOff>12700</xdr:rowOff>
    </xdr:to>
    <xdr:pic>
      <xdr:nvPicPr>
        <xdr:cNvPr id="18434" name="登録されている全体パラメータの取得">
          <a:extLst>
            <a:ext uri="{FF2B5EF4-FFF2-40B4-BE49-F238E27FC236}">
              <a16:creationId xmlns:a16="http://schemas.microsoft.com/office/drawing/2014/main" id="{10204E55-A29C-6092-69B6-092288F314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5</xdr:row>
      <xdr:rowOff>76200</xdr:rowOff>
    </xdr:from>
    <xdr:to>
      <xdr:col>12</xdr:col>
      <xdr:colOff>552450</xdr:colOff>
      <xdr:row>7</xdr:row>
      <xdr:rowOff>12700</xdr:rowOff>
    </xdr:to>
    <xdr:pic>
      <xdr:nvPicPr>
        <xdr:cNvPr id="18435" name="タスクで使用する要求の新規作成_更新">
          <a:extLst>
            <a:ext uri="{FF2B5EF4-FFF2-40B4-BE49-F238E27FC236}">
              <a16:creationId xmlns:a16="http://schemas.microsoft.com/office/drawing/2014/main" id="{B2977A45-AEB6-3B2D-AFD7-27B2FB04ECB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118745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1</xdr:row>
      <xdr:rowOff>69850</xdr:rowOff>
    </xdr:from>
    <xdr:to>
      <xdr:col>12</xdr:col>
      <xdr:colOff>552450</xdr:colOff>
      <xdr:row>3</xdr:row>
      <xdr:rowOff>6350</xdr:rowOff>
    </xdr:to>
    <xdr:pic>
      <xdr:nvPicPr>
        <xdr:cNvPr id="18436" name="タスクで使用する要求の登録">
          <a:extLst>
            <a:ext uri="{FF2B5EF4-FFF2-40B4-BE49-F238E27FC236}">
              <a16:creationId xmlns:a16="http://schemas.microsoft.com/office/drawing/2014/main" id="{D1880645-6478-3D72-EAC6-1E515B7CA73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26670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5</xdr:row>
      <xdr:rowOff>76200</xdr:rowOff>
    </xdr:from>
    <xdr:to>
      <xdr:col>10</xdr:col>
      <xdr:colOff>1149350</xdr:colOff>
      <xdr:row>7</xdr:row>
      <xdr:rowOff>12700</xdr:rowOff>
    </xdr:to>
    <xdr:pic>
      <xdr:nvPicPr>
        <xdr:cNvPr id="18437" name="タスクに登録されている要求の取得">
          <a:extLst>
            <a:ext uri="{FF2B5EF4-FFF2-40B4-BE49-F238E27FC236}">
              <a16:creationId xmlns:a16="http://schemas.microsoft.com/office/drawing/2014/main" id="{A3B823B9-E728-374C-8AAD-B78ADDFB338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118745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1238250</xdr:colOff>
      <xdr:row>3</xdr:row>
      <xdr:rowOff>76200</xdr:rowOff>
    </xdr:from>
    <xdr:to>
      <xdr:col>12</xdr:col>
      <xdr:colOff>552450</xdr:colOff>
      <xdr:row>5</xdr:row>
      <xdr:rowOff>12700</xdr:rowOff>
    </xdr:to>
    <xdr:pic>
      <xdr:nvPicPr>
        <xdr:cNvPr id="18438" name="自己決定した要求の新規作成_更新">
          <a:extLst>
            <a:ext uri="{FF2B5EF4-FFF2-40B4-BE49-F238E27FC236}">
              <a16:creationId xmlns:a16="http://schemas.microsoft.com/office/drawing/2014/main" id="{CA855FD3-DBEA-048A-3D57-17A736A926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06300" y="730250"/>
          <a:ext cx="32131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1</xdr:row>
      <xdr:rowOff>69850</xdr:rowOff>
    </xdr:from>
    <xdr:to>
      <xdr:col>10</xdr:col>
      <xdr:colOff>1149350</xdr:colOff>
      <xdr:row>3</xdr:row>
      <xdr:rowOff>6350</xdr:rowOff>
    </xdr:to>
    <xdr:pic>
      <xdr:nvPicPr>
        <xdr:cNvPr id="15361" name="タスクに登録されている割付の取得">
          <a:extLst>
            <a:ext uri="{FF2B5EF4-FFF2-40B4-BE49-F238E27FC236}">
              <a16:creationId xmlns:a16="http://schemas.microsoft.com/office/drawing/2014/main" id="{3F8D4E05-6DCF-84B0-5FDE-E2059E1CE1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3</xdr:row>
      <xdr:rowOff>76200</xdr:rowOff>
    </xdr:from>
    <xdr:to>
      <xdr:col>10</xdr:col>
      <xdr:colOff>1149350</xdr:colOff>
      <xdr:row>5</xdr:row>
      <xdr:rowOff>6350</xdr:rowOff>
    </xdr:to>
    <xdr:pic>
      <xdr:nvPicPr>
        <xdr:cNvPr id="15362" name="割付の新規作成_更新">
          <a:extLst>
            <a:ext uri="{FF2B5EF4-FFF2-40B4-BE49-F238E27FC236}">
              <a16:creationId xmlns:a16="http://schemas.microsoft.com/office/drawing/2014/main" id="{C0024284-FB55-43E5-F6CC-0A41B278D77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87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3</xdr:row>
      <xdr:rowOff>76200</xdr:rowOff>
    </xdr:from>
    <xdr:to>
      <xdr:col>10</xdr:col>
      <xdr:colOff>1149350</xdr:colOff>
      <xdr:row>5</xdr:row>
      <xdr:rowOff>6350</xdr:rowOff>
    </xdr:to>
    <xdr:pic>
      <xdr:nvPicPr>
        <xdr:cNvPr id="25601" name="代表値の新規作成_更新">
          <a:extLst>
            <a:ext uri="{FF2B5EF4-FFF2-40B4-BE49-F238E27FC236}">
              <a16:creationId xmlns:a16="http://schemas.microsoft.com/office/drawing/2014/main" id="{77AA85A8-C821-CE76-991E-0725988726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730250"/>
          <a:ext cx="2336800" cy="387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1</xdr:row>
      <xdr:rowOff>69850</xdr:rowOff>
    </xdr:from>
    <xdr:to>
      <xdr:col>10</xdr:col>
      <xdr:colOff>1149350</xdr:colOff>
      <xdr:row>3</xdr:row>
      <xdr:rowOff>6350</xdr:rowOff>
    </xdr:to>
    <xdr:pic>
      <xdr:nvPicPr>
        <xdr:cNvPr id="25602" name="代表値パラメータと候補の取得">
          <a:extLst>
            <a:ext uri="{FF2B5EF4-FFF2-40B4-BE49-F238E27FC236}">
              <a16:creationId xmlns:a16="http://schemas.microsoft.com/office/drawing/2014/main" id="{D31FC03C-5A72-9AEB-1423-0AE5A52AB12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26670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76200</xdr:colOff>
      <xdr:row>5</xdr:row>
      <xdr:rowOff>76200</xdr:rowOff>
    </xdr:from>
    <xdr:to>
      <xdr:col>10</xdr:col>
      <xdr:colOff>1149350</xdr:colOff>
      <xdr:row>7</xdr:row>
      <xdr:rowOff>12700</xdr:rowOff>
    </xdr:to>
    <xdr:pic>
      <xdr:nvPicPr>
        <xdr:cNvPr id="25603" name="代表値の受け渡し">
          <a:extLst>
            <a:ext uri="{FF2B5EF4-FFF2-40B4-BE49-F238E27FC236}">
              <a16:creationId xmlns:a16="http://schemas.microsoft.com/office/drawing/2014/main" id="{16D9A630-E2A4-4E7F-5EC2-CD79690BD5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80600" y="1187450"/>
          <a:ext cx="2336800" cy="393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internal-awcp0018-alb00105-616219119.ap-northeast-1.elb.amazonaws.com/NPM_Innovator/?StartItem=z_sm_ParaValue:7A3E1FE3311E4A2B8A4BCC1089C26CC4" TargetMode="External"/><Relationship Id="rId299" Type="http://schemas.openxmlformats.org/officeDocument/2006/relationships/hyperlink" Target="http://internal-awcp0018-alb00105-616219119.ap-northeast-1.elb.amazonaws.com/NPM_Innovator/?StartItem=z_sm_ParaValue:6E6B30E0DA0B46D58CA936F81A8D11CC" TargetMode="External"/><Relationship Id="rId21" Type="http://schemas.openxmlformats.org/officeDocument/2006/relationships/hyperlink" Target="http://internal-awcp0018-alb00105-616219119.ap-northeast-1.elb.amazonaws.com/NPM_Innovator/?StartItem=z_sm_ParaValue:A0E457FCD36C4DFF93EE5374B18BCF1A" TargetMode="External"/><Relationship Id="rId63" Type="http://schemas.openxmlformats.org/officeDocument/2006/relationships/hyperlink" Target="http://internal-awcp0018-alb00105-616219119.ap-northeast-1.elb.amazonaws.com/NPM_Innovator/?StartItem=z_sm_ParaValue:81395B00C2734A3A9640FC0D442F0893" TargetMode="External"/><Relationship Id="rId159" Type="http://schemas.openxmlformats.org/officeDocument/2006/relationships/hyperlink" Target="http://internal-awcp0018-alb00105-616219119.ap-northeast-1.elb.amazonaws.com/NPM_Innovator/?StartItem=z_sm_ParaValue:5E6F1EDA6B9C4B368C14395CD3BBD4AD" TargetMode="External"/><Relationship Id="rId324" Type="http://schemas.openxmlformats.org/officeDocument/2006/relationships/hyperlink" Target="http://internal-awcp0018-alb00105-616219119.ap-northeast-1.elb.amazonaws.com/NPM_Innovator/?StartItem=z_sm_ParaValue:C456F247A86B40D79D13731B75C1E441" TargetMode="External"/><Relationship Id="rId366" Type="http://schemas.openxmlformats.org/officeDocument/2006/relationships/hyperlink" Target="http://internal-awcp0018-alb00105-616219119.ap-northeast-1.elb.amazonaws.com/NPM_Innovator/?StartItem=z_sm_ParaValue:5C8A6ECEBF494E26BD0C261A9BFC0023" TargetMode="External"/><Relationship Id="rId170" Type="http://schemas.openxmlformats.org/officeDocument/2006/relationships/hyperlink" Target="http://internal-awcp0018-alb00105-616219119.ap-northeast-1.elb.amazonaws.com/NPM_Innovator/?StartItem=z_sm_ParaValue:163B5AC350B647A8AB725C62FD654C08" TargetMode="External"/><Relationship Id="rId226" Type="http://schemas.openxmlformats.org/officeDocument/2006/relationships/hyperlink" Target="http://internal-awcp0018-alb00105-616219119.ap-northeast-1.elb.amazonaws.com/NPM_Innovator/?StartItem=z_sm_ParaValue:88C7277F78314AB98040B9D1FC430951" TargetMode="External"/><Relationship Id="rId433" Type="http://schemas.openxmlformats.org/officeDocument/2006/relationships/hyperlink" Target="http://internal-awcp0018-alb00105-616219119.ap-northeast-1.elb.amazonaws.com/NPM_Innovator/?StartItem=z_sm_ParaValue:967209DF2360442084947E9398E8C21E" TargetMode="External"/><Relationship Id="rId268" Type="http://schemas.openxmlformats.org/officeDocument/2006/relationships/hyperlink" Target="http://internal-awcp0018-alb00105-616219119.ap-northeast-1.elb.amazonaws.com/NPM_Innovator/?StartItem=z_sm_ParaValue:D74A35B0C1184D71AB09B527713E1ACD" TargetMode="External"/><Relationship Id="rId475" Type="http://schemas.openxmlformats.org/officeDocument/2006/relationships/hyperlink" Target="http://internal-awcp0018-alb00105-616219119.ap-northeast-1.elb.amazonaws.com/NPM_Innovator/?StartItem=z_sm_ParaValue:102AD9618D954B83B015AF8796DE410A" TargetMode="External"/><Relationship Id="rId32" Type="http://schemas.openxmlformats.org/officeDocument/2006/relationships/hyperlink" Target="http://internal-awcp0018-alb00105-616219119.ap-northeast-1.elb.amazonaws.com/NPM_Innovator/?StartItem=z_sm_ParaValue:3177B95CCE7F488596DDE7746F54AC90" TargetMode="External"/><Relationship Id="rId74" Type="http://schemas.openxmlformats.org/officeDocument/2006/relationships/hyperlink" Target="http://internal-awcp0018-alb00105-616219119.ap-northeast-1.elb.amazonaws.com/NPM_Innovator/?StartItem=z_sm_ParaValue:5143C8225DFC42CD8991A5FDE0E208C7" TargetMode="External"/><Relationship Id="rId128" Type="http://schemas.openxmlformats.org/officeDocument/2006/relationships/hyperlink" Target="http://internal-awcp0018-alb00105-616219119.ap-northeast-1.elb.amazonaws.com/NPM_Innovator/?StartItem=z_sm_ParaValue:98792B381CA048E79536AFC66F476853" TargetMode="External"/><Relationship Id="rId335" Type="http://schemas.openxmlformats.org/officeDocument/2006/relationships/hyperlink" Target="http://internal-awcp0018-alb00105-616219119.ap-northeast-1.elb.amazonaws.com/NPM_Innovator/?StartItem=z_sm_ParaValue:1D3DE4EA666046E1B912A906991BF3E1" TargetMode="External"/><Relationship Id="rId377" Type="http://schemas.openxmlformats.org/officeDocument/2006/relationships/hyperlink" Target="http://internal-awcp0018-alb00105-616219119.ap-northeast-1.elb.amazonaws.com/NPM_Innovator/?StartItem=z_sm_ParaValue:4BDF85967FF54B0E8113117EA038E46A" TargetMode="External"/><Relationship Id="rId5" Type="http://schemas.openxmlformats.org/officeDocument/2006/relationships/hyperlink" Target="http://internal-awcp0018-alb00105-616219119.ap-northeast-1.elb.amazonaws.com/NPM_Innovator/?StartItem=z_sm_ParaValue:D36B477ACC3E40F08AA34209DAD96BA6" TargetMode="External"/><Relationship Id="rId181" Type="http://schemas.openxmlformats.org/officeDocument/2006/relationships/hyperlink" Target="http://internal-awcp0018-alb00105-616219119.ap-northeast-1.elb.amazonaws.com/NPM_Innovator/?StartItem=z_sm_ParaValue:4FBF1AACC5904D0CA873C695A8B52A2B" TargetMode="External"/><Relationship Id="rId237" Type="http://schemas.openxmlformats.org/officeDocument/2006/relationships/hyperlink" Target="http://internal-awcp0018-alb00105-616219119.ap-northeast-1.elb.amazonaws.com/NPM_Innovator/?StartItem=z_sm_ParaValue:EF9E18EF084248FF8E890EF8B180BE40" TargetMode="External"/><Relationship Id="rId402" Type="http://schemas.openxmlformats.org/officeDocument/2006/relationships/hyperlink" Target="http://internal-awcp0018-alb00105-616219119.ap-northeast-1.elb.amazonaws.com/NPM_Innovator/?StartItem=z_sm_ParaValue:78E5407665A1449FBAC1E366BD54C7AF" TargetMode="External"/><Relationship Id="rId279" Type="http://schemas.openxmlformats.org/officeDocument/2006/relationships/hyperlink" Target="http://internal-awcp0018-alb00105-616219119.ap-northeast-1.elb.amazonaws.com/NPM_Innovator/?StartItem=z_sm_ParaValue:7E34ED8C347C4E3D82692D1494E64924" TargetMode="External"/><Relationship Id="rId444" Type="http://schemas.openxmlformats.org/officeDocument/2006/relationships/hyperlink" Target="http://internal-awcp0018-alb00105-616219119.ap-northeast-1.elb.amazonaws.com/NPM_Innovator/?StartItem=z_sm_ParaValue:9FC48FF4DAB84B59AD0C1DFBC1A4DA76" TargetMode="External"/><Relationship Id="rId43" Type="http://schemas.openxmlformats.org/officeDocument/2006/relationships/hyperlink" Target="http://internal-awcp0018-alb00105-616219119.ap-northeast-1.elb.amazonaws.com/NPM_Innovator/?StartItem=z_sm_ParaValue:8C12D0715F5E445F960475D0F00CD623" TargetMode="External"/><Relationship Id="rId139" Type="http://schemas.openxmlformats.org/officeDocument/2006/relationships/hyperlink" Target="http://internal-awcp0018-alb00105-616219119.ap-northeast-1.elb.amazonaws.com/NPM_Innovator/?StartItem=z_sm_ParaValue:5F710BCB97B84B8EAB7C4E1EC50D85B2" TargetMode="External"/><Relationship Id="rId290" Type="http://schemas.openxmlformats.org/officeDocument/2006/relationships/hyperlink" Target="http://internal-awcp0018-alb00105-616219119.ap-northeast-1.elb.amazonaws.com/NPM_Innovator/?StartItem=z_sm_ParaValue:E70654EA354D4BBDB26569042D41D38B" TargetMode="External"/><Relationship Id="rId304" Type="http://schemas.openxmlformats.org/officeDocument/2006/relationships/hyperlink" Target="http://internal-awcp0018-alb00105-616219119.ap-northeast-1.elb.amazonaws.com/NPM_Innovator/?StartItem=z_sm_ParaValue:F7FC9F8001714B289239B804F890D154" TargetMode="External"/><Relationship Id="rId346" Type="http://schemas.openxmlformats.org/officeDocument/2006/relationships/hyperlink" Target="http://internal-awcp0018-alb00105-616219119.ap-northeast-1.elb.amazonaws.com/NPM_Innovator/?StartItem=z_sm_ParaValue:A0FD0B637EC64F5F932C888D748FB205" TargetMode="External"/><Relationship Id="rId388" Type="http://schemas.openxmlformats.org/officeDocument/2006/relationships/hyperlink" Target="http://internal-awcp0018-alb00105-616219119.ap-northeast-1.elb.amazonaws.com/NPM_Innovator/?StartItem=z_sm_ParaValue:0E8226DDF30A49F8BD8603E3F988779D" TargetMode="External"/><Relationship Id="rId85" Type="http://schemas.openxmlformats.org/officeDocument/2006/relationships/hyperlink" Target="http://internal-awcp0018-alb00105-616219119.ap-northeast-1.elb.amazonaws.com/NPM_Innovator/?StartItem=z_sm_ParaValue:B66E51B229CC49F48F1C996EDA02B355" TargetMode="External"/><Relationship Id="rId150" Type="http://schemas.openxmlformats.org/officeDocument/2006/relationships/hyperlink" Target="http://internal-awcp0018-alb00105-616219119.ap-northeast-1.elb.amazonaws.com/NPM_Innovator/?StartItem=z_sm_ParaValue:E25BEBA5DFD34A518E860E1FC2EA3F24" TargetMode="External"/><Relationship Id="rId192" Type="http://schemas.openxmlformats.org/officeDocument/2006/relationships/hyperlink" Target="http://internal-awcp0018-alb00105-616219119.ap-northeast-1.elb.amazonaws.com/NPM_Innovator/?StartItem=z_sm_ParaValue:EC55A518B306406C83073FA1BC50DE90" TargetMode="External"/><Relationship Id="rId206" Type="http://schemas.openxmlformats.org/officeDocument/2006/relationships/hyperlink" Target="http://internal-awcp0018-alb00105-616219119.ap-northeast-1.elb.amazonaws.com/NPM_Innovator/?StartItem=z_sm_ParaValue:C0F33EC202CE499DAC8E17B8311D288D" TargetMode="External"/><Relationship Id="rId413" Type="http://schemas.openxmlformats.org/officeDocument/2006/relationships/hyperlink" Target="http://internal-awcp0018-alb00105-616219119.ap-northeast-1.elb.amazonaws.com/NPM_Innovator/?StartItem=z_sm_ParaValue:2204664375B749DCB6C36633949CBFC7" TargetMode="External"/><Relationship Id="rId248" Type="http://schemas.openxmlformats.org/officeDocument/2006/relationships/hyperlink" Target="http://internal-awcp0018-alb00105-616219119.ap-northeast-1.elb.amazonaws.com/NPM_Innovator/?StartItem=z_sm_ParaValue:A15EDBDAD8424D1B8D25E9581BA50E1E" TargetMode="External"/><Relationship Id="rId455" Type="http://schemas.openxmlformats.org/officeDocument/2006/relationships/hyperlink" Target="http://internal-awcp0018-alb00105-616219119.ap-northeast-1.elb.amazonaws.com/NPM_Innovator/?StartItem=z_sm_ParaValue:7458CBCF523A44FCA27CEE7ECFFA3A2F" TargetMode="External"/><Relationship Id="rId12" Type="http://schemas.openxmlformats.org/officeDocument/2006/relationships/hyperlink" Target="http://internal-awcp0018-alb00105-616219119.ap-northeast-1.elb.amazonaws.com/NPM_Innovator/?StartItem=z_sm_ParaValue:12CE1BFACA4A4A709E4F415516F2BBF0" TargetMode="External"/><Relationship Id="rId108" Type="http://schemas.openxmlformats.org/officeDocument/2006/relationships/hyperlink" Target="http://internal-awcp0018-alb00105-616219119.ap-northeast-1.elb.amazonaws.com/NPM_Innovator/?StartItem=z_sm_ParaValue:6A9B3EF1EF5843A181F037B010469903" TargetMode="External"/><Relationship Id="rId315" Type="http://schemas.openxmlformats.org/officeDocument/2006/relationships/hyperlink" Target="http://internal-awcp0018-alb00105-616219119.ap-northeast-1.elb.amazonaws.com/NPM_Innovator/?StartItem=z_sm_ParaValue:60AE9BEA5E1E41E8BB4CD366B6546E1E" TargetMode="External"/><Relationship Id="rId357" Type="http://schemas.openxmlformats.org/officeDocument/2006/relationships/hyperlink" Target="http://internal-awcp0018-alb00105-616219119.ap-northeast-1.elb.amazonaws.com/NPM_Innovator/?StartItem=z_sm_ParaValue:6ED26E885DAC486CA76DE32068CDFB3F" TargetMode="External"/><Relationship Id="rId54" Type="http://schemas.openxmlformats.org/officeDocument/2006/relationships/hyperlink" Target="http://internal-awcp0018-alb00105-616219119.ap-northeast-1.elb.amazonaws.com/NPM_Innovator/?StartItem=z_sm_ParaValue:19596108C6C547C6AAE356363569FECE" TargetMode="External"/><Relationship Id="rId96" Type="http://schemas.openxmlformats.org/officeDocument/2006/relationships/hyperlink" Target="http://internal-awcp0018-alb00105-616219119.ap-northeast-1.elb.amazonaws.com/NPM_Innovator/?StartItem=z_sm_ParaValue:53CB44590B43464FBE8466BF0936998E" TargetMode="External"/><Relationship Id="rId161" Type="http://schemas.openxmlformats.org/officeDocument/2006/relationships/hyperlink" Target="http://internal-awcp0018-alb00105-616219119.ap-northeast-1.elb.amazonaws.com/NPM_Innovator/?StartItem=z_sm_ParaValue:DA02C9F96D0A4806BF0DAF3DBCD7F7F6" TargetMode="External"/><Relationship Id="rId217" Type="http://schemas.openxmlformats.org/officeDocument/2006/relationships/hyperlink" Target="http://internal-awcp0018-alb00105-616219119.ap-northeast-1.elb.amazonaws.com/NPM_Innovator/?StartItem=z_sm_ParaValue:E0E011FC308E4F5DAE0A04BA096DF4DE" TargetMode="External"/><Relationship Id="rId399" Type="http://schemas.openxmlformats.org/officeDocument/2006/relationships/hyperlink" Target="http://internal-awcp0018-alb00105-616219119.ap-northeast-1.elb.amazonaws.com/NPM_Innovator/?StartItem=z_sm_ParaValue:889CE22A623F4B70924518F55E15B46E" TargetMode="External"/><Relationship Id="rId259" Type="http://schemas.openxmlformats.org/officeDocument/2006/relationships/hyperlink" Target="http://internal-awcp0018-alb00105-616219119.ap-northeast-1.elb.amazonaws.com/NPM_Innovator/?StartItem=z_sm_ParaValue:5B63741A72B34B51B84A9C2519710DB7" TargetMode="External"/><Relationship Id="rId424" Type="http://schemas.openxmlformats.org/officeDocument/2006/relationships/hyperlink" Target="http://internal-awcp0018-alb00105-616219119.ap-northeast-1.elb.amazonaws.com/NPM_Innovator/?StartItem=z_sm_ParaValue:4BAA8A58AFDD42188AF8651E78329345" TargetMode="External"/><Relationship Id="rId466" Type="http://schemas.openxmlformats.org/officeDocument/2006/relationships/hyperlink" Target="http://internal-awcp0018-alb00105-616219119.ap-northeast-1.elb.amazonaws.com/NPM_Innovator/?StartItem=z_sm_ParaValue:1CDEEE2061B8478EB00F488845B40630" TargetMode="External"/><Relationship Id="rId23" Type="http://schemas.openxmlformats.org/officeDocument/2006/relationships/hyperlink" Target="http://internal-awcp0018-alb00105-616219119.ap-northeast-1.elb.amazonaws.com/NPM_Innovator/?StartItem=z_sm_ParaValue:A68C79ADC7C649FF8B1128AB7CBC4C67" TargetMode="External"/><Relationship Id="rId119" Type="http://schemas.openxmlformats.org/officeDocument/2006/relationships/hyperlink" Target="http://internal-awcp0018-alb00105-616219119.ap-northeast-1.elb.amazonaws.com/NPM_Innovator/?StartItem=z_sm_ParaValue:81ACD10267E24BA1B64C60E3A1E23FDF" TargetMode="External"/><Relationship Id="rId270" Type="http://schemas.openxmlformats.org/officeDocument/2006/relationships/hyperlink" Target="http://internal-awcp0018-alb00105-616219119.ap-northeast-1.elb.amazonaws.com/NPM_Innovator/?StartItem=z_sm_ParaValue:720B9BB4830D430C9EAA3412493E403A" TargetMode="External"/><Relationship Id="rId326" Type="http://schemas.openxmlformats.org/officeDocument/2006/relationships/hyperlink" Target="http://internal-awcp0018-alb00105-616219119.ap-northeast-1.elb.amazonaws.com/NPM_Innovator/?StartItem=z_sm_ParaValue:E302A088F8224D2C8132C7D1B3E3A223" TargetMode="External"/><Relationship Id="rId65" Type="http://schemas.openxmlformats.org/officeDocument/2006/relationships/hyperlink" Target="http://internal-awcp0018-alb00105-616219119.ap-northeast-1.elb.amazonaws.com/NPM_Innovator/?StartItem=z_sm_ParaValue:A82C06623C854B9BB9C7EB1DF7494847" TargetMode="External"/><Relationship Id="rId130" Type="http://schemas.openxmlformats.org/officeDocument/2006/relationships/hyperlink" Target="http://internal-awcp0018-alb00105-616219119.ap-northeast-1.elb.amazonaws.com/NPM_Innovator/?StartItem=z_sm_ParaValue:7B2DB088AF9D4DB0A52609588289CD2F" TargetMode="External"/><Relationship Id="rId368" Type="http://schemas.openxmlformats.org/officeDocument/2006/relationships/hyperlink" Target="http://internal-awcp0018-alb00105-616219119.ap-northeast-1.elb.amazonaws.com/NPM_Innovator/?StartItem=z_sm_ParaValue:B1EA2E46D04F45CFB8332AA317B26B80" TargetMode="External"/><Relationship Id="rId172" Type="http://schemas.openxmlformats.org/officeDocument/2006/relationships/hyperlink" Target="http://internal-awcp0018-alb00105-616219119.ap-northeast-1.elb.amazonaws.com/NPM_Innovator/?StartItem=z_sm_ParaValue:0C80ACD8EB064F4AB90B249141B73919" TargetMode="External"/><Relationship Id="rId228" Type="http://schemas.openxmlformats.org/officeDocument/2006/relationships/hyperlink" Target="http://internal-awcp0018-alb00105-616219119.ap-northeast-1.elb.amazonaws.com/NPM_Innovator/?StartItem=z_sm_ParaValue:895D94AC7CE2460CACEC728D188874A8" TargetMode="External"/><Relationship Id="rId435" Type="http://schemas.openxmlformats.org/officeDocument/2006/relationships/hyperlink" Target="http://internal-awcp0018-alb00105-616219119.ap-northeast-1.elb.amazonaws.com/NPM_Innovator/?StartItem=z_sm_ParaValue:1033117A9E37408FB6BD83B59C1180F9" TargetMode="External"/><Relationship Id="rId477" Type="http://schemas.openxmlformats.org/officeDocument/2006/relationships/printerSettings" Target="../printerSettings/printerSettings2.bin"/><Relationship Id="rId13" Type="http://schemas.openxmlformats.org/officeDocument/2006/relationships/hyperlink" Target="http://internal-awcp0018-alb00105-616219119.ap-northeast-1.elb.amazonaws.com/NPM_Innovator/?StartItem=z_sm_ParaValue:639CBBB9082249F3B732EB1CCE7824EA" TargetMode="External"/><Relationship Id="rId109" Type="http://schemas.openxmlformats.org/officeDocument/2006/relationships/hyperlink" Target="http://internal-awcp0018-alb00105-616219119.ap-northeast-1.elb.amazonaws.com/NPM_Innovator/?StartItem=z_sm_ParaValue:F3A29C57879A49039AB954D3F896D490" TargetMode="External"/><Relationship Id="rId260" Type="http://schemas.openxmlformats.org/officeDocument/2006/relationships/hyperlink" Target="http://internal-awcp0018-alb00105-616219119.ap-northeast-1.elb.amazonaws.com/NPM_Innovator/?StartItem=z_sm_ParaValue:C7666B909FDD4131BA6865BE827C08ED" TargetMode="External"/><Relationship Id="rId281" Type="http://schemas.openxmlformats.org/officeDocument/2006/relationships/hyperlink" Target="http://internal-awcp0018-alb00105-616219119.ap-northeast-1.elb.amazonaws.com/NPM_Innovator/?StartItem=z_sm_ParaValue:96E0DDD830FD4A0B81B6765D56EB8AC3" TargetMode="External"/><Relationship Id="rId316" Type="http://schemas.openxmlformats.org/officeDocument/2006/relationships/hyperlink" Target="http://internal-awcp0018-alb00105-616219119.ap-northeast-1.elb.amazonaws.com/NPM_Innovator/?StartItem=z_sm_ParaValue:B04A74A5B8034FC69EA1EBCFC8221878" TargetMode="External"/><Relationship Id="rId337" Type="http://schemas.openxmlformats.org/officeDocument/2006/relationships/hyperlink" Target="http://internal-awcp0018-alb00105-616219119.ap-northeast-1.elb.amazonaws.com/NPM_Innovator/?StartItem=z_sm_ParaValue:6950616694384C7FBD70052D985C2BB5" TargetMode="External"/><Relationship Id="rId34" Type="http://schemas.openxmlformats.org/officeDocument/2006/relationships/hyperlink" Target="http://internal-awcp0018-alb00105-616219119.ap-northeast-1.elb.amazonaws.com/NPM_Innovator/?StartItem=z_sm_ParaValue:C1A719B245BB4A1CBBCC6CE5834AB4E7" TargetMode="External"/><Relationship Id="rId55" Type="http://schemas.openxmlformats.org/officeDocument/2006/relationships/hyperlink" Target="http://internal-awcp0018-alb00105-616219119.ap-northeast-1.elb.amazonaws.com/NPM_Innovator/?StartItem=z_sm_ParaValue:0EAF06F46DB046F8838D671076971D26" TargetMode="External"/><Relationship Id="rId76" Type="http://schemas.openxmlformats.org/officeDocument/2006/relationships/hyperlink" Target="http://internal-awcp0018-alb00105-616219119.ap-northeast-1.elb.amazonaws.com/NPM_Innovator/?StartItem=z_sm_ParaValue:032D82A5953140369E60A3368FA64DF7" TargetMode="External"/><Relationship Id="rId97" Type="http://schemas.openxmlformats.org/officeDocument/2006/relationships/hyperlink" Target="http://internal-awcp0018-alb00105-616219119.ap-northeast-1.elb.amazonaws.com/NPM_Innovator/?StartItem=z_sm_ParaValue:4261DA4A0882422B94E32294D432DC6E" TargetMode="External"/><Relationship Id="rId120" Type="http://schemas.openxmlformats.org/officeDocument/2006/relationships/hyperlink" Target="http://internal-awcp0018-alb00105-616219119.ap-northeast-1.elb.amazonaws.com/NPM_Innovator/?StartItem=z_sm_ParaValue:2CDC808F87A641428BC6E682702A9BDE" TargetMode="External"/><Relationship Id="rId141" Type="http://schemas.openxmlformats.org/officeDocument/2006/relationships/hyperlink" Target="http://internal-awcp0018-alb00105-616219119.ap-northeast-1.elb.amazonaws.com/NPM_Innovator/?StartItem=z_sm_ParaValue:7CDAD996F46B4C62BC38ECCFBD0CD587" TargetMode="External"/><Relationship Id="rId358" Type="http://schemas.openxmlformats.org/officeDocument/2006/relationships/hyperlink" Target="http://internal-awcp0018-alb00105-616219119.ap-northeast-1.elb.amazonaws.com/NPM_Innovator/?StartItem=z_sm_ParaValue:BFEA5EA3310E4C268CB49235764E9064" TargetMode="External"/><Relationship Id="rId379" Type="http://schemas.openxmlformats.org/officeDocument/2006/relationships/hyperlink" Target="http://internal-awcp0018-alb00105-616219119.ap-northeast-1.elb.amazonaws.com/NPM_Innovator/?StartItem=z_sm_ParaValue:3C841D8FEAC5437AADF8DD0BEDA9C0B2" TargetMode="External"/><Relationship Id="rId7" Type="http://schemas.openxmlformats.org/officeDocument/2006/relationships/hyperlink" Target="http://internal-awcp0018-alb00105-616219119.ap-northeast-1.elb.amazonaws.com/NPM_Innovator/?StartItem=z_sm_ParaValue:7397AA082BE544A9A04A06CDB8FE3004" TargetMode="External"/><Relationship Id="rId162" Type="http://schemas.openxmlformats.org/officeDocument/2006/relationships/hyperlink" Target="http://internal-awcp0018-alb00105-616219119.ap-northeast-1.elb.amazonaws.com/NPM_Innovator/?StartItem=z_sm_ParaValue:805ADCCD5F684AEDBBE8A5ABD4A50524" TargetMode="External"/><Relationship Id="rId183" Type="http://schemas.openxmlformats.org/officeDocument/2006/relationships/hyperlink" Target="http://internal-awcp0018-alb00105-616219119.ap-northeast-1.elb.amazonaws.com/NPM_Innovator/?StartItem=z_sm_ParaValue:A202B5970D2B4317BACB5F36FCA68BD9" TargetMode="External"/><Relationship Id="rId218" Type="http://schemas.openxmlformats.org/officeDocument/2006/relationships/hyperlink" Target="http://internal-awcp0018-alb00105-616219119.ap-northeast-1.elb.amazonaws.com/NPM_Innovator/?StartItem=z_sm_ParaValue:78ECFA545EBF4B3AB59C574022DA3CE8" TargetMode="External"/><Relationship Id="rId239" Type="http://schemas.openxmlformats.org/officeDocument/2006/relationships/hyperlink" Target="http://internal-awcp0018-alb00105-616219119.ap-northeast-1.elb.amazonaws.com/NPM_Innovator/?StartItem=z_sm_ParaValue:C2F6D79448644156AB8ACBD97648A5C8" TargetMode="External"/><Relationship Id="rId390" Type="http://schemas.openxmlformats.org/officeDocument/2006/relationships/hyperlink" Target="http://internal-awcp0018-alb00105-616219119.ap-northeast-1.elb.amazonaws.com/NPM_Innovator/?StartItem=z_sm_ParaValue:6BAEA35112104EEAA4F7D774B7CCB9E7" TargetMode="External"/><Relationship Id="rId404" Type="http://schemas.openxmlformats.org/officeDocument/2006/relationships/hyperlink" Target="http://internal-awcp0018-alb00105-616219119.ap-northeast-1.elb.amazonaws.com/NPM_Innovator/?StartItem=z_sm_ParaValue:BFFC53BC16EE4A4295BE527AC30F5273" TargetMode="External"/><Relationship Id="rId425" Type="http://schemas.openxmlformats.org/officeDocument/2006/relationships/hyperlink" Target="http://internal-awcp0018-alb00105-616219119.ap-northeast-1.elb.amazonaws.com/NPM_Innovator/?StartItem=z_sm_ParaValue:FE0BBFC3B3AD477DBAA18A252FA29E1C" TargetMode="External"/><Relationship Id="rId446" Type="http://schemas.openxmlformats.org/officeDocument/2006/relationships/hyperlink" Target="http://internal-awcp0018-alb00105-616219119.ap-northeast-1.elb.amazonaws.com/NPM_Innovator/?StartItem=z_sm_ParaValue:CA5F67AF83174A3B97A94DBACC513595" TargetMode="External"/><Relationship Id="rId467" Type="http://schemas.openxmlformats.org/officeDocument/2006/relationships/hyperlink" Target="http://internal-awcp0018-alb00105-616219119.ap-northeast-1.elb.amazonaws.com/NPM_Innovator/?StartItem=z_sm_ParaValue:08F8D9E8BB1E4113A0E65B12D0E153A1" TargetMode="External"/><Relationship Id="rId250" Type="http://schemas.openxmlformats.org/officeDocument/2006/relationships/hyperlink" Target="http://internal-awcp0018-alb00105-616219119.ap-northeast-1.elb.amazonaws.com/NPM_Innovator/?StartItem=z_sm_ParaValue:3FCBDD5069A54351B46DB71E7DC48EC8" TargetMode="External"/><Relationship Id="rId271" Type="http://schemas.openxmlformats.org/officeDocument/2006/relationships/hyperlink" Target="http://internal-awcp0018-alb00105-616219119.ap-northeast-1.elb.amazonaws.com/NPM_Innovator/?StartItem=z_sm_ParaValue:958CF5181D93405BB967DFA58F4D856F" TargetMode="External"/><Relationship Id="rId292" Type="http://schemas.openxmlformats.org/officeDocument/2006/relationships/hyperlink" Target="http://internal-awcp0018-alb00105-616219119.ap-northeast-1.elb.amazonaws.com/NPM_Innovator/?StartItem=z_sm_ParaValue:5A2025F591134D0BB004321F48554A8B" TargetMode="External"/><Relationship Id="rId306" Type="http://schemas.openxmlformats.org/officeDocument/2006/relationships/hyperlink" Target="http://internal-awcp0018-alb00105-616219119.ap-northeast-1.elb.amazonaws.com/NPM_Innovator/?StartItem=z_sm_ParaValue:BCBD55EBADCE40C993C2C40FB3C64FEE" TargetMode="External"/><Relationship Id="rId24" Type="http://schemas.openxmlformats.org/officeDocument/2006/relationships/hyperlink" Target="http://internal-awcp0018-alb00105-616219119.ap-northeast-1.elb.amazonaws.com/NPM_Innovator/?StartItem=z_sm_ParaValue:80EFAF747E58405FBBFEB415D8A784F7" TargetMode="External"/><Relationship Id="rId45" Type="http://schemas.openxmlformats.org/officeDocument/2006/relationships/hyperlink" Target="http://internal-awcp0018-alb00105-616219119.ap-northeast-1.elb.amazonaws.com/NPM_Innovator/?StartItem=z_sm_ParaValue:D7F681865F744FA28DBD1743D76300E4" TargetMode="External"/><Relationship Id="rId66" Type="http://schemas.openxmlformats.org/officeDocument/2006/relationships/hyperlink" Target="http://internal-awcp0018-alb00105-616219119.ap-northeast-1.elb.amazonaws.com/NPM_Innovator/?StartItem=z_sm_ParaValue:65BDE7BA193649798EBA7F3F4B723810" TargetMode="External"/><Relationship Id="rId87" Type="http://schemas.openxmlformats.org/officeDocument/2006/relationships/hyperlink" Target="http://internal-awcp0018-alb00105-616219119.ap-northeast-1.elb.amazonaws.com/NPM_Innovator/?StartItem=z_sm_ParaValue:36AC8C5DBE014B229697D315B00AA658" TargetMode="External"/><Relationship Id="rId110" Type="http://schemas.openxmlformats.org/officeDocument/2006/relationships/hyperlink" Target="http://internal-awcp0018-alb00105-616219119.ap-northeast-1.elb.amazonaws.com/NPM_Innovator/?StartItem=z_sm_ParaValue:3761FE2D58BD40FBB82914643669DCDC" TargetMode="External"/><Relationship Id="rId131" Type="http://schemas.openxmlformats.org/officeDocument/2006/relationships/hyperlink" Target="http://internal-awcp0018-alb00105-616219119.ap-northeast-1.elb.amazonaws.com/NPM_Innovator/?StartItem=z_sm_ParaValue:10B6753ECB524CABA7420B78AEF1A1E6" TargetMode="External"/><Relationship Id="rId327" Type="http://schemas.openxmlformats.org/officeDocument/2006/relationships/hyperlink" Target="http://internal-awcp0018-alb00105-616219119.ap-northeast-1.elb.amazonaws.com/NPM_Innovator/?StartItem=z_sm_ParaValue:53FF8B313C354D0588F437C032242F3A" TargetMode="External"/><Relationship Id="rId348" Type="http://schemas.openxmlformats.org/officeDocument/2006/relationships/hyperlink" Target="http://internal-awcp0018-alb00105-616219119.ap-northeast-1.elb.amazonaws.com/NPM_Innovator/?StartItem=z_sm_ParaValue:D10495CFCB014FFBB76773EF076099AE" TargetMode="External"/><Relationship Id="rId369" Type="http://schemas.openxmlformats.org/officeDocument/2006/relationships/hyperlink" Target="http://internal-awcp0018-alb00105-616219119.ap-northeast-1.elb.amazonaws.com/NPM_Innovator/?StartItem=z_sm_ParaValue:37E757FD3EE448579E529293894A3842" TargetMode="External"/><Relationship Id="rId152" Type="http://schemas.openxmlformats.org/officeDocument/2006/relationships/hyperlink" Target="http://internal-awcp0018-alb00105-616219119.ap-northeast-1.elb.amazonaws.com/NPM_Innovator/?StartItem=z_sm_ParaValue:DD84DF8012234366BFECF5BA0320632A" TargetMode="External"/><Relationship Id="rId173" Type="http://schemas.openxmlformats.org/officeDocument/2006/relationships/hyperlink" Target="http://internal-awcp0018-alb00105-616219119.ap-northeast-1.elb.amazonaws.com/NPM_Innovator/?StartItem=z_sm_ParaValue:575CB8953D9342AFA433E87B8DD02BC8" TargetMode="External"/><Relationship Id="rId194" Type="http://schemas.openxmlformats.org/officeDocument/2006/relationships/hyperlink" Target="http://internal-awcp0018-alb00105-616219119.ap-northeast-1.elb.amazonaws.com/NPM_Innovator/?StartItem=z_sm_ParaValue:8D42BEE297B04577BEB714251B8DE518" TargetMode="External"/><Relationship Id="rId208" Type="http://schemas.openxmlformats.org/officeDocument/2006/relationships/hyperlink" Target="http://internal-awcp0018-alb00105-616219119.ap-northeast-1.elb.amazonaws.com/NPM_Innovator/?StartItem=z_sm_ParaValue:5B2B3C8855C64A64B35CEE59E4758DA7" TargetMode="External"/><Relationship Id="rId229" Type="http://schemas.openxmlformats.org/officeDocument/2006/relationships/hyperlink" Target="http://internal-awcp0018-alb00105-616219119.ap-northeast-1.elb.amazonaws.com/NPM_Innovator/?StartItem=z_sm_ParaValue:163D2788CC4E47DBA9433E48F7E3C568" TargetMode="External"/><Relationship Id="rId380" Type="http://schemas.openxmlformats.org/officeDocument/2006/relationships/hyperlink" Target="http://internal-awcp0018-alb00105-616219119.ap-northeast-1.elb.amazonaws.com/NPM_Innovator/?StartItem=z_sm_ParaValue:D3DDF7BE7C664EEEBB91DBA4D6AC4006" TargetMode="External"/><Relationship Id="rId415" Type="http://schemas.openxmlformats.org/officeDocument/2006/relationships/hyperlink" Target="http://internal-awcp0018-alb00105-616219119.ap-northeast-1.elb.amazonaws.com/NPM_Innovator/?StartItem=z_sm_ParaValue:506670A3331545D48AD36974009FF407" TargetMode="External"/><Relationship Id="rId436" Type="http://schemas.openxmlformats.org/officeDocument/2006/relationships/hyperlink" Target="http://internal-awcp0018-alb00105-616219119.ap-northeast-1.elb.amazonaws.com/NPM_Innovator/?StartItem=z_sm_ParaValue:AF1618EC9B20422CB0AC1389BD575A9F" TargetMode="External"/><Relationship Id="rId457" Type="http://schemas.openxmlformats.org/officeDocument/2006/relationships/hyperlink" Target="http://internal-awcp0018-alb00105-616219119.ap-northeast-1.elb.amazonaws.com/NPM_Innovator/?StartItem=z_sm_ParaValue:BD19DF81658247BAB9E2A704DCF87D94" TargetMode="External"/><Relationship Id="rId240" Type="http://schemas.openxmlformats.org/officeDocument/2006/relationships/hyperlink" Target="http://internal-awcp0018-alb00105-616219119.ap-northeast-1.elb.amazonaws.com/NPM_Innovator/?StartItem=z_sm_ParaValue:294F5A1E20464C73BF1DE90EC698274B" TargetMode="External"/><Relationship Id="rId261" Type="http://schemas.openxmlformats.org/officeDocument/2006/relationships/hyperlink" Target="http://internal-awcp0018-alb00105-616219119.ap-northeast-1.elb.amazonaws.com/NPM_Innovator/?StartItem=z_sm_ParaValue:282D923051E64A81885A39F824AAFE72" TargetMode="External"/><Relationship Id="rId478" Type="http://schemas.openxmlformats.org/officeDocument/2006/relationships/drawing" Target="../drawings/drawing1.xml"/><Relationship Id="rId14" Type="http://schemas.openxmlformats.org/officeDocument/2006/relationships/hyperlink" Target="http://internal-awcp0018-alb00105-616219119.ap-northeast-1.elb.amazonaws.com/NPM_Innovator/?StartItem=z_sm_ParaValue:7439DCDB1B09493F8281868AE044962A" TargetMode="External"/><Relationship Id="rId35" Type="http://schemas.openxmlformats.org/officeDocument/2006/relationships/hyperlink" Target="http://internal-awcp0018-alb00105-616219119.ap-northeast-1.elb.amazonaws.com/NPM_Innovator/?StartItem=z_sm_ParaValue:83774A1CDA9747F18C7E611A4B2E0D46" TargetMode="External"/><Relationship Id="rId56" Type="http://schemas.openxmlformats.org/officeDocument/2006/relationships/hyperlink" Target="http://internal-awcp0018-alb00105-616219119.ap-northeast-1.elb.amazonaws.com/NPM_Innovator/?StartItem=z_sm_ParaValue:06076357F3AD4A1F8D05AB0016054FCF" TargetMode="External"/><Relationship Id="rId77" Type="http://schemas.openxmlformats.org/officeDocument/2006/relationships/hyperlink" Target="http://internal-awcp0018-alb00105-616219119.ap-northeast-1.elb.amazonaws.com/NPM_Innovator/?StartItem=z_sm_ParaValue:2E81EB7A746047F88DCB6A699604A7A1" TargetMode="External"/><Relationship Id="rId100" Type="http://schemas.openxmlformats.org/officeDocument/2006/relationships/hyperlink" Target="http://internal-awcp0018-alb00105-616219119.ap-northeast-1.elb.amazonaws.com/NPM_Innovator/?StartItem=z_sm_ParaValue:9F2E81C103A547E7BE00C567E704EF66" TargetMode="External"/><Relationship Id="rId282" Type="http://schemas.openxmlformats.org/officeDocument/2006/relationships/hyperlink" Target="http://internal-awcp0018-alb00105-616219119.ap-northeast-1.elb.amazonaws.com/NPM_Innovator/?StartItem=z_sm_ParaValue:E3DD0322F9774CD48B235E4452E07B91" TargetMode="External"/><Relationship Id="rId317" Type="http://schemas.openxmlformats.org/officeDocument/2006/relationships/hyperlink" Target="http://internal-awcp0018-alb00105-616219119.ap-northeast-1.elb.amazonaws.com/NPM_Innovator/?StartItem=z_sm_ParaValue:B08EBDA124604D6B9B60249EC3C0E3C8" TargetMode="External"/><Relationship Id="rId338" Type="http://schemas.openxmlformats.org/officeDocument/2006/relationships/hyperlink" Target="http://internal-awcp0018-alb00105-616219119.ap-northeast-1.elb.amazonaws.com/NPM_Innovator/?StartItem=z_sm_ParaValue:CDDF1857855B4938BE52E6F07B8E1FCC" TargetMode="External"/><Relationship Id="rId359" Type="http://schemas.openxmlformats.org/officeDocument/2006/relationships/hyperlink" Target="http://internal-awcp0018-alb00105-616219119.ap-northeast-1.elb.amazonaws.com/NPM_Innovator/?StartItem=z_sm_ParaValue:20BEBB9F85A44EAEA1B3F22ABC3B599B" TargetMode="External"/><Relationship Id="rId8" Type="http://schemas.openxmlformats.org/officeDocument/2006/relationships/hyperlink" Target="http://internal-awcp0018-alb00105-616219119.ap-northeast-1.elb.amazonaws.com/NPM_Innovator/?StartItem=z_sm_ParaValue:9AC61F22BC7A42ED95CBB3AE43591579" TargetMode="External"/><Relationship Id="rId98" Type="http://schemas.openxmlformats.org/officeDocument/2006/relationships/hyperlink" Target="http://internal-awcp0018-alb00105-616219119.ap-northeast-1.elb.amazonaws.com/NPM_Innovator/?StartItem=z_sm_ParaValue:7D570B135E244DE78FDBCFA1BC4A3B14" TargetMode="External"/><Relationship Id="rId121" Type="http://schemas.openxmlformats.org/officeDocument/2006/relationships/hyperlink" Target="http://internal-awcp0018-alb00105-616219119.ap-northeast-1.elb.amazonaws.com/NPM_Innovator/?StartItem=z_sm_ParaValue:D8F75A95D9E94C3E9ACC049AA8C858B7" TargetMode="External"/><Relationship Id="rId142" Type="http://schemas.openxmlformats.org/officeDocument/2006/relationships/hyperlink" Target="http://internal-awcp0018-alb00105-616219119.ap-northeast-1.elb.amazonaws.com/NPM_Innovator/?StartItem=z_sm_ParaValue:52FEBC84288C402DB72D43ACCA4A3430" TargetMode="External"/><Relationship Id="rId163" Type="http://schemas.openxmlformats.org/officeDocument/2006/relationships/hyperlink" Target="http://internal-awcp0018-alb00105-616219119.ap-northeast-1.elb.amazonaws.com/NPM_Innovator/?StartItem=z_sm_ParaValue:871786CDA16A4F75A9B54DEB2D957A18" TargetMode="External"/><Relationship Id="rId184" Type="http://schemas.openxmlformats.org/officeDocument/2006/relationships/hyperlink" Target="http://internal-awcp0018-alb00105-616219119.ap-northeast-1.elb.amazonaws.com/NPM_Innovator/?StartItem=z_sm_ParaValue:C4C28ABD02EB4BE1A8ECFE0C8086664D" TargetMode="External"/><Relationship Id="rId219" Type="http://schemas.openxmlformats.org/officeDocument/2006/relationships/hyperlink" Target="http://internal-awcp0018-alb00105-616219119.ap-northeast-1.elb.amazonaws.com/NPM_Innovator/?StartItem=z_sm_ParaValue:07C8A7D723234373A6A371BFF25FA9E2" TargetMode="External"/><Relationship Id="rId370" Type="http://schemas.openxmlformats.org/officeDocument/2006/relationships/hyperlink" Target="http://internal-awcp0018-alb00105-616219119.ap-northeast-1.elb.amazonaws.com/NPM_Innovator/?StartItem=z_sm_ParaValue:D4267345ADA34E399E9B0D7B8EDC72ED" TargetMode="External"/><Relationship Id="rId391" Type="http://schemas.openxmlformats.org/officeDocument/2006/relationships/hyperlink" Target="http://internal-awcp0018-alb00105-616219119.ap-northeast-1.elb.amazonaws.com/NPM_Innovator/?StartItem=z_sm_ParaValue:7EBEA6BA00894E2CAFEE22E35256E05F" TargetMode="External"/><Relationship Id="rId405" Type="http://schemas.openxmlformats.org/officeDocument/2006/relationships/hyperlink" Target="http://internal-awcp0018-alb00105-616219119.ap-northeast-1.elb.amazonaws.com/NPM_Innovator/?StartItem=z_sm_ParaValue:66F4DC2410EF4279A8E5CB4C26BC5647" TargetMode="External"/><Relationship Id="rId426" Type="http://schemas.openxmlformats.org/officeDocument/2006/relationships/hyperlink" Target="http://internal-awcp0018-alb00105-616219119.ap-northeast-1.elb.amazonaws.com/NPM_Innovator/?StartItem=z_sm_ParaValue:E3CD9B01B8CD48A0B3605DFEB1AEC8F4" TargetMode="External"/><Relationship Id="rId447" Type="http://schemas.openxmlformats.org/officeDocument/2006/relationships/hyperlink" Target="http://internal-awcp0018-alb00105-616219119.ap-northeast-1.elb.amazonaws.com/NPM_Innovator/?StartItem=z_sm_ParaValue:C0CC49FDF235490C9C8D1EBC1492AE2D" TargetMode="External"/><Relationship Id="rId230" Type="http://schemas.openxmlformats.org/officeDocument/2006/relationships/hyperlink" Target="http://internal-awcp0018-alb00105-616219119.ap-northeast-1.elb.amazonaws.com/NPM_Innovator/?StartItem=z_sm_ParaValue:7BECFABAF340465AA8F3D451678CA1EA" TargetMode="External"/><Relationship Id="rId251" Type="http://schemas.openxmlformats.org/officeDocument/2006/relationships/hyperlink" Target="http://internal-awcp0018-alb00105-616219119.ap-northeast-1.elb.amazonaws.com/NPM_Innovator/?StartItem=z_sm_ParaValue:3E35418791DA4AA486E1DBF7154D56CF" TargetMode="External"/><Relationship Id="rId468" Type="http://schemas.openxmlformats.org/officeDocument/2006/relationships/hyperlink" Target="http://internal-awcp0018-alb00105-616219119.ap-northeast-1.elb.amazonaws.com/NPM_Innovator/?StartItem=z_sm_ParaValue:CABA2F94FFC9485B81D1C42FEF94E229" TargetMode="External"/><Relationship Id="rId25" Type="http://schemas.openxmlformats.org/officeDocument/2006/relationships/hyperlink" Target="http://internal-awcp0018-alb00105-616219119.ap-northeast-1.elb.amazonaws.com/NPM_Innovator/?StartItem=z_sm_ParaValue:5D128958A3C8490DADAEA4726984A605" TargetMode="External"/><Relationship Id="rId46" Type="http://schemas.openxmlformats.org/officeDocument/2006/relationships/hyperlink" Target="http://internal-awcp0018-alb00105-616219119.ap-northeast-1.elb.amazonaws.com/NPM_Innovator/?StartItem=z_sm_ParaValue:00A4C0CFDB204B909EAA5397AC47CA82" TargetMode="External"/><Relationship Id="rId67" Type="http://schemas.openxmlformats.org/officeDocument/2006/relationships/hyperlink" Target="http://internal-awcp0018-alb00105-616219119.ap-northeast-1.elb.amazonaws.com/NPM_Innovator/?StartItem=z_sm_ParaValue:11828573B1CB4A2092460FDB5DBA3F43" TargetMode="External"/><Relationship Id="rId272" Type="http://schemas.openxmlformats.org/officeDocument/2006/relationships/hyperlink" Target="http://internal-awcp0018-alb00105-616219119.ap-northeast-1.elb.amazonaws.com/NPM_Innovator/?StartItem=z_sm_ParaValue:B1A4EE9055E64971BEE2DE424C664CC2" TargetMode="External"/><Relationship Id="rId293" Type="http://schemas.openxmlformats.org/officeDocument/2006/relationships/hyperlink" Target="http://internal-awcp0018-alb00105-616219119.ap-northeast-1.elb.amazonaws.com/NPM_Innovator/?StartItem=z_sm_ParaValue:D7743BAF786D4194B868E6B315A852C6" TargetMode="External"/><Relationship Id="rId307" Type="http://schemas.openxmlformats.org/officeDocument/2006/relationships/hyperlink" Target="http://internal-awcp0018-alb00105-616219119.ap-northeast-1.elb.amazonaws.com/NPM_Innovator/?StartItem=z_sm_ParaValue:28639ACEF21B4155A26CA3587E39BDF3" TargetMode="External"/><Relationship Id="rId328" Type="http://schemas.openxmlformats.org/officeDocument/2006/relationships/hyperlink" Target="http://internal-awcp0018-alb00105-616219119.ap-northeast-1.elb.amazonaws.com/NPM_Innovator/?StartItem=z_sm_ParaValue:A92F3FA92411432192D37293769EAEFD" TargetMode="External"/><Relationship Id="rId349" Type="http://schemas.openxmlformats.org/officeDocument/2006/relationships/hyperlink" Target="http://internal-awcp0018-alb00105-616219119.ap-northeast-1.elb.amazonaws.com/NPM_Innovator/?StartItem=z_sm_ParaValue:1D5135BFED294AD793EE43351F32B7D6" TargetMode="External"/><Relationship Id="rId88" Type="http://schemas.openxmlformats.org/officeDocument/2006/relationships/hyperlink" Target="http://internal-awcp0018-alb00105-616219119.ap-northeast-1.elb.amazonaws.com/NPM_Innovator/?StartItem=z_sm_ParaValue:16A94DF31635445AB93524F9AA91CE62" TargetMode="External"/><Relationship Id="rId111" Type="http://schemas.openxmlformats.org/officeDocument/2006/relationships/hyperlink" Target="http://internal-awcp0018-alb00105-616219119.ap-northeast-1.elb.amazonaws.com/NPM_Innovator/?StartItem=z_sm_ParaValue:B50479B0E9144CCD8BAC153A619812C5" TargetMode="External"/><Relationship Id="rId132" Type="http://schemas.openxmlformats.org/officeDocument/2006/relationships/hyperlink" Target="http://internal-awcp0018-alb00105-616219119.ap-northeast-1.elb.amazonaws.com/NPM_Innovator/?StartItem=z_sm_ParaValue:73FD4D35CBCA4ACEBBFBAF241CD9DACD" TargetMode="External"/><Relationship Id="rId153" Type="http://schemas.openxmlformats.org/officeDocument/2006/relationships/hyperlink" Target="http://internal-awcp0018-alb00105-616219119.ap-northeast-1.elb.amazonaws.com/NPM_Innovator/?StartItem=z_sm_ParaValue:44589027FD4841EF8DB99A3503904F16" TargetMode="External"/><Relationship Id="rId174" Type="http://schemas.openxmlformats.org/officeDocument/2006/relationships/hyperlink" Target="http://internal-awcp0018-alb00105-616219119.ap-northeast-1.elb.amazonaws.com/NPM_Innovator/?StartItem=z_sm_ParaValue:C82B14D8594847AABE289AA8A556C067" TargetMode="External"/><Relationship Id="rId195" Type="http://schemas.openxmlformats.org/officeDocument/2006/relationships/hyperlink" Target="http://internal-awcp0018-alb00105-616219119.ap-northeast-1.elb.amazonaws.com/NPM_Innovator/?StartItem=z_sm_ParaValue:00D6B85877C04CAFA5F131A8663A7724" TargetMode="External"/><Relationship Id="rId209" Type="http://schemas.openxmlformats.org/officeDocument/2006/relationships/hyperlink" Target="http://internal-awcp0018-alb00105-616219119.ap-northeast-1.elb.amazonaws.com/NPM_Innovator/?StartItem=z_sm_ParaValue:503AF1F7298B49C6858B1C4CA785DBBB" TargetMode="External"/><Relationship Id="rId360" Type="http://schemas.openxmlformats.org/officeDocument/2006/relationships/hyperlink" Target="http://internal-awcp0018-alb00105-616219119.ap-northeast-1.elb.amazonaws.com/NPM_Innovator/?StartItem=z_sm_ParaValue:B27C2DC0D9AF499E8F5C454ED1D3BADC" TargetMode="External"/><Relationship Id="rId381" Type="http://schemas.openxmlformats.org/officeDocument/2006/relationships/hyperlink" Target="http://internal-awcp0018-alb00105-616219119.ap-northeast-1.elb.amazonaws.com/NPM_Innovator/?StartItem=z_sm_ParaValue:6E1F65D70EF74DF88CBB41162F1885B9" TargetMode="External"/><Relationship Id="rId416" Type="http://schemas.openxmlformats.org/officeDocument/2006/relationships/hyperlink" Target="http://internal-awcp0018-alb00105-616219119.ap-northeast-1.elb.amazonaws.com/NPM_Innovator/?StartItem=z_sm_ParaValue:A33041DFFBF74A2EB741FDFF2E74C457" TargetMode="External"/><Relationship Id="rId220" Type="http://schemas.openxmlformats.org/officeDocument/2006/relationships/hyperlink" Target="http://internal-awcp0018-alb00105-616219119.ap-northeast-1.elb.amazonaws.com/NPM_Innovator/?StartItem=z_sm_ParaValue:29C9398C68554E5A901214C585CC5495" TargetMode="External"/><Relationship Id="rId241" Type="http://schemas.openxmlformats.org/officeDocument/2006/relationships/hyperlink" Target="http://internal-awcp0018-alb00105-616219119.ap-northeast-1.elb.amazonaws.com/NPM_Innovator/?StartItem=z_sm_ParaValue:50FD42380B944946A63C5938BE16B967" TargetMode="External"/><Relationship Id="rId437" Type="http://schemas.openxmlformats.org/officeDocument/2006/relationships/hyperlink" Target="http://internal-awcp0018-alb00105-616219119.ap-northeast-1.elb.amazonaws.com/NPM_Innovator/?StartItem=z_sm_ParaValue:469AAB32B8C541AFBA6E5785B85C0AB0" TargetMode="External"/><Relationship Id="rId458" Type="http://schemas.openxmlformats.org/officeDocument/2006/relationships/hyperlink" Target="http://internal-awcp0018-alb00105-616219119.ap-northeast-1.elb.amazonaws.com/NPM_Innovator/?StartItem=z_sm_ParaValue:4FB872B47D74420D877122C057021771" TargetMode="External"/><Relationship Id="rId15" Type="http://schemas.openxmlformats.org/officeDocument/2006/relationships/hyperlink" Target="http://internal-awcp0018-alb00105-616219119.ap-northeast-1.elb.amazonaws.com/NPM_Innovator/?StartItem=z_sm_ParaValue:1C2563B656D14FBCA06E91B7560C2466" TargetMode="External"/><Relationship Id="rId36" Type="http://schemas.openxmlformats.org/officeDocument/2006/relationships/hyperlink" Target="http://internal-awcp0018-alb00105-616219119.ap-northeast-1.elb.amazonaws.com/NPM_Innovator/?StartItem=z_sm_ParaValue:9BA66B4C22954894A7B62AAFD48245D0" TargetMode="External"/><Relationship Id="rId57" Type="http://schemas.openxmlformats.org/officeDocument/2006/relationships/hyperlink" Target="http://internal-awcp0018-alb00105-616219119.ap-northeast-1.elb.amazonaws.com/NPM_Innovator/?StartItem=z_sm_ParaValue:61E0FB398123407FAC2E8BB82683BC3A" TargetMode="External"/><Relationship Id="rId262" Type="http://schemas.openxmlformats.org/officeDocument/2006/relationships/hyperlink" Target="http://internal-awcp0018-alb00105-616219119.ap-northeast-1.elb.amazonaws.com/NPM_Innovator/?StartItem=z_sm_ParaValue:DD6F781F91034C3884BC6ACC9C3303BD" TargetMode="External"/><Relationship Id="rId283" Type="http://schemas.openxmlformats.org/officeDocument/2006/relationships/hyperlink" Target="http://internal-awcp0018-alb00105-616219119.ap-northeast-1.elb.amazonaws.com/NPM_Innovator/?StartItem=z_sm_ParaValue:E3A38B6537D5486EAD17C6CA0ED56B1C" TargetMode="External"/><Relationship Id="rId318" Type="http://schemas.openxmlformats.org/officeDocument/2006/relationships/hyperlink" Target="http://internal-awcp0018-alb00105-616219119.ap-northeast-1.elb.amazonaws.com/NPM_Innovator/?StartItem=z_sm_ParaValue:19875DD81C4F4BA4BD38DF02C82E0AF7" TargetMode="External"/><Relationship Id="rId339" Type="http://schemas.openxmlformats.org/officeDocument/2006/relationships/hyperlink" Target="http://internal-awcp0018-alb00105-616219119.ap-northeast-1.elb.amazonaws.com/NPM_Innovator/?StartItem=z_sm_ParaValue:83EF26D46D45459F800D60070FBBC12A" TargetMode="External"/><Relationship Id="rId78" Type="http://schemas.openxmlformats.org/officeDocument/2006/relationships/hyperlink" Target="http://internal-awcp0018-alb00105-616219119.ap-northeast-1.elb.amazonaws.com/NPM_Innovator/?StartItem=z_sm_ParaValue:4A70495F66394A968F295C0AFCD542B2" TargetMode="External"/><Relationship Id="rId99" Type="http://schemas.openxmlformats.org/officeDocument/2006/relationships/hyperlink" Target="http://internal-awcp0018-alb00105-616219119.ap-northeast-1.elb.amazonaws.com/NPM_Innovator/?StartItem=z_sm_ParaValue:AEF5F35C583147AE844DAEC5D4C9D8D1" TargetMode="External"/><Relationship Id="rId101" Type="http://schemas.openxmlformats.org/officeDocument/2006/relationships/hyperlink" Target="http://internal-awcp0018-alb00105-616219119.ap-northeast-1.elb.amazonaws.com/NPM_Innovator/?StartItem=z_sm_ParaValue:D4215BADF5514F96AC25AF443FD6B978" TargetMode="External"/><Relationship Id="rId122" Type="http://schemas.openxmlformats.org/officeDocument/2006/relationships/hyperlink" Target="http://internal-awcp0018-alb00105-616219119.ap-northeast-1.elb.amazonaws.com/NPM_Innovator/?StartItem=z_sm_ParaValue:2D0C2544E4394BB1B6D498E471089883" TargetMode="External"/><Relationship Id="rId143" Type="http://schemas.openxmlformats.org/officeDocument/2006/relationships/hyperlink" Target="http://internal-awcp0018-alb00105-616219119.ap-northeast-1.elb.amazonaws.com/NPM_Innovator/?StartItem=z_sm_ParaValue:2B2C70492F7A4C9581E4206CF1187118" TargetMode="External"/><Relationship Id="rId164" Type="http://schemas.openxmlformats.org/officeDocument/2006/relationships/hyperlink" Target="http://internal-awcp0018-alb00105-616219119.ap-northeast-1.elb.amazonaws.com/NPM_Innovator/?StartItem=z_sm_ParaValue:11C79E324EA344A6A653BA699152D94E" TargetMode="External"/><Relationship Id="rId185" Type="http://schemas.openxmlformats.org/officeDocument/2006/relationships/hyperlink" Target="http://internal-awcp0018-alb00105-616219119.ap-northeast-1.elb.amazonaws.com/NPM_Innovator/?StartItem=z_sm_ParaValue:D03896F79CF64B59BB16777CB33E72BF" TargetMode="External"/><Relationship Id="rId350" Type="http://schemas.openxmlformats.org/officeDocument/2006/relationships/hyperlink" Target="http://internal-awcp0018-alb00105-616219119.ap-northeast-1.elb.amazonaws.com/NPM_Innovator/?StartItem=z_sm_ParaValue:94F388DFDD11406D9CC551425D680249" TargetMode="External"/><Relationship Id="rId371" Type="http://schemas.openxmlformats.org/officeDocument/2006/relationships/hyperlink" Target="http://internal-awcp0018-alb00105-616219119.ap-northeast-1.elb.amazonaws.com/NPM_Innovator/?StartItem=z_sm_ParaValue:60B5A50A482445F1840F1281AB36593B" TargetMode="External"/><Relationship Id="rId406" Type="http://schemas.openxmlformats.org/officeDocument/2006/relationships/hyperlink" Target="http://internal-awcp0018-alb00105-616219119.ap-northeast-1.elb.amazonaws.com/NPM_Innovator/?StartItem=z_sm_ParaValue:02243DCEEE8547DC99878FE795B738E2" TargetMode="External"/><Relationship Id="rId9" Type="http://schemas.openxmlformats.org/officeDocument/2006/relationships/hyperlink" Target="http://internal-awcp0018-alb00105-616219119.ap-northeast-1.elb.amazonaws.com/NPM_Innovator/?StartItem=z_sm_ParaValue:A182764EDDB94938A0A28B2798381103" TargetMode="External"/><Relationship Id="rId210" Type="http://schemas.openxmlformats.org/officeDocument/2006/relationships/hyperlink" Target="http://internal-awcp0018-alb00105-616219119.ap-northeast-1.elb.amazonaws.com/NPM_Innovator/?StartItem=z_sm_ParaValue:5FE48D87BAF74A72AF9BF27A105B5E33" TargetMode="External"/><Relationship Id="rId392" Type="http://schemas.openxmlformats.org/officeDocument/2006/relationships/hyperlink" Target="http://internal-awcp0018-alb00105-616219119.ap-northeast-1.elb.amazonaws.com/NPM_Innovator/?StartItem=z_sm_ParaValue:6F458AE39AC6486DBAB2EFAE86DA62A2" TargetMode="External"/><Relationship Id="rId427" Type="http://schemas.openxmlformats.org/officeDocument/2006/relationships/hyperlink" Target="http://internal-awcp0018-alb00105-616219119.ap-northeast-1.elb.amazonaws.com/NPM_Innovator/?StartItem=z_sm_ParaValue:DA56B1270BF64E7F9E2ABFDD157C8A68" TargetMode="External"/><Relationship Id="rId448" Type="http://schemas.openxmlformats.org/officeDocument/2006/relationships/hyperlink" Target="http://internal-awcp0018-alb00105-616219119.ap-northeast-1.elb.amazonaws.com/NPM_Innovator/?StartItem=z_sm_ParaValue:BC2A1AE198DF4DCD94EC70907E76AD2F" TargetMode="External"/><Relationship Id="rId469" Type="http://schemas.openxmlformats.org/officeDocument/2006/relationships/hyperlink" Target="http://internal-awcp0018-alb00105-616219119.ap-northeast-1.elb.amazonaws.com/NPM_Innovator/?StartItem=z_sm_ParaValue:63FD7B62317B4B2FA0C34CCF9897FCAD" TargetMode="External"/><Relationship Id="rId26" Type="http://schemas.openxmlformats.org/officeDocument/2006/relationships/hyperlink" Target="http://internal-awcp0018-alb00105-616219119.ap-northeast-1.elb.amazonaws.com/NPM_Innovator/?StartItem=z_sm_ParaValue:3D4E6CEFB9964A178C10B68CFEA62060" TargetMode="External"/><Relationship Id="rId231" Type="http://schemas.openxmlformats.org/officeDocument/2006/relationships/hyperlink" Target="http://internal-awcp0018-alb00105-616219119.ap-northeast-1.elb.amazonaws.com/NPM_Innovator/?StartItem=z_sm_ParaValue:2BEB1CFC42734C6981BF60E5408D3777" TargetMode="External"/><Relationship Id="rId252" Type="http://schemas.openxmlformats.org/officeDocument/2006/relationships/hyperlink" Target="http://internal-awcp0018-alb00105-616219119.ap-northeast-1.elb.amazonaws.com/NPM_Innovator/?StartItem=z_sm_ParaValue:6BBA23C8B04647F3A96ED87CA1A6FD0B" TargetMode="External"/><Relationship Id="rId273" Type="http://schemas.openxmlformats.org/officeDocument/2006/relationships/hyperlink" Target="http://internal-awcp0018-alb00105-616219119.ap-northeast-1.elb.amazonaws.com/NPM_Innovator/?StartItem=z_sm_ParaValue:8EBE7E4E11AE42B3BF2E28220E5A37ED" TargetMode="External"/><Relationship Id="rId294" Type="http://schemas.openxmlformats.org/officeDocument/2006/relationships/hyperlink" Target="http://internal-awcp0018-alb00105-616219119.ap-northeast-1.elb.amazonaws.com/NPM_Innovator/?StartItem=z_sm_ParaValue:769EEC021B2041318AF3A2CB954B256A" TargetMode="External"/><Relationship Id="rId308" Type="http://schemas.openxmlformats.org/officeDocument/2006/relationships/hyperlink" Target="http://internal-awcp0018-alb00105-616219119.ap-northeast-1.elb.amazonaws.com/NPM_Innovator/?StartItem=z_sm_ParaValue:6C6AA90B7BD94B90A642E871EBBEDCAA" TargetMode="External"/><Relationship Id="rId329" Type="http://schemas.openxmlformats.org/officeDocument/2006/relationships/hyperlink" Target="http://internal-awcp0018-alb00105-616219119.ap-northeast-1.elb.amazonaws.com/NPM_Innovator/?StartItem=z_sm_ParaValue:CD1CA668714C4B78992B278831B76331" TargetMode="External"/><Relationship Id="rId47" Type="http://schemas.openxmlformats.org/officeDocument/2006/relationships/hyperlink" Target="http://internal-awcp0018-alb00105-616219119.ap-northeast-1.elb.amazonaws.com/NPM_Innovator/?StartItem=z_sm_ParaValue:973CACB336804E86A604AFBF45323CAD" TargetMode="External"/><Relationship Id="rId68" Type="http://schemas.openxmlformats.org/officeDocument/2006/relationships/hyperlink" Target="http://internal-awcp0018-alb00105-616219119.ap-northeast-1.elb.amazonaws.com/NPM_Innovator/?StartItem=z_sm_ParaValue:60A2A9E235114E85BF9F33DF1D8A1F2C" TargetMode="External"/><Relationship Id="rId89" Type="http://schemas.openxmlformats.org/officeDocument/2006/relationships/hyperlink" Target="http://internal-awcp0018-alb00105-616219119.ap-northeast-1.elb.amazonaws.com/NPM_Innovator/?StartItem=z_sm_ParaValue:13D3772415CD4BE6B654E467E3A4AC0B" TargetMode="External"/><Relationship Id="rId112" Type="http://schemas.openxmlformats.org/officeDocument/2006/relationships/hyperlink" Target="http://internal-awcp0018-alb00105-616219119.ap-northeast-1.elb.amazonaws.com/NPM_Innovator/?StartItem=z_sm_ParaValue:45D30C340C3441D49F1B3E68992F8A64" TargetMode="External"/><Relationship Id="rId133" Type="http://schemas.openxmlformats.org/officeDocument/2006/relationships/hyperlink" Target="http://internal-awcp0018-alb00105-616219119.ap-northeast-1.elb.amazonaws.com/NPM_Innovator/?StartItem=z_sm_ParaValue:2034A382770E4CA0852F4FB192A15D72" TargetMode="External"/><Relationship Id="rId154" Type="http://schemas.openxmlformats.org/officeDocument/2006/relationships/hyperlink" Target="http://internal-awcp0018-alb00105-616219119.ap-northeast-1.elb.amazonaws.com/NPM_Innovator/?StartItem=z_sm_ParaValue:6A172D861F524BEABC248992C09BD9A6" TargetMode="External"/><Relationship Id="rId175" Type="http://schemas.openxmlformats.org/officeDocument/2006/relationships/hyperlink" Target="http://internal-awcp0018-alb00105-616219119.ap-northeast-1.elb.amazonaws.com/NPM_Innovator/?StartItem=z_sm_ParaValue:13D9B1636D2245E48E1926B476B33AE3" TargetMode="External"/><Relationship Id="rId340" Type="http://schemas.openxmlformats.org/officeDocument/2006/relationships/hyperlink" Target="http://internal-awcp0018-alb00105-616219119.ap-northeast-1.elb.amazonaws.com/NPM_Innovator/?StartItem=z_sm_ParaValue:D6CBDF8EF5F44D77819D63C42E31C678" TargetMode="External"/><Relationship Id="rId361" Type="http://schemas.openxmlformats.org/officeDocument/2006/relationships/hyperlink" Target="http://internal-awcp0018-alb00105-616219119.ap-northeast-1.elb.amazonaws.com/NPM_Innovator/?StartItem=z_sm_ParaValue:9A519CF42EF74B908E29EF5045841C1D" TargetMode="External"/><Relationship Id="rId196" Type="http://schemas.openxmlformats.org/officeDocument/2006/relationships/hyperlink" Target="http://internal-awcp0018-alb00105-616219119.ap-northeast-1.elb.amazonaws.com/NPM_Innovator/?StartItem=z_sm_ParaValue:0B6A56BB31704F2A93F6EB46A566BA04" TargetMode="External"/><Relationship Id="rId200" Type="http://schemas.openxmlformats.org/officeDocument/2006/relationships/hyperlink" Target="http://internal-awcp0018-alb00105-616219119.ap-northeast-1.elb.amazonaws.com/NPM_Innovator/?StartItem=z_sm_ParaValue:34538A63AC204666B73A271049C891BE" TargetMode="External"/><Relationship Id="rId382" Type="http://schemas.openxmlformats.org/officeDocument/2006/relationships/hyperlink" Target="http://internal-awcp0018-alb00105-616219119.ap-northeast-1.elb.amazonaws.com/NPM_Innovator/?StartItem=z_sm_ParaValue:4F1566191C5A4F889A45739F64C22FDA" TargetMode="External"/><Relationship Id="rId417" Type="http://schemas.openxmlformats.org/officeDocument/2006/relationships/hyperlink" Target="http://internal-awcp0018-alb00105-616219119.ap-northeast-1.elb.amazonaws.com/NPM_Innovator/?StartItem=z_sm_ParaValue:42D056E7DA6042E18FF96A2E503990E4" TargetMode="External"/><Relationship Id="rId438" Type="http://schemas.openxmlformats.org/officeDocument/2006/relationships/hyperlink" Target="http://internal-awcp0018-alb00105-616219119.ap-northeast-1.elb.amazonaws.com/NPM_Innovator/?StartItem=z_sm_ParaValue:C2BA23A365714C8ABE9C2B0417986BB5" TargetMode="External"/><Relationship Id="rId459" Type="http://schemas.openxmlformats.org/officeDocument/2006/relationships/hyperlink" Target="http://internal-awcp0018-alb00105-616219119.ap-northeast-1.elb.amazonaws.com/NPM_Innovator/?StartItem=z_sm_ParaValue:9F29E739367D49F6AADC6C5C9A549DDA" TargetMode="External"/><Relationship Id="rId16" Type="http://schemas.openxmlformats.org/officeDocument/2006/relationships/hyperlink" Target="http://internal-awcp0018-alb00105-616219119.ap-northeast-1.elb.amazonaws.com/NPM_Innovator/?StartItem=z_sm_ParaValue:98D3D4E964E84E5A9B4AAA3A39B0C852" TargetMode="External"/><Relationship Id="rId221" Type="http://schemas.openxmlformats.org/officeDocument/2006/relationships/hyperlink" Target="http://internal-awcp0018-alb00105-616219119.ap-northeast-1.elb.amazonaws.com/NPM_Innovator/?StartItem=z_sm_ParaValue:5862C5F8CFA4409B80C2EB094271F8E8" TargetMode="External"/><Relationship Id="rId242" Type="http://schemas.openxmlformats.org/officeDocument/2006/relationships/hyperlink" Target="http://internal-awcp0018-alb00105-616219119.ap-northeast-1.elb.amazonaws.com/NPM_Innovator/?StartItem=z_sm_ParaValue:2377942BD4D3486CA621734812272AC6" TargetMode="External"/><Relationship Id="rId263" Type="http://schemas.openxmlformats.org/officeDocument/2006/relationships/hyperlink" Target="http://internal-awcp0018-alb00105-616219119.ap-northeast-1.elb.amazonaws.com/NPM_Innovator/?StartItem=z_sm_ParaValue:B2A9EDEB7E0744B08408E2C0249F544F" TargetMode="External"/><Relationship Id="rId284" Type="http://schemas.openxmlformats.org/officeDocument/2006/relationships/hyperlink" Target="http://internal-awcp0018-alb00105-616219119.ap-northeast-1.elb.amazonaws.com/NPM_Innovator/?StartItem=z_sm_ParaValue:D4B5624C9C164E4186A20E8BF326D0C9" TargetMode="External"/><Relationship Id="rId319" Type="http://schemas.openxmlformats.org/officeDocument/2006/relationships/hyperlink" Target="http://internal-awcp0018-alb00105-616219119.ap-northeast-1.elb.amazonaws.com/NPM_Innovator/?StartItem=z_sm_ParaValue:7092980C1DEA46FCBB0421ACA4128F58" TargetMode="External"/><Relationship Id="rId470" Type="http://schemas.openxmlformats.org/officeDocument/2006/relationships/hyperlink" Target="http://internal-awcp0018-alb00105-616219119.ap-northeast-1.elb.amazonaws.com/NPM_Innovator/?StartItem=z_sm_ParaValue:25C4378A831F410E8B52166CAA4D20A2" TargetMode="External"/><Relationship Id="rId37" Type="http://schemas.openxmlformats.org/officeDocument/2006/relationships/hyperlink" Target="http://internal-awcp0018-alb00105-616219119.ap-northeast-1.elb.amazonaws.com/NPM_Innovator/?StartItem=z_sm_ParaValue:A3662D0EFBAF49E79322CA58B2B5B3CA" TargetMode="External"/><Relationship Id="rId58" Type="http://schemas.openxmlformats.org/officeDocument/2006/relationships/hyperlink" Target="http://internal-awcp0018-alb00105-616219119.ap-northeast-1.elb.amazonaws.com/NPM_Innovator/?StartItem=z_sm_ParaValue:C8ABEDB5239C4B89B657623123CF13BD" TargetMode="External"/><Relationship Id="rId79" Type="http://schemas.openxmlformats.org/officeDocument/2006/relationships/hyperlink" Target="http://internal-awcp0018-alb00105-616219119.ap-northeast-1.elb.amazonaws.com/NPM_Innovator/?StartItem=z_sm_ParaValue:90B783298E924E479BFB5F787BC1923C" TargetMode="External"/><Relationship Id="rId102" Type="http://schemas.openxmlformats.org/officeDocument/2006/relationships/hyperlink" Target="http://internal-awcp0018-alb00105-616219119.ap-northeast-1.elb.amazonaws.com/NPM_Innovator/?StartItem=z_sm_ParaValue:5938B319467241ADB5602D642C6E2A7D" TargetMode="External"/><Relationship Id="rId123" Type="http://schemas.openxmlformats.org/officeDocument/2006/relationships/hyperlink" Target="http://internal-awcp0018-alb00105-616219119.ap-northeast-1.elb.amazonaws.com/NPM_Innovator/?StartItem=z_sm_ParaValue:81BD53A2C2304F20A96A5583ED148079" TargetMode="External"/><Relationship Id="rId144" Type="http://schemas.openxmlformats.org/officeDocument/2006/relationships/hyperlink" Target="http://internal-awcp0018-alb00105-616219119.ap-northeast-1.elb.amazonaws.com/NPM_Innovator/?StartItem=z_sm_ParaValue:897621E3921E43F8B11E914764AC5B3F" TargetMode="External"/><Relationship Id="rId330" Type="http://schemas.openxmlformats.org/officeDocument/2006/relationships/hyperlink" Target="http://internal-awcp0018-alb00105-616219119.ap-northeast-1.elb.amazonaws.com/NPM_Innovator/?StartItem=z_sm_ParaValue:8CFC4605143C47D3AF51E5C5CB45328C" TargetMode="External"/><Relationship Id="rId90" Type="http://schemas.openxmlformats.org/officeDocument/2006/relationships/hyperlink" Target="http://internal-awcp0018-alb00105-616219119.ap-northeast-1.elb.amazonaws.com/NPM_Innovator/?StartItem=z_sm_ParaValue:E004CD8291B74036AD884DBA709ED6E8" TargetMode="External"/><Relationship Id="rId165" Type="http://schemas.openxmlformats.org/officeDocument/2006/relationships/hyperlink" Target="http://internal-awcp0018-alb00105-616219119.ap-northeast-1.elb.amazonaws.com/NPM_Innovator/?StartItem=z_sm_ParaValue:9AAAAEF9F65D42079E9AA69B5AEAF8D2" TargetMode="External"/><Relationship Id="rId186" Type="http://schemas.openxmlformats.org/officeDocument/2006/relationships/hyperlink" Target="http://internal-awcp0018-alb00105-616219119.ap-northeast-1.elb.amazonaws.com/NPM_Innovator/?StartItem=z_sm_ParaValue:1CD03CAEF3D548A890821276DE60CA8A" TargetMode="External"/><Relationship Id="rId351" Type="http://schemas.openxmlformats.org/officeDocument/2006/relationships/hyperlink" Target="http://internal-awcp0018-alb00105-616219119.ap-northeast-1.elb.amazonaws.com/NPM_Innovator/?StartItem=z_sm_ParaValue:D36E78921B634F768ADC8CD385D88361" TargetMode="External"/><Relationship Id="rId372" Type="http://schemas.openxmlformats.org/officeDocument/2006/relationships/hyperlink" Target="http://internal-awcp0018-alb00105-616219119.ap-northeast-1.elb.amazonaws.com/NPM_Innovator/?StartItem=z_sm_ParaValue:C9CD01BE3AD34C9AB1CAAF06263E6557" TargetMode="External"/><Relationship Id="rId393" Type="http://schemas.openxmlformats.org/officeDocument/2006/relationships/hyperlink" Target="http://internal-awcp0018-alb00105-616219119.ap-northeast-1.elb.amazonaws.com/NPM_Innovator/?StartItem=z_sm_ParaValue:07DD43F3671849DE9D1F8281BA6C0BD1" TargetMode="External"/><Relationship Id="rId407" Type="http://schemas.openxmlformats.org/officeDocument/2006/relationships/hyperlink" Target="http://internal-awcp0018-alb00105-616219119.ap-northeast-1.elb.amazonaws.com/NPM_Innovator/?StartItem=z_sm_ParaValue:407EDD5FFF414508B21F4537AF406C8A" TargetMode="External"/><Relationship Id="rId428" Type="http://schemas.openxmlformats.org/officeDocument/2006/relationships/hyperlink" Target="http://internal-awcp0018-alb00105-616219119.ap-northeast-1.elb.amazonaws.com/NPM_Innovator/?StartItem=z_sm_ParaValue:FF7662670A18404B9E930613C2C690A2" TargetMode="External"/><Relationship Id="rId449" Type="http://schemas.openxmlformats.org/officeDocument/2006/relationships/hyperlink" Target="http://internal-awcp0018-alb00105-616219119.ap-northeast-1.elb.amazonaws.com/NPM_Innovator/?StartItem=z_sm_ParaValue:D3161D23FEE4408BA8FAB40AB4D923C0" TargetMode="External"/><Relationship Id="rId211" Type="http://schemas.openxmlformats.org/officeDocument/2006/relationships/hyperlink" Target="http://internal-awcp0018-alb00105-616219119.ap-northeast-1.elb.amazonaws.com/NPM_Innovator/?StartItem=z_sm_ParaValue:ADAEBA3382BD4167A0143DEEA1D4CE8D" TargetMode="External"/><Relationship Id="rId232" Type="http://schemas.openxmlformats.org/officeDocument/2006/relationships/hyperlink" Target="http://internal-awcp0018-alb00105-616219119.ap-northeast-1.elb.amazonaws.com/NPM_Innovator/?StartItem=z_sm_ParaValue:FA996CD5101E43E18DAFE95B78225131" TargetMode="External"/><Relationship Id="rId253" Type="http://schemas.openxmlformats.org/officeDocument/2006/relationships/hyperlink" Target="http://internal-awcp0018-alb00105-616219119.ap-northeast-1.elb.amazonaws.com/NPM_Innovator/?StartItem=z_sm_ParaValue:BC95C7B73A714A3886164270E7CF45F7" TargetMode="External"/><Relationship Id="rId274" Type="http://schemas.openxmlformats.org/officeDocument/2006/relationships/hyperlink" Target="http://internal-awcp0018-alb00105-616219119.ap-northeast-1.elb.amazonaws.com/NPM_Innovator/?StartItem=z_sm_ParaValue:2CA7C0E86B324B3AB61B0E0BADF6AF14" TargetMode="External"/><Relationship Id="rId295" Type="http://schemas.openxmlformats.org/officeDocument/2006/relationships/hyperlink" Target="http://internal-awcp0018-alb00105-616219119.ap-northeast-1.elb.amazonaws.com/NPM_Innovator/?StartItem=z_sm_ParaValue:250CB85421AE47478D5F4CF1355FB767" TargetMode="External"/><Relationship Id="rId309" Type="http://schemas.openxmlformats.org/officeDocument/2006/relationships/hyperlink" Target="http://internal-awcp0018-alb00105-616219119.ap-northeast-1.elb.amazonaws.com/NPM_Innovator/?StartItem=z_sm_ParaValue:30847EDA56D7444090462E1D5CCF7D1D" TargetMode="External"/><Relationship Id="rId460" Type="http://schemas.openxmlformats.org/officeDocument/2006/relationships/hyperlink" Target="http://internal-awcp0018-alb00105-616219119.ap-northeast-1.elb.amazonaws.com/NPM_Innovator/?StartItem=z_sm_ParaValue:85F74CC9367A4758A336D8184BFF799B" TargetMode="External"/><Relationship Id="rId27" Type="http://schemas.openxmlformats.org/officeDocument/2006/relationships/hyperlink" Target="http://internal-awcp0018-alb00105-616219119.ap-northeast-1.elb.amazonaws.com/NPM_Innovator/?StartItem=z_sm_ParaValue:550B6C02C8ED4F799EE757B2440E80DF" TargetMode="External"/><Relationship Id="rId48" Type="http://schemas.openxmlformats.org/officeDocument/2006/relationships/hyperlink" Target="http://internal-awcp0018-alb00105-616219119.ap-northeast-1.elb.amazonaws.com/NPM_Innovator/?StartItem=z_sm_ParaValue:79B4E5DE6C77414389DDDA3456BA217F" TargetMode="External"/><Relationship Id="rId69" Type="http://schemas.openxmlformats.org/officeDocument/2006/relationships/hyperlink" Target="http://internal-awcp0018-alb00105-616219119.ap-northeast-1.elb.amazonaws.com/NPM_Innovator/?StartItem=z_sm_ParaValue:A6AD3A6E929843DE8FF2130E3FEC8484" TargetMode="External"/><Relationship Id="rId113" Type="http://schemas.openxmlformats.org/officeDocument/2006/relationships/hyperlink" Target="http://internal-awcp0018-alb00105-616219119.ap-northeast-1.elb.amazonaws.com/NPM_Innovator/?StartItem=z_sm_ParaValue:0EFC99946331432DA7F8F7D752B88C43" TargetMode="External"/><Relationship Id="rId134" Type="http://schemas.openxmlformats.org/officeDocument/2006/relationships/hyperlink" Target="http://internal-awcp0018-alb00105-616219119.ap-northeast-1.elb.amazonaws.com/NPM_Innovator/?StartItem=z_sm_ParaValue:E4B9782F50DA4AFA838E8D1BB1D88A85" TargetMode="External"/><Relationship Id="rId320" Type="http://schemas.openxmlformats.org/officeDocument/2006/relationships/hyperlink" Target="http://internal-awcp0018-alb00105-616219119.ap-northeast-1.elb.amazonaws.com/NPM_Innovator/?StartItem=z_sm_ParaValue:761FCD1CC5AE4FEEB783CD8617EA2CC8" TargetMode="External"/><Relationship Id="rId80" Type="http://schemas.openxmlformats.org/officeDocument/2006/relationships/hyperlink" Target="http://internal-awcp0018-alb00105-616219119.ap-northeast-1.elb.amazonaws.com/NPM_Innovator/?StartItem=z_sm_ParaValue:ADF28C4D6EB54AEABD33E1689EE1B9A2" TargetMode="External"/><Relationship Id="rId155" Type="http://schemas.openxmlformats.org/officeDocument/2006/relationships/hyperlink" Target="http://internal-awcp0018-alb00105-616219119.ap-northeast-1.elb.amazonaws.com/NPM_Innovator/?StartItem=z_sm_ParaValue:562D7DC4773C4BEDA487A895B3E8B647" TargetMode="External"/><Relationship Id="rId176" Type="http://schemas.openxmlformats.org/officeDocument/2006/relationships/hyperlink" Target="http://internal-awcp0018-alb00105-616219119.ap-northeast-1.elb.amazonaws.com/NPM_Innovator/?StartItem=z_sm_ParaValue:C90CA205D30E4552B239ADFEBD05E8B0" TargetMode="External"/><Relationship Id="rId197" Type="http://schemas.openxmlformats.org/officeDocument/2006/relationships/hyperlink" Target="http://internal-awcp0018-alb00105-616219119.ap-northeast-1.elb.amazonaws.com/NPM_Innovator/?StartItem=z_sm_ParaValue:68790E50CC76488FA2946535BFF7A7BA" TargetMode="External"/><Relationship Id="rId341" Type="http://schemas.openxmlformats.org/officeDocument/2006/relationships/hyperlink" Target="http://internal-awcp0018-alb00105-616219119.ap-northeast-1.elb.amazonaws.com/NPM_Innovator/?StartItem=z_sm_ParaValue:E9329025BE0A4E358DA8210FCC4A0267" TargetMode="External"/><Relationship Id="rId362" Type="http://schemas.openxmlformats.org/officeDocument/2006/relationships/hyperlink" Target="http://internal-awcp0018-alb00105-616219119.ap-northeast-1.elb.amazonaws.com/NPM_Innovator/?StartItem=z_sm_ParaValue:127B641170534912B4F70681EA77BE03" TargetMode="External"/><Relationship Id="rId383" Type="http://schemas.openxmlformats.org/officeDocument/2006/relationships/hyperlink" Target="http://internal-awcp0018-alb00105-616219119.ap-northeast-1.elb.amazonaws.com/NPM_Innovator/?StartItem=z_sm_ParaValue:62D750855A124E8BA9229C1060DB3B9B" TargetMode="External"/><Relationship Id="rId418" Type="http://schemas.openxmlformats.org/officeDocument/2006/relationships/hyperlink" Target="http://internal-awcp0018-alb00105-616219119.ap-northeast-1.elb.amazonaws.com/NPM_Innovator/?StartItem=z_sm_ParaValue:C007BA9073E14221AE48158FCD9C5CFD" TargetMode="External"/><Relationship Id="rId439" Type="http://schemas.openxmlformats.org/officeDocument/2006/relationships/hyperlink" Target="http://internal-awcp0018-alb00105-616219119.ap-northeast-1.elb.amazonaws.com/NPM_Innovator/?StartItem=z_sm_ParaValue:0B89E5F9727B487FA114ADE0BB60F5D0" TargetMode="External"/><Relationship Id="rId201" Type="http://schemas.openxmlformats.org/officeDocument/2006/relationships/hyperlink" Target="http://internal-awcp0018-alb00105-616219119.ap-northeast-1.elb.amazonaws.com/NPM_Innovator/?StartItem=z_sm_ParaValue:CC1AE742D9074B889742D5E56F664CE2" TargetMode="External"/><Relationship Id="rId222" Type="http://schemas.openxmlformats.org/officeDocument/2006/relationships/hyperlink" Target="http://internal-awcp0018-alb00105-616219119.ap-northeast-1.elb.amazonaws.com/NPM_Innovator/?StartItem=z_sm_ParaValue:E82B498FB6524344BBE50CD084C85149" TargetMode="External"/><Relationship Id="rId243" Type="http://schemas.openxmlformats.org/officeDocument/2006/relationships/hyperlink" Target="http://internal-awcp0018-alb00105-616219119.ap-northeast-1.elb.amazonaws.com/NPM_Innovator/?StartItem=z_sm_ParaValue:751CB0B346544A3DB7DB5DCD547F699E" TargetMode="External"/><Relationship Id="rId264" Type="http://schemas.openxmlformats.org/officeDocument/2006/relationships/hyperlink" Target="http://internal-awcp0018-alb00105-616219119.ap-northeast-1.elb.amazonaws.com/NPM_Innovator/?StartItem=z_sm_ParaValue:F4E74D17C24041F0A972F42C307F979D" TargetMode="External"/><Relationship Id="rId285" Type="http://schemas.openxmlformats.org/officeDocument/2006/relationships/hyperlink" Target="http://internal-awcp0018-alb00105-616219119.ap-northeast-1.elb.amazonaws.com/NPM_Innovator/?StartItem=z_sm_ParaValue:A3814086495C46D18C53F39B8F193A23" TargetMode="External"/><Relationship Id="rId450" Type="http://schemas.openxmlformats.org/officeDocument/2006/relationships/hyperlink" Target="http://internal-awcp0018-alb00105-616219119.ap-northeast-1.elb.amazonaws.com/NPM_Innovator/?StartItem=z_sm_ParaValue:B61B2F18D6AD482EAA24DF44F3F75977" TargetMode="External"/><Relationship Id="rId471" Type="http://schemas.openxmlformats.org/officeDocument/2006/relationships/hyperlink" Target="http://internal-awcp0018-alb00105-616219119.ap-northeast-1.elb.amazonaws.com/NPM_Innovator/?StartItem=z_sm_ParaValue:9607B5F614554E99929813BD59157587" TargetMode="External"/><Relationship Id="rId17" Type="http://schemas.openxmlformats.org/officeDocument/2006/relationships/hyperlink" Target="http://internal-awcp0018-alb00105-616219119.ap-northeast-1.elb.amazonaws.com/NPM_Innovator/?StartItem=z_sm_ParaValue:649A821DE5E74AC29AACE1106038D2E6" TargetMode="External"/><Relationship Id="rId38" Type="http://schemas.openxmlformats.org/officeDocument/2006/relationships/hyperlink" Target="http://internal-awcp0018-alb00105-616219119.ap-northeast-1.elb.amazonaws.com/NPM_Innovator/?StartItem=z_sm_ParaValue:6E98B179E3C847E19467E51F679074D3" TargetMode="External"/><Relationship Id="rId59" Type="http://schemas.openxmlformats.org/officeDocument/2006/relationships/hyperlink" Target="http://internal-awcp0018-alb00105-616219119.ap-northeast-1.elb.amazonaws.com/NPM_Innovator/?StartItem=z_sm_ParaValue:35E891A1293C477FBB056A196332867F" TargetMode="External"/><Relationship Id="rId103" Type="http://schemas.openxmlformats.org/officeDocument/2006/relationships/hyperlink" Target="http://internal-awcp0018-alb00105-616219119.ap-northeast-1.elb.amazonaws.com/NPM_Innovator/?StartItem=z_sm_ParaValue:4861631E5C5D4F4B9DC2374406B7E4A0" TargetMode="External"/><Relationship Id="rId124" Type="http://schemas.openxmlformats.org/officeDocument/2006/relationships/hyperlink" Target="http://internal-awcp0018-alb00105-616219119.ap-northeast-1.elb.amazonaws.com/NPM_Innovator/?StartItem=z_sm_ParaValue:F2FB51720DD74853B55E28B87035394F" TargetMode="External"/><Relationship Id="rId310" Type="http://schemas.openxmlformats.org/officeDocument/2006/relationships/hyperlink" Target="http://internal-awcp0018-alb00105-616219119.ap-northeast-1.elb.amazonaws.com/NPM_Innovator/?StartItem=z_sm_ParaValue:115D802416944DB5B2A93D2C030A3258" TargetMode="External"/><Relationship Id="rId70" Type="http://schemas.openxmlformats.org/officeDocument/2006/relationships/hyperlink" Target="http://internal-awcp0018-alb00105-616219119.ap-northeast-1.elb.amazonaws.com/NPM_Innovator/?StartItem=z_sm_ParaValue:04274D05AAB8483690D0DE6571C7F8FE" TargetMode="External"/><Relationship Id="rId91" Type="http://schemas.openxmlformats.org/officeDocument/2006/relationships/hyperlink" Target="http://internal-awcp0018-alb00105-616219119.ap-northeast-1.elb.amazonaws.com/NPM_Innovator/?StartItem=z_sm_ParaValue:6CDC2F0A1CB841B199C6547A5A3DB194" TargetMode="External"/><Relationship Id="rId145" Type="http://schemas.openxmlformats.org/officeDocument/2006/relationships/hyperlink" Target="http://internal-awcp0018-alb00105-616219119.ap-northeast-1.elb.amazonaws.com/NPM_Innovator/?StartItem=z_sm_ParaValue:E2EDE90526D242C0A83D4B5BECD6AC63" TargetMode="External"/><Relationship Id="rId166" Type="http://schemas.openxmlformats.org/officeDocument/2006/relationships/hyperlink" Target="http://internal-awcp0018-alb00105-616219119.ap-northeast-1.elb.amazonaws.com/NPM_Innovator/?StartItem=z_sm_ParaValue:19FB57AA8BA149019540D28AFF5D3C43" TargetMode="External"/><Relationship Id="rId187" Type="http://schemas.openxmlformats.org/officeDocument/2006/relationships/hyperlink" Target="http://internal-awcp0018-alb00105-616219119.ap-northeast-1.elb.amazonaws.com/NPM_Innovator/?StartItem=z_sm_ParaValue:C39BC57FA0164954A969FBD975BEE365" TargetMode="External"/><Relationship Id="rId331" Type="http://schemas.openxmlformats.org/officeDocument/2006/relationships/hyperlink" Target="http://internal-awcp0018-alb00105-616219119.ap-northeast-1.elb.amazonaws.com/NPM_Innovator/?StartItem=z_sm_ParaValue:634B9CD5DB0B49EEAE7B7245FE23908F" TargetMode="External"/><Relationship Id="rId352" Type="http://schemas.openxmlformats.org/officeDocument/2006/relationships/hyperlink" Target="http://internal-awcp0018-alb00105-616219119.ap-northeast-1.elb.amazonaws.com/NPM_Innovator/?StartItem=z_sm_ParaValue:FBBDE9FD4EED468CACB16E6134DC33F5" TargetMode="External"/><Relationship Id="rId373" Type="http://schemas.openxmlformats.org/officeDocument/2006/relationships/hyperlink" Target="http://internal-awcp0018-alb00105-616219119.ap-northeast-1.elb.amazonaws.com/NPM_Innovator/?StartItem=z_sm_ParaValue:4ED932ABCB3B4D598BE7C7BD103AF708" TargetMode="External"/><Relationship Id="rId394" Type="http://schemas.openxmlformats.org/officeDocument/2006/relationships/hyperlink" Target="http://internal-awcp0018-alb00105-616219119.ap-northeast-1.elb.amazonaws.com/NPM_Innovator/?StartItem=z_sm_ParaValue:12D1D626B23B4634AC4C4AEA98B1FD1A" TargetMode="External"/><Relationship Id="rId408" Type="http://schemas.openxmlformats.org/officeDocument/2006/relationships/hyperlink" Target="http://internal-awcp0018-alb00105-616219119.ap-northeast-1.elb.amazonaws.com/NPM_Innovator/?StartItem=z_sm_ParaValue:CED951CFD8B34263B100C2D04982807F" TargetMode="External"/><Relationship Id="rId429" Type="http://schemas.openxmlformats.org/officeDocument/2006/relationships/hyperlink" Target="http://internal-awcp0018-alb00105-616219119.ap-northeast-1.elb.amazonaws.com/NPM_Innovator/?StartItem=z_sm_ParaValue:BFD3E62C67A148EA8DDDBDCCAB31EE5D" TargetMode="External"/><Relationship Id="rId1" Type="http://schemas.openxmlformats.org/officeDocument/2006/relationships/hyperlink" Target="http://internal-awcp0018-alb00105-616219119.ap-northeast-1.elb.amazonaws.com/NPM_Innovator/?StartItem=z_sm_ParaValue:DA30DFBFE7984B3AB7D64C8E00601144" TargetMode="External"/><Relationship Id="rId212" Type="http://schemas.openxmlformats.org/officeDocument/2006/relationships/hyperlink" Target="http://internal-awcp0018-alb00105-616219119.ap-northeast-1.elb.amazonaws.com/NPM_Innovator/?StartItem=z_sm_ParaValue:A6EED9CA630049E1A6756118C769ED1A" TargetMode="External"/><Relationship Id="rId233" Type="http://schemas.openxmlformats.org/officeDocument/2006/relationships/hyperlink" Target="http://internal-awcp0018-alb00105-616219119.ap-northeast-1.elb.amazonaws.com/NPM_Innovator/?StartItem=z_sm_ParaValue:D47CEA4C16674E42A599C980DAF1D8E6" TargetMode="External"/><Relationship Id="rId254" Type="http://schemas.openxmlformats.org/officeDocument/2006/relationships/hyperlink" Target="http://internal-awcp0018-alb00105-616219119.ap-northeast-1.elb.amazonaws.com/NPM_Innovator/?StartItem=z_sm_ParaValue:9CC545800E6A46DDB4D8DA3C749768AA" TargetMode="External"/><Relationship Id="rId440" Type="http://schemas.openxmlformats.org/officeDocument/2006/relationships/hyperlink" Target="http://internal-awcp0018-alb00105-616219119.ap-northeast-1.elb.amazonaws.com/NPM_Innovator/?StartItem=z_sm_ParaValue:11A0821A7D084C619609DAD5721341B3" TargetMode="External"/><Relationship Id="rId28" Type="http://schemas.openxmlformats.org/officeDocument/2006/relationships/hyperlink" Target="http://internal-awcp0018-alb00105-616219119.ap-northeast-1.elb.amazonaws.com/NPM_Innovator/?StartItem=z_sm_ParaValue:7CA870C2635942B3BEBDE9B5A8C91570" TargetMode="External"/><Relationship Id="rId49" Type="http://schemas.openxmlformats.org/officeDocument/2006/relationships/hyperlink" Target="http://internal-awcp0018-alb00105-616219119.ap-northeast-1.elb.amazonaws.com/NPM_Innovator/?StartItem=z_sm_ParaValue:F512D98E0FE845F6AFE7C391B7E470BD" TargetMode="External"/><Relationship Id="rId114" Type="http://schemas.openxmlformats.org/officeDocument/2006/relationships/hyperlink" Target="http://internal-awcp0018-alb00105-616219119.ap-northeast-1.elb.amazonaws.com/NPM_Innovator/?StartItem=z_sm_ParaValue:02E966EDF6444167B8D99F065F1A51E3" TargetMode="External"/><Relationship Id="rId275" Type="http://schemas.openxmlformats.org/officeDocument/2006/relationships/hyperlink" Target="http://internal-awcp0018-alb00105-616219119.ap-northeast-1.elb.amazonaws.com/NPM_Innovator/?StartItem=z_sm_ParaValue:D47D62FD740D4EE2B64FA1E0214E6BB1" TargetMode="External"/><Relationship Id="rId296" Type="http://schemas.openxmlformats.org/officeDocument/2006/relationships/hyperlink" Target="http://internal-awcp0018-alb00105-616219119.ap-northeast-1.elb.amazonaws.com/NPM_Innovator/?StartItem=z_sm_ParaValue:698C65C2618940169D974A9774AF9D96" TargetMode="External"/><Relationship Id="rId300" Type="http://schemas.openxmlformats.org/officeDocument/2006/relationships/hyperlink" Target="http://internal-awcp0018-alb00105-616219119.ap-northeast-1.elb.amazonaws.com/NPM_Innovator/?StartItem=z_sm_ParaValue:84540CF513A04AD5902F0C2423F0C990" TargetMode="External"/><Relationship Id="rId461" Type="http://schemas.openxmlformats.org/officeDocument/2006/relationships/hyperlink" Target="http://internal-awcp0018-alb00105-616219119.ap-northeast-1.elb.amazonaws.com/NPM_Innovator/?StartItem=z_sm_ParaValue:DA0A7DF9CBC94854A403AFFAEBFC84CB" TargetMode="External"/><Relationship Id="rId60" Type="http://schemas.openxmlformats.org/officeDocument/2006/relationships/hyperlink" Target="http://internal-awcp0018-alb00105-616219119.ap-northeast-1.elb.amazonaws.com/NPM_Innovator/?StartItem=z_sm_ParaValue:E76F51FE39E24DF7A993A60EA179EAE1" TargetMode="External"/><Relationship Id="rId81" Type="http://schemas.openxmlformats.org/officeDocument/2006/relationships/hyperlink" Target="http://internal-awcp0018-alb00105-616219119.ap-northeast-1.elb.amazonaws.com/NPM_Innovator/?StartItem=z_sm_ParaValue:219C1348256B4B9188FB3346DEC2B845" TargetMode="External"/><Relationship Id="rId135" Type="http://schemas.openxmlformats.org/officeDocument/2006/relationships/hyperlink" Target="http://internal-awcp0018-alb00105-616219119.ap-northeast-1.elb.amazonaws.com/NPM_Innovator/?StartItem=z_sm_ParaValue:C669C87148DA4D75B3F1516664FA4295" TargetMode="External"/><Relationship Id="rId156" Type="http://schemas.openxmlformats.org/officeDocument/2006/relationships/hyperlink" Target="http://internal-awcp0018-alb00105-616219119.ap-northeast-1.elb.amazonaws.com/NPM_Innovator/?StartItem=z_sm_ParaValue:1D3D7CB44D2B4FDA911CED351C4471D6" TargetMode="External"/><Relationship Id="rId177" Type="http://schemas.openxmlformats.org/officeDocument/2006/relationships/hyperlink" Target="http://internal-awcp0018-alb00105-616219119.ap-northeast-1.elb.amazonaws.com/NPM_Innovator/?StartItem=z_sm_ParaValue:A9DC1F879A29450CB3E4BE618C4A4D77" TargetMode="External"/><Relationship Id="rId198" Type="http://schemas.openxmlformats.org/officeDocument/2006/relationships/hyperlink" Target="http://internal-awcp0018-alb00105-616219119.ap-northeast-1.elb.amazonaws.com/NPM_Innovator/?StartItem=z_sm_ParaValue:642A6A00453A4846A5EABB92BB528DC6" TargetMode="External"/><Relationship Id="rId321" Type="http://schemas.openxmlformats.org/officeDocument/2006/relationships/hyperlink" Target="http://internal-awcp0018-alb00105-616219119.ap-northeast-1.elb.amazonaws.com/NPM_Innovator/?StartItem=z_sm_ParaValue:D22F0738E1B2415EA06830951C4AC769" TargetMode="External"/><Relationship Id="rId342" Type="http://schemas.openxmlformats.org/officeDocument/2006/relationships/hyperlink" Target="http://internal-awcp0018-alb00105-616219119.ap-northeast-1.elb.amazonaws.com/NPM_Innovator/?StartItem=z_sm_ParaValue:9717765585D64164BEB173AAD46910C5" TargetMode="External"/><Relationship Id="rId363" Type="http://schemas.openxmlformats.org/officeDocument/2006/relationships/hyperlink" Target="http://internal-awcp0018-alb00105-616219119.ap-northeast-1.elb.amazonaws.com/NPM_Innovator/?StartItem=z_sm_ParaValue:D9419518FB7D4A639D1D0CC9C7579820" TargetMode="External"/><Relationship Id="rId384" Type="http://schemas.openxmlformats.org/officeDocument/2006/relationships/hyperlink" Target="http://internal-awcp0018-alb00105-616219119.ap-northeast-1.elb.amazonaws.com/NPM_Innovator/?StartItem=z_sm_ParaValue:5615BE9E281C400BBA34FE99F6424D35" TargetMode="External"/><Relationship Id="rId419" Type="http://schemas.openxmlformats.org/officeDocument/2006/relationships/hyperlink" Target="http://internal-awcp0018-alb00105-616219119.ap-northeast-1.elb.amazonaws.com/NPM_Innovator/?StartItem=z_sm_ParaValue:4D73B72CCD4E4C2090672F1E9CE4AD6C" TargetMode="External"/><Relationship Id="rId202" Type="http://schemas.openxmlformats.org/officeDocument/2006/relationships/hyperlink" Target="http://internal-awcp0018-alb00105-616219119.ap-northeast-1.elb.amazonaws.com/NPM_Innovator/?StartItem=z_sm_ParaValue:F4C0B45CD1C645C5AD63C4A4FC784544" TargetMode="External"/><Relationship Id="rId223" Type="http://schemas.openxmlformats.org/officeDocument/2006/relationships/hyperlink" Target="http://internal-awcp0018-alb00105-616219119.ap-northeast-1.elb.amazonaws.com/NPM_Innovator/?StartItem=z_sm_ParaValue:2D7C588993E14E61AF083C749FC75B1D" TargetMode="External"/><Relationship Id="rId244" Type="http://schemas.openxmlformats.org/officeDocument/2006/relationships/hyperlink" Target="http://internal-awcp0018-alb00105-616219119.ap-northeast-1.elb.amazonaws.com/NPM_Innovator/?StartItem=z_sm_ParaValue:CCE2EF502BD94EE383EFF613F3CFE825" TargetMode="External"/><Relationship Id="rId430" Type="http://schemas.openxmlformats.org/officeDocument/2006/relationships/hyperlink" Target="http://internal-awcp0018-alb00105-616219119.ap-northeast-1.elb.amazonaws.com/NPM_Innovator/?StartItem=z_sm_ParaValue:AC204B1F64744549B5E91FA944870CB3" TargetMode="External"/><Relationship Id="rId18" Type="http://schemas.openxmlformats.org/officeDocument/2006/relationships/hyperlink" Target="http://internal-awcp0018-alb00105-616219119.ap-northeast-1.elb.amazonaws.com/NPM_Innovator/?StartItem=z_sm_ParaValue:54E0D74C1CA746D78419BA0D8182BD69" TargetMode="External"/><Relationship Id="rId39" Type="http://schemas.openxmlformats.org/officeDocument/2006/relationships/hyperlink" Target="http://internal-awcp0018-alb00105-616219119.ap-northeast-1.elb.amazonaws.com/NPM_Innovator/?StartItem=z_sm_ParaValue:817CD89CC00A4244934D3BA54CB0C94C" TargetMode="External"/><Relationship Id="rId265" Type="http://schemas.openxmlformats.org/officeDocument/2006/relationships/hyperlink" Target="http://internal-awcp0018-alb00105-616219119.ap-northeast-1.elb.amazonaws.com/NPM_Innovator/?StartItem=z_sm_ParaValue:94C57FA84D6D4AA780218CA5C1648F44" TargetMode="External"/><Relationship Id="rId286" Type="http://schemas.openxmlformats.org/officeDocument/2006/relationships/hyperlink" Target="http://internal-awcp0018-alb00105-616219119.ap-northeast-1.elb.amazonaws.com/NPM_Innovator/?StartItem=z_sm_ParaValue:3AD9A6FE1B5F4E80B5907BF37489CA71" TargetMode="External"/><Relationship Id="rId451" Type="http://schemas.openxmlformats.org/officeDocument/2006/relationships/hyperlink" Target="http://internal-awcp0018-alb00105-616219119.ap-northeast-1.elb.amazonaws.com/NPM_Innovator/?StartItem=z_sm_ParaValue:BA4CA16BB77244739979277AC584071F" TargetMode="External"/><Relationship Id="rId472" Type="http://schemas.openxmlformats.org/officeDocument/2006/relationships/hyperlink" Target="http://internal-awcp0018-alb00105-616219119.ap-northeast-1.elb.amazonaws.com/NPM_Innovator/?StartItem=z_sm_ParaValue:149D663851A24DFCB3055CD5B74D745D" TargetMode="External"/><Relationship Id="rId50" Type="http://schemas.openxmlformats.org/officeDocument/2006/relationships/hyperlink" Target="http://internal-awcp0018-alb00105-616219119.ap-northeast-1.elb.amazonaws.com/NPM_Innovator/?StartItem=z_sm_ParaValue:D837F145AEC347D0BFDE2EFAD1A537C2" TargetMode="External"/><Relationship Id="rId104" Type="http://schemas.openxmlformats.org/officeDocument/2006/relationships/hyperlink" Target="http://internal-awcp0018-alb00105-616219119.ap-northeast-1.elb.amazonaws.com/NPM_Innovator/?StartItem=z_sm_ParaValue:D70B319F3C6F4204987BB5F1949A2A3E" TargetMode="External"/><Relationship Id="rId125" Type="http://schemas.openxmlformats.org/officeDocument/2006/relationships/hyperlink" Target="http://internal-awcp0018-alb00105-616219119.ap-northeast-1.elb.amazonaws.com/NPM_Innovator/?StartItem=z_sm_ParaValue:E626439B5E674977972CE19F1668A2CA" TargetMode="External"/><Relationship Id="rId146" Type="http://schemas.openxmlformats.org/officeDocument/2006/relationships/hyperlink" Target="http://internal-awcp0018-alb00105-616219119.ap-northeast-1.elb.amazonaws.com/NPM_Innovator/?StartItem=z_sm_ParaValue:D9CC34100AEB479EB80B0BA12A7804D8" TargetMode="External"/><Relationship Id="rId167" Type="http://schemas.openxmlformats.org/officeDocument/2006/relationships/hyperlink" Target="http://internal-awcp0018-alb00105-616219119.ap-northeast-1.elb.amazonaws.com/NPM_Innovator/?StartItem=z_sm_ParaValue:58D819CEF2F54D01B8C5C6EBF62F60B2" TargetMode="External"/><Relationship Id="rId188" Type="http://schemas.openxmlformats.org/officeDocument/2006/relationships/hyperlink" Target="http://internal-awcp0018-alb00105-616219119.ap-northeast-1.elb.amazonaws.com/NPM_Innovator/?StartItem=z_sm_ParaValue:B7046AA882154BDE807324EF0F454037" TargetMode="External"/><Relationship Id="rId311" Type="http://schemas.openxmlformats.org/officeDocument/2006/relationships/hyperlink" Target="http://internal-awcp0018-alb00105-616219119.ap-northeast-1.elb.amazonaws.com/NPM_Innovator/?StartItem=z_sm_ParaValue:53AE0831033D480EB14336CF8429118E" TargetMode="External"/><Relationship Id="rId332" Type="http://schemas.openxmlformats.org/officeDocument/2006/relationships/hyperlink" Target="http://internal-awcp0018-alb00105-616219119.ap-northeast-1.elb.amazonaws.com/NPM_Innovator/?StartItem=z_sm_ParaValue:A3A585DAC440431183897EC407797504" TargetMode="External"/><Relationship Id="rId353" Type="http://schemas.openxmlformats.org/officeDocument/2006/relationships/hyperlink" Target="http://internal-awcp0018-alb00105-616219119.ap-northeast-1.elb.amazonaws.com/NPM_Innovator/?StartItem=z_sm_ParaValue:BF927EE8C5074FB58CD7299525FCABF3" TargetMode="External"/><Relationship Id="rId374" Type="http://schemas.openxmlformats.org/officeDocument/2006/relationships/hyperlink" Target="http://internal-awcp0018-alb00105-616219119.ap-northeast-1.elb.amazonaws.com/NPM_Innovator/?StartItem=z_sm_ParaValue:A07ADF0E3BED4CAABCE24380D8637BCD" TargetMode="External"/><Relationship Id="rId395" Type="http://schemas.openxmlformats.org/officeDocument/2006/relationships/hyperlink" Target="http://internal-awcp0018-alb00105-616219119.ap-northeast-1.elb.amazonaws.com/NPM_Innovator/?StartItem=z_sm_ParaValue:96A9F92B66E044DA8B157DF1A0202E56" TargetMode="External"/><Relationship Id="rId409" Type="http://schemas.openxmlformats.org/officeDocument/2006/relationships/hyperlink" Target="http://internal-awcp0018-alb00105-616219119.ap-northeast-1.elb.amazonaws.com/NPM_Innovator/?StartItem=z_sm_ParaValue:87DAF85C8CA94B7BA462BBF7BE188766" TargetMode="External"/><Relationship Id="rId71" Type="http://schemas.openxmlformats.org/officeDocument/2006/relationships/hyperlink" Target="http://internal-awcp0018-alb00105-616219119.ap-northeast-1.elb.amazonaws.com/NPM_Innovator/?StartItem=z_sm_ParaValue:939C38074886456BA51F7298C128A396" TargetMode="External"/><Relationship Id="rId92" Type="http://schemas.openxmlformats.org/officeDocument/2006/relationships/hyperlink" Target="http://internal-awcp0018-alb00105-616219119.ap-northeast-1.elb.amazonaws.com/NPM_Innovator/?StartItem=z_sm_ParaValue:706D4FF534E548478D96CD7ED9AD2038" TargetMode="External"/><Relationship Id="rId213" Type="http://schemas.openxmlformats.org/officeDocument/2006/relationships/hyperlink" Target="http://internal-awcp0018-alb00105-616219119.ap-northeast-1.elb.amazonaws.com/NPM_Innovator/?StartItem=z_sm_ParaValue:CD8AFDCD80AB404DAFB5C86BAB704719" TargetMode="External"/><Relationship Id="rId234" Type="http://schemas.openxmlformats.org/officeDocument/2006/relationships/hyperlink" Target="http://internal-awcp0018-alb00105-616219119.ap-northeast-1.elb.amazonaws.com/NPM_Innovator/?StartItem=z_sm_ParaValue:FE95B1E48AEF4CCDB7D2D106AC541A05" TargetMode="External"/><Relationship Id="rId420" Type="http://schemas.openxmlformats.org/officeDocument/2006/relationships/hyperlink" Target="http://internal-awcp0018-alb00105-616219119.ap-northeast-1.elb.amazonaws.com/NPM_Innovator/?StartItem=z_sm_ParaValue:4EC22BFC01B745BC9700F1283C2BDAF8" TargetMode="External"/><Relationship Id="rId2" Type="http://schemas.openxmlformats.org/officeDocument/2006/relationships/hyperlink" Target="http://internal-awcp0018-alb00105-616219119.ap-northeast-1.elb.amazonaws.com/NPM_Innovator/?StartItem=z_sm_ParaValue:E31254FAFE004618961108384C89EEA2" TargetMode="External"/><Relationship Id="rId29" Type="http://schemas.openxmlformats.org/officeDocument/2006/relationships/hyperlink" Target="http://internal-awcp0018-alb00105-616219119.ap-northeast-1.elb.amazonaws.com/NPM_Innovator/?StartItem=z_sm_ParaValue:3EEAA60850EC436B800031588DF650D6" TargetMode="External"/><Relationship Id="rId255" Type="http://schemas.openxmlformats.org/officeDocument/2006/relationships/hyperlink" Target="http://internal-awcp0018-alb00105-616219119.ap-northeast-1.elb.amazonaws.com/NPM_Innovator/?StartItem=z_sm_ParaValue:8433F0D5FF494217BB83AA2E6468C51F" TargetMode="External"/><Relationship Id="rId276" Type="http://schemas.openxmlformats.org/officeDocument/2006/relationships/hyperlink" Target="http://internal-awcp0018-alb00105-616219119.ap-northeast-1.elb.amazonaws.com/NPM_Innovator/?StartItem=z_sm_ParaValue:F1759A83C7404A2E8EA49586C02E9E15" TargetMode="External"/><Relationship Id="rId297" Type="http://schemas.openxmlformats.org/officeDocument/2006/relationships/hyperlink" Target="http://internal-awcp0018-alb00105-616219119.ap-northeast-1.elb.amazonaws.com/NPM_Innovator/?StartItem=z_sm_ParaValue:B5934A84132042EDB85130DD07213D8D" TargetMode="External"/><Relationship Id="rId441" Type="http://schemas.openxmlformats.org/officeDocument/2006/relationships/hyperlink" Target="http://internal-awcp0018-alb00105-616219119.ap-northeast-1.elb.amazonaws.com/NPM_Innovator/?StartItem=z_sm_ParaValue:FAED5334F62241BCBC4258EFE6F8B8B7" TargetMode="External"/><Relationship Id="rId462" Type="http://schemas.openxmlformats.org/officeDocument/2006/relationships/hyperlink" Target="http://internal-awcp0018-alb00105-616219119.ap-northeast-1.elb.amazonaws.com/NPM_Innovator/?StartItem=z_sm_ParaValue:7D38BC5E2B2D484DAA307668B9496EAB" TargetMode="External"/><Relationship Id="rId40" Type="http://schemas.openxmlformats.org/officeDocument/2006/relationships/hyperlink" Target="http://internal-awcp0018-alb00105-616219119.ap-northeast-1.elb.amazonaws.com/NPM_Innovator/?StartItem=z_sm_ParaValue:D604A7817B1F4B27A9F6884D27751A31" TargetMode="External"/><Relationship Id="rId115" Type="http://schemas.openxmlformats.org/officeDocument/2006/relationships/hyperlink" Target="http://internal-awcp0018-alb00105-616219119.ap-northeast-1.elb.amazonaws.com/NPM_Innovator/?StartItem=z_sm_ParaValue:994F8BFCABEE4798A4D4657C90AC2823" TargetMode="External"/><Relationship Id="rId136" Type="http://schemas.openxmlformats.org/officeDocument/2006/relationships/hyperlink" Target="http://internal-awcp0018-alb00105-616219119.ap-northeast-1.elb.amazonaws.com/NPM_Innovator/?StartItem=z_sm_ParaValue:36E694F0C1D04EF9AFEA31A7843AC05E" TargetMode="External"/><Relationship Id="rId157" Type="http://schemas.openxmlformats.org/officeDocument/2006/relationships/hyperlink" Target="http://internal-awcp0018-alb00105-616219119.ap-northeast-1.elb.amazonaws.com/NPM_Innovator/?StartItem=z_sm_ParaValue:19A0FF5FC9AC485E88A7CF4C4DC9B8E8" TargetMode="External"/><Relationship Id="rId178" Type="http://schemas.openxmlformats.org/officeDocument/2006/relationships/hyperlink" Target="http://internal-awcp0018-alb00105-616219119.ap-northeast-1.elb.amazonaws.com/NPM_Innovator/?StartItem=z_sm_ParaValue:E7CDB8989CD94261BF39319FA97254B5" TargetMode="External"/><Relationship Id="rId301" Type="http://schemas.openxmlformats.org/officeDocument/2006/relationships/hyperlink" Target="http://internal-awcp0018-alb00105-616219119.ap-northeast-1.elb.amazonaws.com/NPM_Innovator/?StartItem=z_sm_ParaValue:8ECC024C5A544D5ABF42BB49B722F9C9" TargetMode="External"/><Relationship Id="rId322" Type="http://schemas.openxmlformats.org/officeDocument/2006/relationships/hyperlink" Target="http://internal-awcp0018-alb00105-616219119.ap-northeast-1.elb.amazonaws.com/NPM_Innovator/?StartItem=z_sm_ParaValue:05F91998625A4E43BE4629307F0DE7C5" TargetMode="External"/><Relationship Id="rId343" Type="http://schemas.openxmlformats.org/officeDocument/2006/relationships/hyperlink" Target="http://internal-awcp0018-alb00105-616219119.ap-northeast-1.elb.amazonaws.com/NPM_Innovator/?StartItem=z_sm_ParaValue:9B3699D599624E9AB59F988B88F3D446" TargetMode="External"/><Relationship Id="rId364" Type="http://schemas.openxmlformats.org/officeDocument/2006/relationships/hyperlink" Target="http://internal-awcp0018-alb00105-616219119.ap-northeast-1.elb.amazonaws.com/NPM_Innovator/?StartItem=z_sm_ParaValue:6B6769A74D2E48B28F01FE35B1D28736" TargetMode="External"/><Relationship Id="rId61" Type="http://schemas.openxmlformats.org/officeDocument/2006/relationships/hyperlink" Target="http://internal-awcp0018-alb00105-616219119.ap-northeast-1.elb.amazonaws.com/NPM_Innovator/?StartItem=z_sm_ParaValue:4C27BE351F43497BAAFB63D4FE8D0DD9" TargetMode="External"/><Relationship Id="rId82" Type="http://schemas.openxmlformats.org/officeDocument/2006/relationships/hyperlink" Target="http://internal-awcp0018-alb00105-616219119.ap-northeast-1.elb.amazonaws.com/NPM_Innovator/?StartItem=z_sm_ParaValue:066ED88056304EA0B5267CD935884FEF" TargetMode="External"/><Relationship Id="rId199" Type="http://schemas.openxmlformats.org/officeDocument/2006/relationships/hyperlink" Target="http://internal-awcp0018-alb00105-616219119.ap-northeast-1.elb.amazonaws.com/NPM_Innovator/?StartItem=z_sm_ParaValue:3B565B5012794869A6031D83F391C8BB" TargetMode="External"/><Relationship Id="rId203" Type="http://schemas.openxmlformats.org/officeDocument/2006/relationships/hyperlink" Target="http://internal-awcp0018-alb00105-616219119.ap-northeast-1.elb.amazonaws.com/NPM_Innovator/?StartItem=z_sm_ParaValue:0E8205EB80994CCCB7675DF67FE18FA6" TargetMode="External"/><Relationship Id="rId385" Type="http://schemas.openxmlformats.org/officeDocument/2006/relationships/hyperlink" Target="http://internal-awcp0018-alb00105-616219119.ap-northeast-1.elb.amazonaws.com/NPM_Innovator/?StartItem=z_sm_ParaValue:88ADEACAA03045AAAB6BE132223FB98D" TargetMode="External"/><Relationship Id="rId19" Type="http://schemas.openxmlformats.org/officeDocument/2006/relationships/hyperlink" Target="http://internal-awcp0018-alb00105-616219119.ap-northeast-1.elb.amazonaws.com/NPM_Innovator/?StartItem=z_sm_ParaValue:055366E06684480FA9B42211F83383B6" TargetMode="External"/><Relationship Id="rId224" Type="http://schemas.openxmlformats.org/officeDocument/2006/relationships/hyperlink" Target="http://internal-awcp0018-alb00105-616219119.ap-northeast-1.elb.amazonaws.com/NPM_Innovator/?StartItem=z_sm_ParaValue:32C8A07AF2F9471899FBA605C728BACB" TargetMode="External"/><Relationship Id="rId245" Type="http://schemas.openxmlformats.org/officeDocument/2006/relationships/hyperlink" Target="http://internal-awcp0018-alb00105-616219119.ap-northeast-1.elb.amazonaws.com/NPM_Innovator/?StartItem=z_sm_ParaValue:8D97D689A300485EB905652003A3B7E4" TargetMode="External"/><Relationship Id="rId266" Type="http://schemas.openxmlformats.org/officeDocument/2006/relationships/hyperlink" Target="http://internal-awcp0018-alb00105-616219119.ap-northeast-1.elb.amazonaws.com/NPM_Innovator/?StartItem=z_sm_ParaValue:32086DE1ADFD41A8A2812987138EB495" TargetMode="External"/><Relationship Id="rId287" Type="http://schemas.openxmlformats.org/officeDocument/2006/relationships/hyperlink" Target="http://internal-awcp0018-alb00105-616219119.ap-northeast-1.elb.amazonaws.com/NPM_Innovator/?StartItem=z_sm_ParaValue:8280FA02BBE9486FAF6547DCB5E51620" TargetMode="External"/><Relationship Id="rId410" Type="http://schemas.openxmlformats.org/officeDocument/2006/relationships/hyperlink" Target="http://internal-awcp0018-alb00105-616219119.ap-northeast-1.elb.amazonaws.com/NPM_Innovator/?StartItem=z_sm_ParaValue:D7C2458DC91947F3B9BBB27EFBEA69B2" TargetMode="External"/><Relationship Id="rId431" Type="http://schemas.openxmlformats.org/officeDocument/2006/relationships/hyperlink" Target="http://internal-awcp0018-alb00105-616219119.ap-northeast-1.elb.amazonaws.com/NPM_Innovator/?StartItem=z_sm_ParaValue:DDF9E0A0C95040548CFB265048A146C5" TargetMode="External"/><Relationship Id="rId452" Type="http://schemas.openxmlformats.org/officeDocument/2006/relationships/hyperlink" Target="http://internal-awcp0018-alb00105-616219119.ap-northeast-1.elb.amazonaws.com/NPM_Innovator/?StartItem=z_sm_ParaValue:29EB35BE516542E791495BE3941D9D8F" TargetMode="External"/><Relationship Id="rId473" Type="http://schemas.openxmlformats.org/officeDocument/2006/relationships/hyperlink" Target="http://internal-awcp0018-alb00105-616219119.ap-northeast-1.elb.amazonaws.com/NPM_Innovator/?StartItem=z_sm_ParaValue:501678AEC54D49EBBAB8CDA5AB5DC666" TargetMode="External"/><Relationship Id="rId30" Type="http://schemas.openxmlformats.org/officeDocument/2006/relationships/hyperlink" Target="http://internal-awcp0018-alb00105-616219119.ap-northeast-1.elb.amazonaws.com/NPM_Innovator/?StartItem=z_sm_ParaValue:2610C839659944A78A2F8A6D6E0AB161" TargetMode="External"/><Relationship Id="rId105" Type="http://schemas.openxmlformats.org/officeDocument/2006/relationships/hyperlink" Target="http://internal-awcp0018-alb00105-616219119.ap-northeast-1.elb.amazonaws.com/NPM_Innovator/?StartItem=z_sm_ParaValue:06C5384639DD4946896383EABF308798" TargetMode="External"/><Relationship Id="rId126" Type="http://schemas.openxmlformats.org/officeDocument/2006/relationships/hyperlink" Target="http://internal-awcp0018-alb00105-616219119.ap-northeast-1.elb.amazonaws.com/NPM_Innovator/?StartItem=z_sm_ParaValue:EA001811D57747FC8FB1B809570C9F04" TargetMode="External"/><Relationship Id="rId147" Type="http://schemas.openxmlformats.org/officeDocument/2006/relationships/hyperlink" Target="http://internal-awcp0018-alb00105-616219119.ap-northeast-1.elb.amazonaws.com/NPM_Innovator/?StartItem=z_sm_ParaValue:D19014DD085C406F87FD17312E13E6A9" TargetMode="External"/><Relationship Id="rId168" Type="http://schemas.openxmlformats.org/officeDocument/2006/relationships/hyperlink" Target="http://internal-awcp0018-alb00105-616219119.ap-northeast-1.elb.amazonaws.com/NPM_Innovator/?StartItem=z_sm_ParaValue:B4BC7A698359482E8913EBA4D8C755B1" TargetMode="External"/><Relationship Id="rId312" Type="http://schemas.openxmlformats.org/officeDocument/2006/relationships/hyperlink" Target="http://internal-awcp0018-alb00105-616219119.ap-northeast-1.elb.amazonaws.com/NPM_Innovator/?StartItem=z_sm_ParaValue:FCB34C1ED4A64292B2E6E0CC3E331A2B" TargetMode="External"/><Relationship Id="rId333" Type="http://schemas.openxmlformats.org/officeDocument/2006/relationships/hyperlink" Target="http://internal-awcp0018-alb00105-616219119.ap-northeast-1.elb.amazonaws.com/NPM_Innovator/?StartItem=z_sm_ParaValue:1C1E7B40A47C49469779A6FC89C7C54D" TargetMode="External"/><Relationship Id="rId354" Type="http://schemas.openxmlformats.org/officeDocument/2006/relationships/hyperlink" Target="http://internal-awcp0018-alb00105-616219119.ap-northeast-1.elb.amazonaws.com/NPM_Innovator/?StartItem=z_sm_ParaValue:5EEAD3E4C95440CA832AD2B1D4CDBE82" TargetMode="External"/><Relationship Id="rId51" Type="http://schemas.openxmlformats.org/officeDocument/2006/relationships/hyperlink" Target="http://internal-awcp0018-alb00105-616219119.ap-northeast-1.elb.amazonaws.com/NPM_Innovator/?StartItem=z_sm_ParaValue:963B776FADC141A780285FEF44DC86DA" TargetMode="External"/><Relationship Id="rId72" Type="http://schemas.openxmlformats.org/officeDocument/2006/relationships/hyperlink" Target="http://internal-awcp0018-alb00105-616219119.ap-northeast-1.elb.amazonaws.com/NPM_Innovator/?StartItem=z_sm_ParaValue:9C540C30CD5D44EFA8A68F53B49E9162" TargetMode="External"/><Relationship Id="rId93" Type="http://schemas.openxmlformats.org/officeDocument/2006/relationships/hyperlink" Target="http://internal-awcp0018-alb00105-616219119.ap-northeast-1.elb.amazonaws.com/NPM_Innovator/?StartItem=z_sm_ParaValue:59BE5346F6784C4C86C93F98DA1CA56B" TargetMode="External"/><Relationship Id="rId189" Type="http://schemas.openxmlformats.org/officeDocument/2006/relationships/hyperlink" Target="http://internal-awcp0018-alb00105-616219119.ap-northeast-1.elb.amazonaws.com/NPM_Innovator/?StartItem=z_sm_ParaValue:78FDCF3E5C6F441ABBE87757FF07F4E8" TargetMode="External"/><Relationship Id="rId375" Type="http://schemas.openxmlformats.org/officeDocument/2006/relationships/hyperlink" Target="http://internal-awcp0018-alb00105-616219119.ap-northeast-1.elb.amazonaws.com/NPM_Innovator/?StartItem=z_sm_ParaValue:BF36925A07D7413C8882DCAEA910EB12" TargetMode="External"/><Relationship Id="rId396" Type="http://schemas.openxmlformats.org/officeDocument/2006/relationships/hyperlink" Target="http://internal-awcp0018-alb00105-616219119.ap-northeast-1.elb.amazonaws.com/NPM_Innovator/?StartItem=z_sm_ParaValue:6F799F2D50DA473E9DA30B263FDCF193" TargetMode="External"/><Relationship Id="rId3" Type="http://schemas.openxmlformats.org/officeDocument/2006/relationships/hyperlink" Target="http://internal-awcp0018-alb00105-616219119.ap-northeast-1.elb.amazonaws.com/NPM_Innovator/?StartItem=z_sm_ParaValue:6F2E90BEFBD042E3810CF274783D2487" TargetMode="External"/><Relationship Id="rId214" Type="http://schemas.openxmlformats.org/officeDocument/2006/relationships/hyperlink" Target="http://internal-awcp0018-alb00105-616219119.ap-northeast-1.elb.amazonaws.com/NPM_Innovator/?StartItem=z_sm_ParaValue:712F4DC4E3FE4F9382EF904E8BA86068" TargetMode="External"/><Relationship Id="rId235" Type="http://schemas.openxmlformats.org/officeDocument/2006/relationships/hyperlink" Target="http://internal-awcp0018-alb00105-616219119.ap-northeast-1.elb.amazonaws.com/NPM_Innovator/?StartItem=z_sm_ParaValue:558F48680DD34302A7C79CE6D57EFD49" TargetMode="External"/><Relationship Id="rId256" Type="http://schemas.openxmlformats.org/officeDocument/2006/relationships/hyperlink" Target="http://internal-awcp0018-alb00105-616219119.ap-northeast-1.elb.amazonaws.com/NPM_Innovator/?StartItem=z_sm_ParaValue:6E834260DBE041018E7643FBCE6A7DDE" TargetMode="External"/><Relationship Id="rId277" Type="http://schemas.openxmlformats.org/officeDocument/2006/relationships/hyperlink" Target="http://internal-awcp0018-alb00105-616219119.ap-northeast-1.elb.amazonaws.com/NPM_Innovator/?StartItem=z_sm_ParaValue:6F17E6B8C930402F92AF82898D1679D5" TargetMode="External"/><Relationship Id="rId298" Type="http://schemas.openxmlformats.org/officeDocument/2006/relationships/hyperlink" Target="http://internal-awcp0018-alb00105-616219119.ap-northeast-1.elb.amazonaws.com/NPM_Innovator/?StartItem=z_sm_ParaValue:8A0C4418C71347649506607622D028D0" TargetMode="External"/><Relationship Id="rId400" Type="http://schemas.openxmlformats.org/officeDocument/2006/relationships/hyperlink" Target="http://internal-awcp0018-alb00105-616219119.ap-northeast-1.elb.amazonaws.com/NPM_Innovator/?StartItem=z_sm_ParaValue:AA0300E42C984B3A9E6BF9F97AB0B6A6" TargetMode="External"/><Relationship Id="rId421" Type="http://schemas.openxmlformats.org/officeDocument/2006/relationships/hyperlink" Target="http://internal-awcp0018-alb00105-616219119.ap-northeast-1.elb.amazonaws.com/NPM_Innovator/?StartItem=z_sm_ParaValue:122A64066EB24168ACBD1266AA8DC3A2" TargetMode="External"/><Relationship Id="rId442" Type="http://schemas.openxmlformats.org/officeDocument/2006/relationships/hyperlink" Target="http://internal-awcp0018-alb00105-616219119.ap-northeast-1.elb.amazonaws.com/NPM_Innovator/?StartItem=z_sm_ParaValue:D7DC49866E7A4F42BFB5F2B12E8365B7" TargetMode="External"/><Relationship Id="rId463" Type="http://schemas.openxmlformats.org/officeDocument/2006/relationships/hyperlink" Target="http://internal-awcp0018-alb00105-616219119.ap-northeast-1.elb.amazonaws.com/NPM_Innovator/?StartItem=z_sm_ParaValue:FAEB56250F0048A2834A255283580709" TargetMode="External"/><Relationship Id="rId116" Type="http://schemas.openxmlformats.org/officeDocument/2006/relationships/hyperlink" Target="http://internal-awcp0018-alb00105-616219119.ap-northeast-1.elb.amazonaws.com/NPM_Innovator/?StartItem=z_sm_ParaValue:5BC10CF643DC46A6829FDF6150C3B83E" TargetMode="External"/><Relationship Id="rId137" Type="http://schemas.openxmlformats.org/officeDocument/2006/relationships/hyperlink" Target="http://internal-awcp0018-alb00105-616219119.ap-northeast-1.elb.amazonaws.com/NPM_Innovator/?StartItem=z_sm_ParaValue:C98D9A3EB98344BB8C34E7576E9D83FB" TargetMode="External"/><Relationship Id="rId158" Type="http://schemas.openxmlformats.org/officeDocument/2006/relationships/hyperlink" Target="http://internal-awcp0018-alb00105-616219119.ap-northeast-1.elb.amazonaws.com/NPM_Innovator/?StartItem=z_sm_ParaValue:9770FC31D1254BBBA1892777651D1772" TargetMode="External"/><Relationship Id="rId302" Type="http://schemas.openxmlformats.org/officeDocument/2006/relationships/hyperlink" Target="http://internal-awcp0018-alb00105-616219119.ap-northeast-1.elb.amazonaws.com/NPM_Innovator/?StartItem=z_sm_ParaValue:5E91AA0493614AC9A9CB326F6255883B" TargetMode="External"/><Relationship Id="rId323" Type="http://schemas.openxmlformats.org/officeDocument/2006/relationships/hyperlink" Target="http://internal-awcp0018-alb00105-616219119.ap-northeast-1.elb.amazonaws.com/NPM_Innovator/?StartItem=z_sm_ParaValue:04D40C83F542417CA943C106FC332D77" TargetMode="External"/><Relationship Id="rId344" Type="http://schemas.openxmlformats.org/officeDocument/2006/relationships/hyperlink" Target="http://internal-awcp0018-alb00105-616219119.ap-northeast-1.elb.amazonaws.com/NPM_Innovator/?StartItem=z_sm_ParaValue:FC77850FC65A42D09C2D31CE1B87157F" TargetMode="External"/><Relationship Id="rId20" Type="http://schemas.openxmlformats.org/officeDocument/2006/relationships/hyperlink" Target="http://internal-awcp0018-alb00105-616219119.ap-northeast-1.elb.amazonaws.com/NPM_Innovator/?StartItem=z_sm_ParaValue:A7CE4B0F5901444DB0673575E8064937" TargetMode="External"/><Relationship Id="rId41" Type="http://schemas.openxmlformats.org/officeDocument/2006/relationships/hyperlink" Target="http://internal-awcp0018-alb00105-616219119.ap-northeast-1.elb.amazonaws.com/NPM_Innovator/?StartItem=z_sm_ParaValue:E97523E91D5548EEA99C6BE9D7641DF9" TargetMode="External"/><Relationship Id="rId62" Type="http://schemas.openxmlformats.org/officeDocument/2006/relationships/hyperlink" Target="http://internal-awcp0018-alb00105-616219119.ap-northeast-1.elb.amazonaws.com/NPM_Innovator/?StartItem=z_sm_ParaValue:F999E783354749848609C0A58B28EC00" TargetMode="External"/><Relationship Id="rId83" Type="http://schemas.openxmlformats.org/officeDocument/2006/relationships/hyperlink" Target="http://internal-awcp0018-alb00105-616219119.ap-northeast-1.elb.amazonaws.com/NPM_Innovator/?StartItem=z_sm_ParaValue:ABD31597DCA545FD8C67F882CFD79EFC" TargetMode="External"/><Relationship Id="rId179" Type="http://schemas.openxmlformats.org/officeDocument/2006/relationships/hyperlink" Target="http://internal-awcp0018-alb00105-616219119.ap-northeast-1.elb.amazonaws.com/NPM_Innovator/?StartItem=z_sm_ParaValue:42255E964A9B488BB1053980D45B454D" TargetMode="External"/><Relationship Id="rId365" Type="http://schemas.openxmlformats.org/officeDocument/2006/relationships/hyperlink" Target="http://internal-awcp0018-alb00105-616219119.ap-northeast-1.elb.amazonaws.com/NPM_Innovator/?StartItem=z_sm_ParaValue:57DBC3E43FBA4328A93DFEB390807051" TargetMode="External"/><Relationship Id="rId386" Type="http://schemas.openxmlformats.org/officeDocument/2006/relationships/hyperlink" Target="http://internal-awcp0018-alb00105-616219119.ap-northeast-1.elb.amazonaws.com/NPM_Innovator/?StartItem=z_sm_ParaValue:F998B7BAE6F949EC99539DFDB698A6F8" TargetMode="External"/><Relationship Id="rId190" Type="http://schemas.openxmlformats.org/officeDocument/2006/relationships/hyperlink" Target="http://internal-awcp0018-alb00105-616219119.ap-northeast-1.elb.amazonaws.com/NPM_Innovator/?StartItem=z_sm_ParaValue:24267AD31A3040578991C23FEAAE860B" TargetMode="External"/><Relationship Id="rId204" Type="http://schemas.openxmlformats.org/officeDocument/2006/relationships/hyperlink" Target="http://internal-awcp0018-alb00105-616219119.ap-northeast-1.elb.amazonaws.com/NPM_Innovator/?StartItem=z_sm_ParaValue:18492801768E41C59A816C0426EE0124" TargetMode="External"/><Relationship Id="rId225" Type="http://schemas.openxmlformats.org/officeDocument/2006/relationships/hyperlink" Target="http://internal-awcp0018-alb00105-616219119.ap-northeast-1.elb.amazonaws.com/NPM_Innovator/?StartItem=z_sm_ParaValue:6C8C038002E84F1FAEA49B0EDD2447A4" TargetMode="External"/><Relationship Id="rId246" Type="http://schemas.openxmlformats.org/officeDocument/2006/relationships/hyperlink" Target="http://internal-awcp0018-alb00105-616219119.ap-northeast-1.elb.amazonaws.com/NPM_Innovator/?StartItem=z_sm_ParaValue:1E385ECF5CDE4D5B978CDC3E5A74A596" TargetMode="External"/><Relationship Id="rId267" Type="http://schemas.openxmlformats.org/officeDocument/2006/relationships/hyperlink" Target="http://internal-awcp0018-alb00105-616219119.ap-northeast-1.elb.amazonaws.com/NPM_Innovator/?StartItem=z_sm_ParaValue:7980346A76D645A191FCD8A307392572" TargetMode="External"/><Relationship Id="rId288" Type="http://schemas.openxmlformats.org/officeDocument/2006/relationships/hyperlink" Target="http://internal-awcp0018-alb00105-616219119.ap-northeast-1.elb.amazonaws.com/NPM_Innovator/?StartItem=z_sm_ParaValue:CB5C858EC0414FC7882216C42B97ADA3" TargetMode="External"/><Relationship Id="rId411" Type="http://schemas.openxmlformats.org/officeDocument/2006/relationships/hyperlink" Target="http://internal-awcp0018-alb00105-616219119.ap-northeast-1.elb.amazonaws.com/NPM_Innovator/?StartItem=z_sm_ParaValue:CBE215F56D26400FBF617BC309ADE556" TargetMode="External"/><Relationship Id="rId432" Type="http://schemas.openxmlformats.org/officeDocument/2006/relationships/hyperlink" Target="http://internal-awcp0018-alb00105-616219119.ap-northeast-1.elb.amazonaws.com/NPM_Innovator/?StartItem=z_sm_ParaValue:F3611BDBF95C4D028B3A2A18F5F2091F" TargetMode="External"/><Relationship Id="rId453" Type="http://schemas.openxmlformats.org/officeDocument/2006/relationships/hyperlink" Target="http://internal-awcp0018-alb00105-616219119.ap-northeast-1.elb.amazonaws.com/NPM_Innovator/?StartItem=z_sm_ParaValue:3015D2A336F2452C90613E0379CFC3E1" TargetMode="External"/><Relationship Id="rId474" Type="http://schemas.openxmlformats.org/officeDocument/2006/relationships/hyperlink" Target="http://internal-awcp0018-alb00105-616219119.ap-northeast-1.elb.amazonaws.com/NPM_Innovator/?StartItem=z_sm_ParaValue:6BB0C8654CFB4CD48E81FF2757B120C2" TargetMode="External"/><Relationship Id="rId106" Type="http://schemas.openxmlformats.org/officeDocument/2006/relationships/hyperlink" Target="http://internal-awcp0018-alb00105-616219119.ap-northeast-1.elb.amazonaws.com/NPM_Innovator/?StartItem=z_sm_ParaValue:9E8761B5E3E84F6997262C6C943A586A" TargetMode="External"/><Relationship Id="rId127" Type="http://schemas.openxmlformats.org/officeDocument/2006/relationships/hyperlink" Target="http://internal-awcp0018-alb00105-616219119.ap-northeast-1.elb.amazonaws.com/NPM_Innovator/?StartItem=z_sm_ParaValue:D4CF7CBB593B47B6AA3BE100A7CC12E0" TargetMode="External"/><Relationship Id="rId313" Type="http://schemas.openxmlformats.org/officeDocument/2006/relationships/hyperlink" Target="http://internal-awcp0018-alb00105-616219119.ap-northeast-1.elb.amazonaws.com/NPM_Innovator/?StartItem=z_sm_ParaValue:709AD92C8C7B46B69A5377DC5BD097E4" TargetMode="External"/><Relationship Id="rId10" Type="http://schemas.openxmlformats.org/officeDocument/2006/relationships/hyperlink" Target="http://internal-awcp0018-alb00105-616219119.ap-northeast-1.elb.amazonaws.com/NPM_Innovator/?StartItem=z_sm_ParaValue:1629E606059548199A5D5B86DEFD2B56" TargetMode="External"/><Relationship Id="rId31" Type="http://schemas.openxmlformats.org/officeDocument/2006/relationships/hyperlink" Target="http://internal-awcp0018-alb00105-616219119.ap-northeast-1.elb.amazonaws.com/NPM_Innovator/?StartItem=z_sm_ParaValue:9D60214B107542C5AC38E6425BAF9E21" TargetMode="External"/><Relationship Id="rId52" Type="http://schemas.openxmlformats.org/officeDocument/2006/relationships/hyperlink" Target="http://internal-awcp0018-alb00105-616219119.ap-northeast-1.elb.amazonaws.com/NPM_Innovator/?StartItem=z_sm_ParaValue:71CE007C65DB4A56836932CAEC8C68F6" TargetMode="External"/><Relationship Id="rId73" Type="http://schemas.openxmlformats.org/officeDocument/2006/relationships/hyperlink" Target="http://internal-awcp0018-alb00105-616219119.ap-northeast-1.elb.amazonaws.com/NPM_Innovator/?StartItem=z_sm_ParaValue:4D58A04CB53D4D23A05C3BAEAC67F707" TargetMode="External"/><Relationship Id="rId94" Type="http://schemas.openxmlformats.org/officeDocument/2006/relationships/hyperlink" Target="http://internal-awcp0018-alb00105-616219119.ap-northeast-1.elb.amazonaws.com/NPM_Innovator/?StartItem=z_sm_ParaValue:0A1B036B6968471994A5691B51B8C418" TargetMode="External"/><Relationship Id="rId148" Type="http://schemas.openxmlformats.org/officeDocument/2006/relationships/hyperlink" Target="http://internal-awcp0018-alb00105-616219119.ap-northeast-1.elb.amazonaws.com/NPM_Innovator/?StartItem=z_sm_ParaValue:21A96F360A114D938921A1F7DFB329FD" TargetMode="External"/><Relationship Id="rId169" Type="http://schemas.openxmlformats.org/officeDocument/2006/relationships/hyperlink" Target="http://internal-awcp0018-alb00105-616219119.ap-northeast-1.elb.amazonaws.com/NPM_Innovator/?StartItem=z_sm_ParaValue:D35CCE54FE45421095FCF78BCEAD7257" TargetMode="External"/><Relationship Id="rId334" Type="http://schemas.openxmlformats.org/officeDocument/2006/relationships/hyperlink" Target="http://internal-awcp0018-alb00105-616219119.ap-northeast-1.elb.amazonaws.com/NPM_Innovator/?StartItem=z_sm_ParaValue:0F2CABA8B98748C4B2CDEB8D81D0A503" TargetMode="External"/><Relationship Id="rId355" Type="http://schemas.openxmlformats.org/officeDocument/2006/relationships/hyperlink" Target="http://internal-awcp0018-alb00105-616219119.ap-northeast-1.elb.amazonaws.com/NPM_Innovator/?StartItem=z_sm_ParaValue:4CADEF40FAF848B88FEBF3243FD8812F" TargetMode="External"/><Relationship Id="rId376" Type="http://schemas.openxmlformats.org/officeDocument/2006/relationships/hyperlink" Target="http://internal-awcp0018-alb00105-616219119.ap-northeast-1.elb.amazonaws.com/NPM_Innovator/?StartItem=z_sm_ParaValue:FD918EC26C664563A33C9D92C70153F1" TargetMode="External"/><Relationship Id="rId397" Type="http://schemas.openxmlformats.org/officeDocument/2006/relationships/hyperlink" Target="http://internal-awcp0018-alb00105-616219119.ap-northeast-1.elb.amazonaws.com/NPM_Innovator/?StartItem=z_sm_ParaValue:D1B7596BC00340BE8DDCD10986F39943" TargetMode="External"/><Relationship Id="rId4" Type="http://schemas.openxmlformats.org/officeDocument/2006/relationships/hyperlink" Target="http://internal-awcp0018-alb00105-616219119.ap-northeast-1.elb.amazonaws.com/NPM_Innovator/?StartItem=z_sm_ParaValue:6F5CD19E6BEE47EBA7995123A05A4E9D" TargetMode="External"/><Relationship Id="rId180" Type="http://schemas.openxmlformats.org/officeDocument/2006/relationships/hyperlink" Target="http://internal-awcp0018-alb00105-616219119.ap-northeast-1.elb.amazonaws.com/NPM_Innovator/?StartItem=z_sm_ParaValue:6AC7914E107A46D0885104CA05F064D2" TargetMode="External"/><Relationship Id="rId215" Type="http://schemas.openxmlformats.org/officeDocument/2006/relationships/hyperlink" Target="http://internal-awcp0018-alb00105-616219119.ap-northeast-1.elb.amazonaws.com/NPM_Innovator/?StartItem=z_sm_ParaValue:0190E3A94C50495482AC108FF42FB0B7" TargetMode="External"/><Relationship Id="rId236" Type="http://schemas.openxmlformats.org/officeDocument/2006/relationships/hyperlink" Target="http://internal-awcp0018-alb00105-616219119.ap-northeast-1.elb.amazonaws.com/NPM_Innovator/?StartItem=z_sm_ParaValue:19B7DE4503E64C7FA596818E971E6E02" TargetMode="External"/><Relationship Id="rId257" Type="http://schemas.openxmlformats.org/officeDocument/2006/relationships/hyperlink" Target="http://internal-awcp0018-alb00105-616219119.ap-northeast-1.elb.amazonaws.com/NPM_Innovator/?StartItem=z_sm_ParaValue:13D0A8B672B14B1D96A04195D6AC4B2B" TargetMode="External"/><Relationship Id="rId278" Type="http://schemas.openxmlformats.org/officeDocument/2006/relationships/hyperlink" Target="http://internal-awcp0018-alb00105-616219119.ap-northeast-1.elb.amazonaws.com/NPM_Innovator/?StartItem=z_sm_ParaValue:F1B628B83858476AAD5B28AF999E5EBA" TargetMode="External"/><Relationship Id="rId401" Type="http://schemas.openxmlformats.org/officeDocument/2006/relationships/hyperlink" Target="http://internal-awcp0018-alb00105-616219119.ap-northeast-1.elb.amazonaws.com/NPM_Innovator/?StartItem=z_sm_ParaValue:B4F8D983745145FC841677F5C67CFDA2" TargetMode="External"/><Relationship Id="rId422" Type="http://schemas.openxmlformats.org/officeDocument/2006/relationships/hyperlink" Target="http://internal-awcp0018-alb00105-616219119.ap-northeast-1.elb.amazonaws.com/NPM_Innovator/?StartItem=z_sm_ParaValue:3547008DD78F4301AC0C925CB4ED9DF7" TargetMode="External"/><Relationship Id="rId443" Type="http://schemas.openxmlformats.org/officeDocument/2006/relationships/hyperlink" Target="http://internal-awcp0018-alb00105-616219119.ap-northeast-1.elb.amazonaws.com/NPM_Innovator/?StartItem=z_sm_ParaValue:C31EF031B35C4214927FC5F0A0901B06" TargetMode="External"/><Relationship Id="rId464" Type="http://schemas.openxmlformats.org/officeDocument/2006/relationships/hyperlink" Target="http://internal-awcp0018-alb00105-616219119.ap-northeast-1.elb.amazonaws.com/NPM_Innovator/?StartItem=z_sm_ParaValue:B44122674C8C412899BC542DE9CF7746" TargetMode="External"/><Relationship Id="rId303" Type="http://schemas.openxmlformats.org/officeDocument/2006/relationships/hyperlink" Target="http://internal-awcp0018-alb00105-616219119.ap-northeast-1.elb.amazonaws.com/NPM_Innovator/?StartItem=z_sm_ParaValue:6F006F9F2D0742B99111A689E86C6FF9" TargetMode="External"/><Relationship Id="rId42" Type="http://schemas.openxmlformats.org/officeDocument/2006/relationships/hyperlink" Target="http://internal-awcp0018-alb00105-616219119.ap-northeast-1.elb.amazonaws.com/NPM_Innovator/?StartItem=z_sm_ParaValue:147E3D795BD048419DC7160E7F502869" TargetMode="External"/><Relationship Id="rId84" Type="http://schemas.openxmlformats.org/officeDocument/2006/relationships/hyperlink" Target="http://internal-awcp0018-alb00105-616219119.ap-northeast-1.elb.amazonaws.com/NPM_Innovator/?StartItem=z_sm_ParaValue:1562E4442C1B4D03AB169043161CF474" TargetMode="External"/><Relationship Id="rId138" Type="http://schemas.openxmlformats.org/officeDocument/2006/relationships/hyperlink" Target="http://internal-awcp0018-alb00105-616219119.ap-northeast-1.elb.amazonaws.com/NPM_Innovator/?StartItem=z_sm_ParaValue:73A5D175D11C40898EE67442E23FA61D" TargetMode="External"/><Relationship Id="rId345" Type="http://schemas.openxmlformats.org/officeDocument/2006/relationships/hyperlink" Target="http://internal-awcp0018-alb00105-616219119.ap-northeast-1.elb.amazonaws.com/NPM_Innovator/?StartItem=z_sm_ParaValue:411BEA2A016442B39AEBC75DC1B699A6" TargetMode="External"/><Relationship Id="rId387" Type="http://schemas.openxmlformats.org/officeDocument/2006/relationships/hyperlink" Target="http://internal-awcp0018-alb00105-616219119.ap-northeast-1.elb.amazonaws.com/NPM_Innovator/?StartItem=z_sm_ParaValue:17BB8D58416A4C88BD84EDAC4E82DD69" TargetMode="External"/><Relationship Id="rId191" Type="http://schemas.openxmlformats.org/officeDocument/2006/relationships/hyperlink" Target="http://internal-awcp0018-alb00105-616219119.ap-northeast-1.elb.amazonaws.com/NPM_Innovator/?StartItem=z_sm_ParaValue:9C8C74324D77400CA78F0ECA06138FB0" TargetMode="External"/><Relationship Id="rId205" Type="http://schemas.openxmlformats.org/officeDocument/2006/relationships/hyperlink" Target="http://internal-awcp0018-alb00105-616219119.ap-northeast-1.elb.amazonaws.com/NPM_Innovator/?StartItem=z_sm_ParaValue:EFE713A4A04D49D7AF229147C60A4BB4" TargetMode="External"/><Relationship Id="rId247" Type="http://schemas.openxmlformats.org/officeDocument/2006/relationships/hyperlink" Target="http://internal-awcp0018-alb00105-616219119.ap-northeast-1.elb.amazonaws.com/NPM_Innovator/?StartItem=z_sm_ParaValue:2B40939C136B4030A21EDCD849E93AC1" TargetMode="External"/><Relationship Id="rId412" Type="http://schemas.openxmlformats.org/officeDocument/2006/relationships/hyperlink" Target="http://internal-awcp0018-alb00105-616219119.ap-northeast-1.elb.amazonaws.com/NPM_Innovator/?StartItem=z_sm_ParaValue:398C6706E6AF4862BA9052930C00C4D4" TargetMode="External"/><Relationship Id="rId107" Type="http://schemas.openxmlformats.org/officeDocument/2006/relationships/hyperlink" Target="http://internal-awcp0018-alb00105-616219119.ap-northeast-1.elb.amazonaws.com/NPM_Innovator/?StartItem=z_sm_ParaValue:9C437C2835124D7E963BD901D171D55D" TargetMode="External"/><Relationship Id="rId289" Type="http://schemas.openxmlformats.org/officeDocument/2006/relationships/hyperlink" Target="http://internal-awcp0018-alb00105-616219119.ap-northeast-1.elb.amazonaws.com/NPM_Innovator/?StartItem=z_sm_ParaValue:794CDD6B56F74BDBBF4081D57692303E" TargetMode="External"/><Relationship Id="rId454" Type="http://schemas.openxmlformats.org/officeDocument/2006/relationships/hyperlink" Target="http://internal-awcp0018-alb00105-616219119.ap-northeast-1.elb.amazonaws.com/NPM_Innovator/?StartItem=z_sm_ParaValue:C443B599680F46829C936FDB7393D84C" TargetMode="External"/><Relationship Id="rId11" Type="http://schemas.openxmlformats.org/officeDocument/2006/relationships/hyperlink" Target="http://internal-awcp0018-alb00105-616219119.ap-northeast-1.elb.amazonaws.com/NPM_Innovator/?StartItem=z_sm_ParaValue:96C79065D9A344E98B96A1016F6651FA" TargetMode="External"/><Relationship Id="rId53" Type="http://schemas.openxmlformats.org/officeDocument/2006/relationships/hyperlink" Target="http://internal-awcp0018-alb00105-616219119.ap-northeast-1.elb.amazonaws.com/NPM_Innovator/?StartItem=z_sm_ParaValue:B062B5A949C845FE8D92B66B3E86E9D1" TargetMode="External"/><Relationship Id="rId149" Type="http://schemas.openxmlformats.org/officeDocument/2006/relationships/hyperlink" Target="http://internal-awcp0018-alb00105-616219119.ap-northeast-1.elb.amazonaws.com/NPM_Innovator/?StartItem=z_sm_ParaValue:A5100D66D23D4E40B332A73786F5BE3B" TargetMode="External"/><Relationship Id="rId314" Type="http://schemas.openxmlformats.org/officeDocument/2006/relationships/hyperlink" Target="http://internal-awcp0018-alb00105-616219119.ap-northeast-1.elb.amazonaws.com/NPM_Innovator/?StartItem=z_sm_ParaValue:56B52697EE41446E8851E76DFC920918" TargetMode="External"/><Relationship Id="rId356" Type="http://schemas.openxmlformats.org/officeDocument/2006/relationships/hyperlink" Target="http://internal-awcp0018-alb00105-616219119.ap-northeast-1.elb.amazonaws.com/NPM_Innovator/?StartItem=z_sm_ParaValue:7398B39DC24048269BCBEB9B93ED47A1" TargetMode="External"/><Relationship Id="rId398" Type="http://schemas.openxmlformats.org/officeDocument/2006/relationships/hyperlink" Target="http://internal-awcp0018-alb00105-616219119.ap-northeast-1.elb.amazonaws.com/NPM_Innovator/?StartItem=z_sm_ParaValue:1571624A33BC4EFFB56DDE01E0B96E35" TargetMode="External"/><Relationship Id="rId95" Type="http://schemas.openxmlformats.org/officeDocument/2006/relationships/hyperlink" Target="http://internal-awcp0018-alb00105-616219119.ap-northeast-1.elb.amazonaws.com/NPM_Innovator/?StartItem=z_sm_ParaValue:C7B82C1103B945A38BFD4ECFE87330F3" TargetMode="External"/><Relationship Id="rId160" Type="http://schemas.openxmlformats.org/officeDocument/2006/relationships/hyperlink" Target="http://internal-awcp0018-alb00105-616219119.ap-northeast-1.elb.amazonaws.com/NPM_Innovator/?StartItem=z_sm_ParaValue:79C17058C20247FE97552998D340EE35" TargetMode="External"/><Relationship Id="rId216" Type="http://schemas.openxmlformats.org/officeDocument/2006/relationships/hyperlink" Target="http://internal-awcp0018-alb00105-616219119.ap-northeast-1.elb.amazonaws.com/NPM_Innovator/?StartItem=z_sm_ParaValue:F2B326DB13AE4D8EB1217E7993868E87" TargetMode="External"/><Relationship Id="rId423" Type="http://schemas.openxmlformats.org/officeDocument/2006/relationships/hyperlink" Target="http://internal-awcp0018-alb00105-616219119.ap-northeast-1.elb.amazonaws.com/NPM_Innovator/?StartItem=z_sm_ParaValue:40B10503BB4945658F59D72B637F955E" TargetMode="External"/><Relationship Id="rId258" Type="http://schemas.openxmlformats.org/officeDocument/2006/relationships/hyperlink" Target="http://internal-awcp0018-alb00105-616219119.ap-northeast-1.elb.amazonaws.com/NPM_Innovator/?StartItem=z_sm_ParaValue:5E0631F2405E413E9AD88453E1AFE67F" TargetMode="External"/><Relationship Id="rId465" Type="http://schemas.openxmlformats.org/officeDocument/2006/relationships/hyperlink" Target="http://internal-awcp0018-alb00105-616219119.ap-northeast-1.elb.amazonaws.com/NPM_Innovator/?StartItem=z_sm_ParaValue:375F380DFFB64DD8A47CD7D3FE5B1630" TargetMode="External"/><Relationship Id="rId22" Type="http://schemas.openxmlformats.org/officeDocument/2006/relationships/hyperlink" Target="http://internal-awcp0018-alb00105-616219119.ap-northeast-1.elb.amazonaws.com/NPM_Innovator/?StartItem=z_sm_ParaValue:AFA98495527041B797AE53806D1DA4B1" TargetMode="External"/><Relationship Id="rId64" Type="http://schemas.openxmlformats.org/officeDocument/2006/relationships/hyperlink" Target="http://internal-awcp0018-alb00105-616219119.ap-northeast-1.elb.amazonaws.com/NPM_Innovator/?StartItem=z_sm_ParaValue:EFFE7B049F7F41FEA0E57E2716E4D3C2" TargetMode="External"/><Relationship Id="rId118" Type="http://schemas.openxmlformats.org/officeDocument/2006/relationships/hyperlink" Target="http://internal-awcp0018-alb00105-616219119.ap-northeast-1.elb.amazonaws.com/NPM_Innovator/?StartItem=z_sm_ParaValue:935A8ACD4D654C1C99C9632E6D19D497" TargetMode="External"/><Relationship Id="rId325" Type="http://schemas.openxmlformats.org/officeDocument/2006/relationships/hyperlink" Target="http://internal-awcp0018-alb00105-616219119.ap-northeast-1.elb.amazonaws.com/NPM_Innovator/?StartItem=z_sm_ParaValue:EF6ED2F1CEA54266AD2973F0F9E33E93" TargetMode="External"/><Relationship Id="rId367" Type="http://schemas.openxmlformats.org/officeDocument/2006/relationships/hyperlink" Target="http://internal-awcp0018-alb00105-616219119.ap-northeast-1.elb.amazonaws.com/NPM_Innovator/?StartItem=z_sm_ParaValue:80E05CD4B36646F480069AF88DA2EC70" TargetMode="External"/><Relationship Id="rId171" Type="http://schemas.openxmlformats.org/officeDocument/2006/relationships/hyperlink" Target="http://internal-awcp0018-alb00105-616219119.ap-northeast-1.elb.amazonaws.com/NPM_Innovator/?StartItem=z_sm_ParaValue:F1C0CE09DCB54DA39AE5A8510D85A6A9" TargetMode="External"/><Relationship Id="rId227" Type="http://schemas.openxmlformats.org/officeDocument/2006/relationships/hyperlink" Target="http://internal-awcp0018-alb00105-616219119.ap-northeast-1.elb.amazonaws.com/NPM_Innovator/?StartItem=z_sm_ParaValue:DEF5E8A7BBEA467887006FE56B4E4925" TargetMode="External"/><Relationship Id="rId269" Type="http://schemas.openxmlformats.org/officeDocument/2006/relationships/hyperlink" Target="http://internal-awcp0018-alb00105-616219119.ap-northeast-1.elb.amazonaws.com/NPM_Innovator/?StartItem=z_sm_ParaValue:E5801898878E445E92F91D795F691B72" TargetMode="External"/><Relationship Id="rId434" Type="http://schemas.openxmlformats.org/officeDocument/2006/relationships/hyperlink" Target="http://internal-awcp0018-alb00105-616219119.ap-northeast-1.elb.amazonaws.com/NPM_Innovator/?StartItem=z_sm_ParaValue:B5CE78AEB3A44BB7872DE142509A57FE" TargetMode="External"/><Relationship Id="rId476" Type="http://schemas.openxmlformats.org/officeDocument/2006/relationships/hyperlink" Target="http://internal-awcp0018-alb00105-616219119.ap-northeast-1.elb.amazonaws.com/NPM_Innovator/?StartItem=z_sm_ParaValue:B0031CB0A97D43F6B62D4A7B37C7FC8C" TargetMode="External"/><Relationship Id="rId33" Type="http://schemas.openxmlformats.org/officeDocument/2006/relationships/hyperlink" Target="http://internal-awcp0018-alb00105-616219119.ap-northeast-1.elb.amazonaws.com/NPM_Innovator/?StartItem=z_sm_ParaValue:D62DE64D52004DCB8C1F6900E4E6ECCA" TargetMode="External"/><Relationship Id="rId129" Type="http://schemas.openxmlformats.org/officeDocument/2006/relationships/hyperlink" Target="http://internal-awcp0018-alb00105-616219119.ap-northeast-1.elb.amazonaws.com/NPM_Innovator/?StartItem=z_sm_ParaValue:FA0EF7679E0642658F4EABD7545807A3" TargetMode="External"/><Relationship Id="rId280" Type="http://schemas.openxmlformats.org/officeDocument/2006/relationships/hyperlink" Target="http://internal-awcp0018-alb00105-616219119.ap-northeast-1.elb.amazonaws.com/NPM_Innovator/?StartItem=z_sm_ParaValue:CE2D7D21519642E8A7DF7EFEB6E56E5A" TargetMode="External"/><Relationship Id="rId336" Type="http://schemas.openxmlformats.org/officeDocument/2006/relationships/hyperlink" Target="http://internal-awcp0018-alb00105-616219119.ap-northeast-1.elb.amazonaws.com/NPM_Innovator/?StartItem=z_sm_ParaValue:18066A0FBAB442A3BEBD7D8E26FDC3C0" TargetMode="External"/><Relationship Id="rId75" Type="http://schemas.openxmlformats.org/officeDocument/2006/relationships/hyperlink" Target="http://internal-awcp0018-alb00105-616219119.ap-northeast-1.elb.amazonaws.com/NPM_Innovator/?StartItem=z_sm_ParaValue:A5CA64F5205F4AEA8E1466484D7989C0" TargetMode="External"/><Relationship Id="rId140" Type="http://schemas.openxmlformats.org/officeDocument/2006/relationships/hyperlink" Target="http://internal-awcp0018-alb00105-616219119.ap-northeast-1.elb.amazonaws.com/NPM_Innovator/?StartItem=z_sm_ParaValue:CF44695D51144C9EA336FF254ADAF467" TargetMode="External"/><Relationship Id="rId182" Type="http://schemas.openxmlformats.org/officeDocument/2006/relationships/hyperlink" Target="http://internal-awcp0018-alb00105-616219119.ap-northeast-1.elb.amazonaws.com/NPM_Innovator/?StartItem=z_sm_ParaValue:0CDE54C76AB643C69CDD0D43366410E6" TargetMode="External"/><Relationship Id="rId378" Type="http://schemas.openxmlformats.org/officeDocument/2006/relationships/hyperlink" Target="http://internal-awcp0018-alb00105-616219119.ap-northeast-1.elb.amazonaws.com/NPM_Innovator/?StartItem=z_sm_ParaValue:077C8C79BDD845D09648FEE894402C26" TargetMode="External"/><Relationship Id="rId403" Type="http://schemas.openxmlformats.org/officeDocument/2006/relationships/hyperlink" Target="http://internal-awcp0018-alb00105-616219119.ap-northeast-1.elb.amazonaws.com/NPM_Innovator/?StartItem=z_sm_ParaValue:ED1B808139AA43F4BEB0606D95E7EB43" TargetMode="External"/><Relationship Id="rId6" Type="http://schemas.openxmlformats.org/officeDocument/2006/relationships/hyperlink" Target="http://internal-awcp0018-alb00105-616219119.ap-northeast-1.elb.amazonaws.com/NPM_Innovator/?StartItem=z_sm_ParaValue:7E02C6E67B154F92A4F0BF78C1B3F555" TargetMode="External"/><Relationship Id="rId238" Type="http://schemas.openxmlformats.org/officeDocument/2006/relationships/hyperlink" Target="http://internal-awcp0018-alb00105-616219119.ap-northeast-1.elb.amazonaws.com/NPM_Innovator/?StartItem=z_sm_ParaValue:DD8DE686C1E44ACDBBA49D59A024347D" TargetMode="External"/><Relationship Id="rId445" Type="http://schemas.openxmlformats.org/officeDocument/2006/relationships/hyperlink" Target="http://internal-awcp0018-alb00105-616219119.ap-northeast-1.elb.amazonaws.com/NPM_Innovator/?StartItem=z_sm_ParaValue:953732DC0C364BB0874D61FD7038BA98" TargetMode="External"/><Relationship Id="rId291" Type="http://schemas.openxmlformats.org/officeDocument/2006/relationships/hyperlink" Target="http://internal-awcp0018-alb00105-616219119.ap-northeast-1.elb.amazonaws.com/NPM_Innovator/?StartItem=z_sm_ParaValue:011251CAEB3242D89F15D8BE44B7E6C0" TargetMode="External"/><Relationship Id="rId305" Type="http://schemas.openxmlformats.org/officeDocument/2006/relationships/hyperlink" Target="http://internal-awcp0018-alb00105-616219119.ap-northeast-1.elb.amazonaws.com/NPM_Innovator/?StartItem=z_sm_ParaValue:F689BAC80B6E470D9821F27431E95B5D" TargetMode="External"/><Relationship Id="rId347" Type="http://schemas.openxmlformats.org/officeDocument/2006/relationships/hyperlink" Target="http://internal-awcp0018-alb00105-616219119.ap-northeast-1.elb.amazonaws.com/NPM_Innovator/?StartItem=z_sm_ParaValue:966E005EA49B4DBCB58F26ADF1588A0D" TargetMode="External"/><Relationship Id="rId44" Type="http://schemas.openxmlformats.org/officeDocument/2006/relationships/hyperlink" Target="http://internal-awcp0018-alb00105-616219119.ap-northeast-1.elb.amazonaws.com/NPM_Innovator/?StartItem=z_sm_ParaValue:1F114F0EAAB14D3CBF0DEC060AB60ACE" TargetMode="External"/><Relationship Id="rId86" Type="http://schemas.openxmlformats.org/officeDocument/2006/relationships/hyperlink" Target="http://internal-awcp0018-alb00105-616219119.ap-northeast-1.elb.amazonaws.com/NPM_Innovator/?StartItem=z_sm_ParaValue:F70B85DAE2814A938452A7347C7068E4" TargetMode="External"/><Relationship Id="rId151" Type="http://schemas.openxmlformats.org/officeDocument/2006/relationships/hyperlink" Target="http://internal-awcp0018-alb00105-616219119.ap-northeast-1.elb.amazonaws.com/NPM_Innovator/?StartItem=z_sm_ParaValue:ECECEA8A9C674FF795963C1D644D4E12" TargetMode="External"/><Relationship Id="rId389" Type="http://schemas.openxmlformats.org/officeDocument/2006/relationships/hyperlink" Target="http://internal-awcp0018-alb00105-616219119.ap-northeast-1.elb.amazonaws.com/NPM_Innovator/?StartItem=z_sm_ParaValue:436545BD1E28400C9405F22528A459EE" TargetMode="External"/><Relationship Id="rId193" Type="http://schemas.openxmlformats.org/officeDocument/2006/relationships/hyperlink" Target="http://internal-awcp0018-alb00105-616219119.ap-northeast-1.elb.amazonaws.com/NPM_Innovator/?StartItem=z_sm_ParaValue:6A6C2B698E1249578426F25F684EEAA5" TargetMode="External"/><Relationship Id="rId207" Type="http://schemas.openxmlformats.org/officeDocument/2006/relationships/hyperlink" Target="http://internal-awcp0018-alb00105-616219119.ap-northeast-1.elb.amazonaws.com/NPM_Innovator/?StartItem=z_sm_ParaValue:FC9A2CC214C44CA4A52C2AA0523DA4B6" TargetMode="External"/><Relationship Id="rId249" Type="http://schemas.openxmlformats.org/officeDocument/2006/relationships/hyperlink" Target="http://internal-awcp0018-alb00105-616219119.ap-northeast-1.elb.amazonaws.com/NPM_Innovator/?StartItem=z_sm_ParaValue:E6434EFAAF4443AD8862207AE287C661" TargetMode="External"/><Relationship Id="rId414" Type="http://schemas.openxmlformats.org/officeDocument/2006/relationships/hyperlink" Target="http://internal-awcp0018-alb00105-616219119.ap-northeast-1.elb.amazonaws.com/NPM_Innovator/?StartItem=z_sm_ParaValue:826F7BE24F3546EF8C4016EEC3056BF0" TargetMode="External"/><Relationship Id="rId456" Type="http://schemas.openxmlformats.org/officeDocument/2006/relationships/hyperlink" Target="http://internal-awcp0018-alb00105-616219119.ap-northeast-1.elb.amazonaws.com/NPM_Innovator/?StartItem=z_sm_ParaValue:BA4ED2501762492AB02E3C1AA55FF753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localhost/InnovatorServer_120_SP18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://localhost/InnovatorServer_120_SP18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://localhost/InnovatorServer_120_SP18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P3000"/>
  <sheetViews>
    <sheetView zoomScale="70" zoomScaleNormal="70" workbookViewId="0">
      <pane ySplit="2" topLeftCell="A880" activePane="bottomLeft" state="frozen"/>
      <selection pane="bottomLeft" activeCell="O1" sqref="O1"/>
    </sheetView>
  </sheetViews>
  <sheetFormatPr defaultRowHeight="18" outlineLevelCol="1" x14ac:dyDescent="0.55000000000000004"/>
  <cols>
    <col min="1" max="1" width="28.5" style="46" customWidth="1"/>
    <col min="3" max="3" width="9" style="101" customWidth="1"/>
    <col min="4" max="8" width="9" style="9" customWidth="1"/>
    <col min="9" max="9" width="46.08203125" style="9" customWidth="1"/>
    <col min="10" max="10" width="27.75" style="9" customWidth="1"/>
    <col min="11" max="15" width="9" style="9" customWidth="1"/>
    <col min="16" max="19" width="9" style="9" hidden="1" customWidth="1" outlineLevel="1"/>
    <col min="20" max="20" width="9" style="9" customWidth="1" collapsed="1"/>
  </cols>
  <sheetData>
    <row r="1" spans="1:42" x14ac:dyDescent="0.55000000000000004"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119"/>
      <c r="AG1" s="120"/>
      <c r="AH1" s="120"/>
      <c r="AI1" s="120"/>
      <c r="AJ1" s="120"/>
      <c r="AK1" s="120"/>
      <c r="AL1" s="120"/>
      <c r="AM1" s="120"/>
      <c r="AN1" s="120"/>
      <c r="AO1" s="9"/>
      <c r="AP1" s="9"/>
    </row>
    <row r="2" spans="1:42" ht="37.5" customHeight="1" x14ac:dyDescent="0.55000000000000004">
      <c r="A2" s="70" t="s">
        <v>0</v>
      </c>
      <c r="C2" s="102" t="s">
        <v>1</v>
      </c>
      <c r="D2" s="107" t="s">
        <v>2</v>
      </c>
      <c r="E2" s="107" t="s">
        <v>3</v>
      </c>
      <c r="F2" s="107" t="s">
        <v>4</v>
      </c>
      <c r="G2" s="107" t="s">
        <v>5</v>
      </c>
      <c r="H2" s="107" t="s">
        <v>6</v>
      </c>
      <c r="I2" s="108" t="s">
        <v>7</v>
      </c>
      <c r="J2" s="108" t="s">
        <v>8</v>
      </c>
      <c r="K2" s="107" t="s">
        <v>9</v>
      </c>
      <c r="L2" s="109" t="s">
        <v>10</v>
      </c>
      <c r="M2" s="109" t="s">
        <v>11</v>
      </c>
      <c r="N2" s="109" t="s">
        <v>12</v>
      </c>
      <c r="O2" s="109" t="s">
        <v>13</v>
      </c>
      <c r="P2" s="109" t="s">
        <v>14</v>
      </c>
      <c r="Q2" s="109" t="s">
        <v>15</v>
      </c>
      <c r="R2" s="109" t="s">
        <v>16</v>
      </c>
      <c r="S2" s="109" t="s">
        <v>17</v>
      </c>
      <c r="T2" s="109" t="s">
        <v>18</v>
      </c>
      <c r="U2" s="69"/>
      <c r="V2" s="69"/>
      <c r="W2" s="69"/>
      <c r="X2" s="69"/>
      <c r="Y2" s="69"/>
      <c r="Z2" s="69"/>
      <c r="AA2" s="69"/>
      <c r="AB2" s="69"/>
      <c r="AC2" s="69"/>
      <c r="AD2" s="68"/>
      <c r="AE2" s="68"/>
      <c r="AF2" s="66"/>
      <c r="AG2" s="66"/>
      <c r="AH2" s="66"/>
      <c r="AI2" s="66"/>
      <c r="AJ2" s="66"/>
      <c r="AK2" s="66"/>
      <c r="AL2" s="66"/>
      <c r="AM2" s="66"/>
      <c r="AN2" s="66"/>
      <c r="AO2" s="9"/>
      <c r="AP2" s="9"/>
    </row>
    <row r="3" spans="1:42" x14ac:dyDescent="0.55000000000000004">
      <c r="A3" t="str">
        <f t="shared" ref="A3:A66" si="0">H3&amp;I3&amp;J3</f>
        <v/>
      </c>
      <c r="C3" s="103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49"/>
      <c r="V3" s="49"/>
      <c r="W3" s="49"/>
      <c r="X3" s="49"/>
      <c r="Y3" s="49"/>
      <c r="Z3" s="49"/>
      <c r="AA3" s="49"/>
      <c r="AB3" s="49"/>
      <c r="AC3" s="49"/>
      <c r="AD3" s="113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9"/>
      <c r="AP3" s="9"/>
    </row>
    <row r="4" spans="1:42" x14ac:dyDescent="0.55000000000000004">
      <c r="A4" t="str">
        <f t="shared" si="0"/>
        <v/>
      </c>
      <c r="C4" s="103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49"/>
      <c r="V4" s="49"/>
      <c r="W4" s="49"/>
      <c r="X4" s="49"/>
      <c r="Y4" s="49"/>
      <c r="Z4" s="49"/>
      <c r="AA4" s="49"/>
      <c r="AB4" s="49"/>
      <c r="AC4" s="49"/>
      <c r="AD4" s="113"/>
      <c r="AE4" s="49"/>
      <c r="AF4" s="50"/>
      <c r="AG4" s="50"/>
      <c r="AH4" s="50"/>
      <c r="AI4" s="50"/>
      <c r="AJ4" s="50"/>
      <c r="AK4" s="50"/>
      <c r="AL4" s="50"/>
      <c r="AM4" s="50"/>
      <c r="AN4" s="50"/>
      <c r="AO4" s="9"/>
      <c r="AP4" s="9"/>
    </row>
    <row r="5" spans="1:42" x14ac:dyDescent="0.55000000000000004">
      <c r="A5" t="str">
        <f t="shared" si="0"/>
        <v/>
      </c>
      <c r="C5" s="103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49"/>
      <c r="V5" s="49"/>
      <c r="W5" s="49"/>
      <c r="X5" s="49"/>
      <c r="Y5" s="49"/>
      <c r="Z5" s="49"/>
      <c r="AA5" s="49"/>
      <c r="AB5" s="49"/>
      <c r="AC5" s="49"/>
      <c r="AD5" s="113"/>
      <c r="AE5" s="49"/>
      <c r="AF5" s="50"/>
      <c r="AG5" s="50"/>
      <c r="AH5" s="50"/>
      <c r="AI5" s="50"/>
      <c r="AJ5" s="50"/>
      <c r="AK5" s="50"/>
      <c r="AL5" s="50"/>
      <c r="AM5" s="50"/>
      <c r="AN5" s="50"/>
      <c r="AO5" s="9"/>
      <c r="AP5" s="9"/>
    </row>
    <row r="6" spans="1:42" x14ac:dyDescent="0.55000000000000004">
      <c r="A6" t="str">
        <f t="shared" si="0"/>
        <v/>
      </c>
      <c r="C6" s="103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49"/>
      <c r="V6" s="49"/>
      <c r="W6" s="49"/>
      <c r="X6" s="49"/>
      <c r="Y6" s="49"/>
      <c r="Z6" s="49"/>
      <c r="AA6" s="49"/>
      <c r="AB6" s="49"/>
      <c r="AC6" s="49"/>
      <c r="AD6" s="113"/>
      <c r="AE6" s="49"/>
      <c r="AF6" s="50"/>
      <c r="AG6" s="50"/>
      <c r="AH6" s="50"/>
      <c r="AI6" s="50"/>
      <c r="AJ6" s="50"/>
      <c r="AK6" s="50"/>
      <c r="AL6" s="50"/>
      <c r="AM6" s="50"/>
      <c r="AN6" s="50"/>
      <c r="AO6" s="9"/>
      <c r="AP6" s="9"/>
    </row>
    <row r="7" spans="1:42" x14ac:dyDescent="0.55000000000000004">
      <c r="A7" t="str">
        <f t="shared" si="0"/>
        <v/>
      </c>
      <c r="C7" s="103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49"/>
      <c r="V7" s="49"/>
      <c r="W7" s="49"/>
      <c r="X7" s="49"/>
      <c r="Y7" s="49"/>
      <c r="Z7" s="49"/>
      <c r="AA7" s="49"/>
      <c r="AB7" s="49"/>
      <c r="AC7" s="49"/>
      <c r="AD7" s="113"/>
      <c r="AE7" s="49"/>
      <c r="AF7" s="50"/>
      <c r="AG7" s="50"/>
      <c r="AH7" s="50"/>
      <c r="AI7" s="50"/>
      <c r="AJ7" s="50"/>
      <c r="AK7" s="50"/>
      <c r="AL7" s="50"/>
      <c r="AM7" s="50"/>
      <c r="AN7" s="50"/>
      <c r="AO7" s="9"/>
      <c r="AP7" s="9"/>
    </row>
    <row r="8" spans="1:42" x14ac:dyDescent="0.55000000000000004">
      <c r="A8" t="str">
        <f t="shared" si="0"/>
        <v/>
      </c>
      <c r="C8" s="103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49"/>
      <c r="V8" s="49"/>
      <c r="W8" s="49"/>
      <c r="X8" s="49"/>
      <c r="Y8" s="49"/>
      <c r="Z8" s="49"/>
      <c r="AA8" s="49"/>
      <c r="AB8" s="49"/>
      <c r="AC8" s="49"/>
      <c r="AD8" s="113"/>
      <c r="AE8" s="49"/>
      <c r="AF8" s="50"/>
      <c r="AG8" s="50"/>
      <c r="AH8" s="50"/>
      <c r="AI8" s="50"/>
      <c r="AJ8" s="50"/>
      <c r="AK8" s="50"/>
      <c r="AL8" s="50"/>
      <c r="AM8" s="50"/>
      <c r="AN8" s="50"/>
      <c r="AO8" s="9"/>
      <c r="AP8" s="9"/>
    </row>
    <row r="9" spans="1:42" x14ac:dyDescent="0.55000000000000004">
      <c r="A9" t="str">
        <f t="shared" si="0"/>
        <v/>
      </c>
      <c r="C9" s="103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49"/>
      <c r="V9" s="49"/>
      <c r="W9" s="49"/>
      <c r="X9" s="49"/>
      <c r="Y9" s="49"/>
      <c r="Z9" s="49"/>
      <c r="AA9" s="49"/>
      <c r="AB9" s="49"/>
      <c r="AC9" s="49"/>
      <c r="AD9" s="113"/>
      <c r="AE9" s="49"/>
      <c r="AF9" s="50"/>
      <c r="AG9" s="50"/>
      <c r="AH9" s="50"/>
      <c r="AI9" s="50"/>
      <c r="AJ9" s="50"/>
      <c r="AK9" s="50"/>
      <c r="AL9" s="50"/>
      <c r="AM9" s="50"/>
      <c r="AN9" s="50"/>
      <c r="AO9" s="9"/>
      <c r="AP9" s="9"/>
    </row>
    <row r="10" spans="1:42" x14ac:dyDescent="0.55000000000000004">
      <c r="A10" t="str">
        <f t="shared" si="0"/>
        <v/>
      </c>
      <c r="C10" s="103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49"/>
      <c r="V10" s="49"/>
      <c r="W10" s="49"/>
      <c r="X10" s="49"/>
      <c r="Y10" s="49"/>
      <c r="Z10" s="49"/>
      <c r="AA10" s="49"/>
      <c r="AB10" s="49"/>
      <c r="AC10" s="49"/>
      <c r="AD10" s="113"/>
      <c r="AE10" s="49"/>
      <c r="AF10" s="50"/>
      <c r="AG10" s="50"/>
      <c r="AH10" s="50"/>
      <c r="AI10" s="50"/>
      <c r="AJ10" s="50"/>
      <c r="AK10" s="50"/>
      <c r="AL10" s="50"/>
      <c r="AM10" s="50"/>
      <c r="AN10" s="50"/>
      <c r="AO10" s="9"/>
      <c r="AP10" s="9"/>
    </row>
    <row r="11" spans="1:42" x14ac:dyDescent="0.55000000000000004">
      <c r="A11" t="str">
        <f t="shared" si="0"/>
        <v/>
      </c>
      <c r="C11" s="103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49"/>
      <c r="V11" s="49"/>
      <c r="W11" s="49"/>
      <c r="X11" s="49"/>
      <c r="Y11" s="49"/>
      <c r="Z11" s="49"/>
      <c r="AA11" s="49"/>
      <c r="AB11" s="49"/>
      <c r="AC11" s="49"/>
      <c r="AD11" s="113"/>
      <c r="AE11" s="49"/>
      <c r="AF11" s="50"/>
      <c r="AG11" s="50"/>
      <c r="AH11" s="50"/>
      <c r="AI11" s="50"/>
      <c r="AJ11" s="50"/>
      <c r="AK11" s="50"/>
      <c r="AL11" s="50"/>
      <c r="AM11" s="50"/>
      <c r="AN11" s="50"/>
      <c r="AO11" s="9"/>
      <c r="AP11" s="9"/>
    </row>
    <row r="12" spans="1:42" x14ac:dyDescent="0.55000000000000004">
      <c r="A12" t="str">
        <f t="shared" si="0"/>
        <v/>
      </c>
      <c r="C12" s="103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49"/>
      <c r="V12" s="49"/>
      <c r="W12" s="49"/>
      <c r="X12" s="49"/>
      <c r="Y12" s="49"/>
      <c r="Z12" s="49"/>
      <c r="AA12" s="49"/>
      <c r="AB12" s="49"/>
      <c r="AC12" s="49"/>
      <c r="AD12" s="113"/>
      <c r="AE12" s="49"/>
      <c r="AF12" s="50"/>
      <c r="AG12" s="50"/>
      <c r="AH12" s="50"/>
      <c r="AI12" s="50"/>
      <c r="AJ12" s="50"/>
      <c r="AK12" s="50"/>
      <c r="AL12" s="50"/>
      <c r="AM12" s="50"/>
      <c r="AN12" s="50"/>
      <c r="AO12" s="9"/>
      <c r="AP12" s="9"/>
    </row>
    <row r="13" spans="1:42" x14ac:dyDescent="0.55000000000000004">
      <c r="A13" t="str">
        <f t="shared" si="0"/>
        <v/>
      </c>
      <c r="C13" s="103"/>
      <c r="D13" s="110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49"/>
      <c r="V13" s="49"/>
      <c r="W13" s="49"/>
      <c r="X13" s="49"/>
      <c r="Y13" s="49"/>
      <c r="Z13" s="49"/>
      <c r="AA13" s="49"/>
      <c r="AB13" s="49"/>
      <c r="AC13" s="49"/>
      <c r="AD13" s="113"/>
      <c r="AE13" s="49"/>
      <c r="AF13" s="50"/>
      <c r="AG13" s="50"/>
      <c r="AH13" s="50"/>
      <c r="AI13" s="50"/>
      <c r="AJ13" s="50"/>
      <c r="AK13" s="50"/>
      <c r="AL13" s="50"/>
      <c r="AM13" s="50"/>
      <c r="AN13" s="50"/>
      <c r="AO13" s="9"/>
      <c r="AP13" s="9"/>
    </row>
    <row r="14" spans="1:42" x14ac:dyDescent="0.55000000000000004">
      <c r="A14" t="str">
        <f t="shared" si="0"/>
        <v/>
      </c>
      <c r="C14" s="103"/>
      <c r="D14" s="110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49"/>
      <c r="V14" s="49"/>
      <c r="W14" s="49"/>
      <c r="X14" s="49"/>
      <c r="Y14" s="49"/>
      <c r="Z14" s="49"/>
      <c r="AA14" s="49"/>
      <c r="AB14" s="49"/>
      <c r="AC14" s="49"/>
      <c r="AD14" s="113"/>
      <c r="AE14" s="49"/>
      <c r="AF14" s="50"/>
      <c r="AG14" s="50"/>
      <c r="AH14" s="50"/>
      <c r="AI14" s="50"/>
      <c r="AJ14" s="50"/>
      <c r="AK14" s="50"/>
      <c r="AL14" s="50"/>
      <c r="AM14" s="50"/>
      <c r="AN14" s="50"/>
      <c r="AO14" s="9"/>
      <c r="AP14" s="9"/>
    </row>
    <row r="15" spans="1:42" x14ac:dyDescent="0.55000000000000004">
      <c r="A15" t="str">
        <f t="shared" si="0"/>
        <v/>
      </c>
      <c r="C15" s="103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49"/>
      <c r="V15" s="49"/>
      <c r="W15" s="49"/>
      <c r="X15" s="49"/>
      <c r="Y15" s="49"/>
      <c r="Z15" s="49"/>
      <c r="AA15" s="49"/>
      <c r="AB15" s="49"/>
      <c r="AC15" s="49"/>
      <c r="AD15" s="113"/>
      <c r="AE15" s="49"/>
      <c r="AF15" s="50"/>
      <c r="AG15" s="50"/>
      <c r="AH15" s="50"/>
      <c r="AI15" s="50"/>
      <c r="AJ15" s="50"/>
      <c r="AK15" s="50"/>
      <c r="AL15" s="50"/>
      <c r="AM15" s="50"/>
      <c r="AN15" s="50"/>
      <c r="AO15" s="9"/>
      <c r="AP15" s="9"/>
    </row>
    <row r="16" spans="1:42" x14ac:dyDescent="0.55000000000000004">
      <c r="A16" t="str">
        <f t="shared" si="0"/>
        <v/>
      </c>
      <c r="C16" s="103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49"/>
      <c r="V16" s="49"/>
      <c r="W16" s="49"/>
      <c r="X16" s="49"/>
      <c r="Y16" s="49"/>
      <c r="Z16" s="49"/>
      <c r="AA16" s="49"/>
      <c r="AB16" s="49"/>
      <c r="AC16" s="49"/>
      <c r="AD16" s="113"/>
      <c r="AE16" s="49"/>
      <c r="AF16" s="50"/>
      <c r="AG16" s="50"/>
      <c r="AH16" s="50"/>
      <c r="AI16" s="50"/>
      <c r="AJ16" s="50"/>
      <c r="AK16" s="50"/>
      <c r="AL16" s="50"/>
      <c r="AM16" s="50"/>
      <c r="AN16" s="50"/>
      <c r="AO16" s="9"/>
      <c r="AP16" s="9"/>
    </row>
    <row r="17" spans="1:42" x14ac:dyDescent="0.55000000000000004">
      <c r="A17" t="str">
        <f t="shared" si="0"/>
        <v/>
      </c>
      <c r="C17" s="103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49"/>
      <c r="V17" s="49"/>
      <c r="W17" s="49"/>
      <c r="X17" s="49"/>
      <c r="Y17" s="49"/>
      <c r="Z17" s="49"/>
      <c r="AA17" s="49"/>
      <c r="AB17" s="49"/>
      <c r="AC17" s="49"/>
      <c r="AD17" s="113"/>
      <c r="AE17" s="49"/>
      <c r="AF17" s="50"/>
      <c r="AG17" s="50"/>
      <c r="AH17" s="50"/>
      <c r="AI17" s="50"/>
      <c r="AJ17" s="50"/>
      <c r="AK17" s="50"/>
      <c r="AL17" s="50"/>
      <c r="AM17" s="50"/>
      <c r="AN17" s="50"/>
      <c r="AO17" s="9"/>
      <c r="AP17" s="9"/>
    </row>
    <row r="18" spans="1:42" x14ac:dyDescent="0.55000000000000004">
      <c r="A18" t="str">
        <f t="shared" si="0"/>
        <v/>
      </c>
      <c r="C18" s="103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49"/>
      <c r="V18" s="49"/>
      <c r="W18" s="49"/>
      <c r="X18" s="49"/>
      <c r="Y18" s="49"/>
      <c r="Z18" s="49"/>
      <c r="AA18" s="49"/>
      <c r="AB18" s="49"/>
      <c r="AC18" s="49"/>
      <c r="AD18" s="113"/>
      <c r="AE18" s="49"/>
      <c r="AF18" s="50"/>
      <c r="AG18" s="50"/>
      <c r="AH18" s="50"/>
      <c r="AI18" s="50"/>
      <c r="AJ18" s="50"/>
      <c r="AK18" s="50"/>
      <c r="AL18" s="50"/>
      <c r="AM18" s="50"/>
      <c r="AN18" s="50"/>
      <c r="AO18" s="9"/>
      <c r="AP18" s="9"/>
    </row>
    <row r="19" spans="1:42" x14ac:dyDescent="0.55000000000000004">
      <c r="A19" t="str">
        <f t="shared" si="0"/>
        <v/>
      </c>
      <c r="C19" s="103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49"/>
      <c r="V19" s="49"/>
      <c r="W19" s="49"/>
      <c r="X19" s="49"/>
      <c r="Y19" s="49"/>
      <c r="Z19" s="49"/>
      <c r="AA19" s="49"/>
      <c r="AB19" s="49"/>
      <c r="AC19" s="49"/>
      <c r="AD19" s="113"/>
      <c r="AE19" s="49"/>
      <c r="AF19" s="50"/>
      <c r="AG19" s="50"/>
      <c r="AH19" s="50"/>
      <c r="AI19" s="50"/>
      <c r="AJ19" s="50"/>
      <c r="AK19" s="50"/>
      <c r="AL19" s="50"/>
      <c r="AM19" s="50"/>
      <c r="AN19" s="50"/>
      <c r="AO19" s="9"/>
      <c r="AP19" s="9"/>
    </row>
    <row r="20" spans="1:42" x14ac:dyDescent="0.55000000000000004">
      <c r="A20" t="str">
        <f t="shared" si="0"/>
        <v/>
      </c>
      <c r="C20" s="103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49"/>
      <c r="V20" s="49"/>
      <c r="W20" s="49"/>
      <c r="X20" s="49"/>
      <c r="Y20" s="49"/>
      <c r="Z20" s="49"/>
      <c r="AA20" s="49"/>
      <c r="AB20" s="49"/>
      <c r="AC20" s="49"/>
      <c r="AD20" s="113"/>
      <c r="AE20" s="49"/>
      <c r="AF20" s="50"/>
      <c r="AG20" s="50"/>
      <c r="AH20" s="50"/>
      <c r="AI20" s="50"/>
      <c r="AJ20" s="50"/>
      <c r="AK20" s="50"/>
      <c r="AL20" s="50"/>
      <c r="AM20" s="50"/>
      <c r="AN20" s="50"/>
      <c r="AO20" s="9"/>
      <c r="AP20" s="9"/>
    </row>
    <row r="21" spans="1:42" x14ac:dyDescent="0.55000000000000004">
      <c r="A21" t="str">
        <f t="shared" si="0"/>
        <v/>
      </c>
      <c r="C21" s="103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49"/>
      <c r="V21" s="49"/>
      <c r="W21" s="49"/>
      <c r="X21" s="49"/>
      <c r="Y21" s="49"/>
      <c r="Z21" s="49"/>
      <c r="AA21" s="49"/>
      <c r="AB21" s="49"/>
      <c r="AC21" s="49"/>
      <c r="AD21" s="113"/>
      <c r="AE21" s="49"/>
      <c r="AF21" s="51"/>
      <c r="AG21" s="51"/>
      <c r="AH21" s="51"/>
      <c r="AI21" s="51"/>
      <c r="AJ21" s="51"/>
      <c r="AK21" s="50"/>
      <c r="AL21" s="50"/>
      <c r="AM21" s="64"/>
      <c r="AN21" s="50"/>
      <c r="AO21" s="9"/>
      <c r="AP21" s="9"/>
    </row>
    <row r="22" spans="1:42" x14ac:dyDescent="0.55000000000000004">
      <c r="A22" t="str">
        <f t="shared" si="0"/>
        <v/>
      </c>
      <c r="C22" s="103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49"/>
      <c r="V22" s="49"/>
      <c r="W22" s="49"/>
      <c r="X22" s="49"/>
      <c r="Y22" s="49"/>
      <c r="Z22" s="49"/>
      <c r="AA22" s="49"/>
      <c r="AB22" s="49"/>
      <c r="AC22" s="49"/>
      <c r="AD22" s="113"/>
      <c r="AE22" s="49"/>
      <c r="AF22" s="51"/>
      <c r="AG22" s="51"/>
      <c r="AH22" s="51"/>
      <c r="AI22" s="51"/>
      <c r="AJ22" s="51"/>
      <c r="AK22" s="50"/>
      <c r="AL22" s="50"/>
      <c r="AM22" s="64"/>
      <c r="AN22" s="50"/>
      <c r="AO22" s="9"/>
      <c r="AP22" s="9"/>
    </row>
    <row r="23" spans="1:42" x14ac:dyDescent="0.55000000000000004">
      <c r="A23" t="str">
        <f t="shared" si="0"/>
        <v/>
      </c>
      <c r="C23" s="103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49"/>
      <c r="V23" s="49"/>
      <c r="W23" s="49"/>
      <c r="X23" s="49"/>
      <c r="Y23" s="49"/>
      <c r="Z23" s="49"/>
      <c r="AA23" s="49"/>
      <c r="AB23" s="49"/>
      <c r="AC23" s="49"/>
      <c r="AD23" s="113"/>
      <c r="AE23" s="49"/>
      <c r="AF23" s="52"/>
      <c r="AG23" s="52"/>
      <c r="AH23" s="52"/>
      <c r="AI23" s="52"/>
      <c r="AJ23" s="52"/>
      <c r="AK23" s="50"/>
      <c r="AL23" s="50"/>
      <c r="AM23" s="64"/>
      <c r="AN23" s="50"/>
      <c r="AO23" s="9"/>
      <c r="AP23" s="9"/>
    </row>
    <row r="24" spans="1:42" x14ac:dyDescent="0.55000000000000004">
      <c r="A24" t="str">
        <f t="shared" si="0"/>
        <v/>
      </c>
      <c r="C24" s="103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49"/>
      <c r="V24" s="49"/>
      <c r="W24" s="49"/>
      <c r="X24" s="49"/>
      <c r="Y24" s="49"/>
      <c r="Z24" s="49"/>
      <c r="AA24" s="49"/>
      <c r="AB24" s="49"/>
      <c r="AC24" s="49"/>
      <c r="AD24" s="113"/>
      <c r="AE24" s="49"/>
      <c r="AF24" s="50"/>
      <c r="AG24" s="50"/>
      <c r="AH24" s="50"/>
      <c r="AI24" s="50"/>
      <c r="AJ24" s="50"/>
      <c r="AK24" s="50"/>
      <c r="AL24" s="50"/>
      <c r="AM24" s="64"/>
      <c r="AN24" s="50"/>
      <c r="AO24" s="9"/>
      <c r="AP24" s="9"/>
    </row>
    <row r="25" spans="1:42" x14ac:dyDescent="0.55000000000000004">
      <c r="A25" t="str">
        <f t="shared" si="0"/>
        <v/>
      </c>
      <c r="C25" s="103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49"/>
      <c r="V25" s="49"/>
      <c r="W25" s="49"/>
      <c r="X25" s="49"/>
      <c r="Y25" s="49"/>
      <c r="Z25" s="49"/>
      <c r="AA25" s="49"/>
      <c r="AB25" s="49"/>
      <c r="AC25" s="49"/>
      <c r="AD25" s="113"/>
      <c r="AE25" s="49"/>
      <c r="AF25" s="51"/>
      <c r="AG25" s="51"/>
      <c r="AH25" s="51"/>
      <c r="AI25" s="51"/>
      <c r="AJ25" s="51"/>
      <c r="AK25" s="50"/>
      <c r="AL25" s="50"/>
      <c r="AM25" s="64"/>
      <c r="AN25" s="50"/>
      <c r="AO25" s="9"/>
      <c r="AP25" s="9"/>
    </row>
    <row r="26" spans="1:42" x14ac:dyDescent="0.55000000000000004">
      <c r="A26" t="str">
        <f t="shared" si="0"/>
        <v/>
      </c>
      <c r="C26" s="103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49"/>
      <c r="V26" s="49"/>
      <c r="W26" s="49"/>
      <c r="X26" s="49"/>
      <c r="Y26" s="49"/>
      <c r="Z26" s="49"/>
      <c r="AA26" s="49"/>
      <c r="AB26" s="49"/>
      <c r="AC26" s="49"/>
      <c r="AD26" s="113"/>
      <c r="AE26" s="49"/>
      <c r="AF26" s="50"/>
      <c r="AG26" s="50"/>
      <c r="AH26" s="50"/>
      <c r="AI26" s="50"/>
      <c r="AJ26" s="50"/>
      <c r="AK26" s="50"/>
      <c r="AL26" s="50"/>
      <c r="AM26" s="64"/>
      <c r="AN26" s="50"/>
      <c r="AO26" s="9"/>
      <c r="AP26" s="9"/>
    </row>
    <row r="27" spans="1:42" x14ac:dyDescent="0.55000000000000004">
      <c r="A27" t="str">
        <f t="shared" si="0"/>
        <v/>
      </c>
      <c r="C27" s="103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49"/>
      <c r="V27" s="49"/>
      <c r="W27" s="49"/>
      <c r="X27" s="49"/>
      <c r="Y27" s="49"/>
      <c r="Z27" s="49"/>
      <c r="AA27" s="49"/>
      <c r="AB27" s="49"/>
      <c r="AC27" s="49"/>
      <c r="AD27" s="113"/>
      <c r="AE27" s="49"/>
      <c r="AF27" s="50"/>
      <c r="AG27" s="50"/>
      <c r="AH27" s="50"/>
      <c r="AI27" s="50"/>
      <c r="AJ27" s="50"/>
      <c r="AK27" s="50"/>
      <c r="AL27" s="50"/>
      <c r="AM27" s="64"/>
      <c r="AN27" s="50"/>
      <c r="AO27" s="9"/>
      <c r="AP27" s="9"/>
    </row>
    <row r="28" spans="1:42" x14ac:dyDescent="0.55000000000000004">
      <c r="A28" t="str">
        <f t="shared" si="0"/>
        <v/>
      </c>
      <c r="C28" s="103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49"/>
      <c r="V28" s="49"/>
      <c r="W28" s="49"/>
      <c r="X28" s="49"/>
      <c r="Y28" s="49"/>
      <c r="Z28" s="49"/>
      <c r="AA28" s="49"/>
      <c r="AB28" s="49"/>
      <c r="AC28" s="49"/>
      <c r="AD28" s="113"/>
      <c r="AE28" s="49"/>
      <c r="AF28" s="50"/>
      <c r="AG28" s="50"/>
      <c r="AH28" s="50"/>
      <c r="AI28" s="50"/>
      <c r="AJ28" s="50"/>
      <c r="AK28" s="50"/>
      <c r="AL28" s="50"/>
      <c r="AM28" s="64"/>
      <c r="AN28" s="50"/>
      <c r="AO28" s="9"/>
      <c r="AP28" s="9"/>
    </row>
    <row r="29" spans="1:42" x14ac:dyDescent="0.55000000000000004">
      <c r="A29" t="str">
        <f t="shared" si="0"/>
        <v/>
      </c>
      <c r="C29" s="103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49"/>
      <c r="V29" s="49"/>
      <c r="W29" s="49"/>
      <c r="X29" s="49"/>
      <c r="Y29" s="49"/>
      <c r="Z29" s="49"/>
      <c r="AA29" s="49"/>
      <c r="AB29" s="49"/>
      <c r="AC29" s="49"/>
      <c r="AD29" s="113"/>
      <c r="AE29" s="49"/>
      <c r="AF29" s="50"/>
      <c r="AG29" s="50"/>
      <c r="AH29" s="50"/>
      <c r="AI29" s="50"/>
      <c r="AJ29" s="50"/>
      <c r="AK29" s="50"/>
      <c r="AL29" s="50"/>
      <c r="AM29" s="64"/>
      <c r="AN29" s="50"/>
      <c r="AO29" s="9"/>
      <c r="AP29" s="9"/>
    </row>
    <row r="30" spans="1:42" x14ac:dyDescent="0.55000000000000004">
      <c r="A30" t="str">
        <f t="shared" si="0"/>
        <v/>
      </c>
      <c r="C30" s="103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49"/>
      <c r="V30" s="49"/>
      <c r="W30" s="49"/>
      <c r="X30" s="49"/>
      <c r="Y30" s="49"/>
      <c r="Z30" s="49"/>
      <c r="AA30" s="49"/>
      <c r="AB30" s="49"/>
      <c r="AC30" s="49"/>
      <c r="AD30" s="113"/>
      <c r="AE30" s="49"/>
      <c r="AF30" s="50"/>
      <c r="AG30" s="50"/>
      <c r="AH30" s="50"/>
      <c r="AI30" s="50"/>
      <c r="AJ30" s="50"/>
      <c r="AK30" s="50"/>
      <c r="AL30" s="50"/>
      <c r="AM30" s="64"/>
      <c r="AN30" s="50"/>
      <c r="AO30" s="9"/>
      <c r="AP30" s="9"/>
    </row>
    <row r="31" spans="1:42" x14ac:dyDescent="0.55000000000000004">
      <c r="A31" t="str">
        <f t="shared" si="0"/>
        <v/>
      </c>
      <c r="C31" s="103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49"/>
      <c r="V31" s="49"/>
      <c r="W31" s="49"/>
      <c r="X31" s="49"/>
      <c r="Y31" s="49"/>
      <c r="Z31" s="49"/>
      <c r="AA31" s="49"/>
      <c r="AB31" s="49"/>
      <c r="AC31" s="49"/>
      <c r="AD31" s="113"/>
      <c r="AE31" s="49"/>
      <c r="AF31" s="50"/>
      <c r="AG31" s="50"/>
      <c r="AH31" s="50"/>
      <c r="AI31" s="50"/>
      <c r="AJ31" s="50"/>
      <c r="AK31" s="50"/>
      <c r="AL31" s="50"/>
      <c r="AM31" s="64"/>
      <c r="AN31" s="50"/>
      <c r="AO31" s="9"/>
      <c r="AP31" s="9"/>
    </row>
    <row r="32" spans="1:42" x14ac:dyDescent="0.55000000000000004">
      <c r="A32" t="str">
        <f t="shared" si="0"/>
        <v/>
      </c>
      <c r="C32" s="103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49"/>
      <c r="V32" s="49"/>
      <c r="W32" s="49"/>
      <c r="X32" s="49"/>
      <c r="Y32" s="49"/>
      <c r="Z32" s="49"/>
      <c r="AA32" s="49"/>
      <c r="AB32" s="49"/>
      <c r="AC32" s="49"/>
      <c r="AD32" s="113"/>
      <c r="AE32" s="49"/>
      <c r="AF32" s="50"/>
      <c r="AG32" s="50"/>
      <c r="AH32" s="50"/>
      <c r="AI32" s="50"/>
      <c r="AJ32" s="50"/>
      <c r="AK32" s="50"/>
      <c r="AL32" s="50"/>
      <c r="AM32" s="64"/>
      <c r="AN32" s="50"/>
      <c r="AO32" s="9"/>
      <c r="AP32" s="9"/>
    </row>
    <row r="33" spans="1:42" x14ac:dyDescent="0.55000000000000004">
      <c r="A33" t="str">
        <f t="shared" si="0"/>
        <v/>
      </c>
      <c r="C33" s="103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49"/>
      <c r="V33" s="49"/>
      <c r="W33" s="49"/>
      <c r="X33" s="49"/>
      <c r="Y33" s="49"/>
      <c r="Z33" s="49"/>
      <c r="AA33" s="49"/>
      <c r="AB33" s="49"/>
      <c r="AC33" s="49"/>
      <c r="AD33" s="113"/>
      <c r="AE33" s="49"/>
      <c r="AF33" s="50"/>
      <c r="AG33" s="50"/>
      <c r="AH33" s="50"/>
      <c r="AI33" s="50"/>
      <c r="AJ33" s="50"/>
      <c r="AK33" s="50"/>
      <c r="AL33" s="50"/>
      <c r="AM33" s="64"/>
      <c r="AN33" s="50"/>
      <c r="AO33" s="9"/>
      <c r="AP33" s="9"/>
    </row>
    <row r="34" spans="1:42" x14ac:dyDescent="0.55000000000000004">
      <c r="A34" t="str">
        <f t="shared" si="0"/>
        <v/>
      </c>
      <c r="C34" s="103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49"/>
      <c r="V34" s="49"/>
      <c r="W34" s="49"/>
      <c r="X34" s="49"/>
      <c r="Y34" s="49"/>
      <c r="Z34" s="49"/>
      <c r="AA34" s="49"/>
      <c r="AB34" s="49"/>
      <c r="AC34" s="49"/>
      <c r="AD34" s="113"/>
      <c r="AE34" s="49"/>
      <c r="AF34" s="51"/>
      <c r="AG34" s="51"/>
      <c r="AH34" s="51"/>
      <c r="AI34" s="51"/>
      <c r="AJ34" s="51"/>
      <c r="AK34" s="50"/>
      <c r="AL34" s="50"/>
      <c r="AM34" s="64"/>
      <c r="AN34" s="50"/>
      <c r="AO34" s="9"/>
      <c r="AP34" s="9"/>
    </row>
    <row r="35" spans="1:42" x14ac:dyDescent="0.55000000000000004">
      <c r="A35" t="str">
        <f t="shared" si="0"/>
        <v/>
      </c>
      <c r="C35" s="103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49"/>
      <c r="V35" s="49"/>
      <c r="W35" s="49"/>
      <c r="X35" s="49"/>
      <c r="Y35" s="49"/>
      <c r="Z35" s="49"/>
      <c r="AA35" s="49"/>
      <c r="AB35" s="49"/>
      <c r="AC35" s="49"/>
      <c r="AD35" s="113"/>
      <c r="AE35" s="49"/>
      <c r="AF35" s="51"/>
      <c r="AG35" s="51"/>
      <c r="AH35" s="51"/>
      <c r="AI35" s="51"/>
      <c r="AJ35" s="51"/>
      <c r="AK35" s="50"/>
      <c r="AL35" s="50"/>
      <c r="AM35" s="64"/>
      <c r="AN35" s="50"/>
      <c r="AO35" s="9"/>
      <c r="AP35" s="9"/>
    </row>
    <row r="36" spans="1:42" x14ac:dyDescent="0.55000000000000004">
      <c r="A36" t="str">
        <f t="shared" si="0"/>
        <v/>
      </c>
      <c r="C36" s="103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49"/>
      <c r="V36" s="49"/>
      <c r="W36" s="49"/>
      <c r="X36" s="49"/>
      <c r="Y36" s="49"/>
      <c r="Z36" s="49"/>
      <c r="AA36" s="49"/>
      <c r="AB36" s="49"/>
      <c r="AC36" s="49"/>
      <c r="AD36" s="113"/>
      <c r="AE36" s="49"/>
      <c r="AF36" s="51"/>
      <c r="AG36" s="51"/>
      <c r="AH36" s="51"/>
      <c r="AI36" s="51"/>
      <c r="AJ36" s="51"/>
      <c r="AK36" s="50"/>
      <c r="AL36" s="50"/>
      <c r="AM36" s="64"/>
      <c r="AN36" s="50"/>
      <c r="AO36" s="9"/>
      <c r="AP36" s="9"/>
    </row>
    <row r="37" spans="1:42" x14ac:dyDescent="0.55000000000000004">
      <c r="A37" t="str">
        <f t="shared" si="0"/>
        <v/>
      </c>
      <c r="C37" s="103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49"/>
      <c r="V37" s="49"/>
      <c r="W37" s="49"/>
      <c r="X37" s="49"/>
      <c r="Y37" s="49"/>
      <c r="Z37" s="49"/>
      <c r="AA37" s="49"/>
      <c r="AB37" s="49"/>
      <c r="AC37" s="49"/>
      <c r="AD37" s="113"/>
      <c r="AE37" s="49"/>
      <c r="AF37" s="51"/>
      <c r="AG37" s="51"/>
      <c r="AH37" s="51"/>
      <c r="AI37" s="51"/>
      <c r="AJ37" s="51"/>
      <c r="AK37" s="50"/>
      <c r="AL37" s="50"/>
      <c r="AM37" s="64"/>
      <c r="AN37" s="50"/>
      <c r="AO37" s="9"/>
      <c r="AP37" s="9"/>
    </row>
    <row r="38" spans="1:42" x14ac:dyDescent="0.55000000000000004">
      <c r="A38" t="str">
        <f t="shared" si="0"/>
        <v/>
      </c>
      <c r="C38" s="103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49"/>
      <c r="V38" s="49"/>
      <c r="W38" s="49"/>
      <c r="X38" s="49"/>
      <c r="Y38" s="49"/>
      <c r="Z38" s="49"/>
      <c r="AA38" s="49"/>
      <c r="AB38" s="49"/>
      <c r="AC38" s="49"/>
      <c r="AD38" s="113"/>
      <c r="AE38" s="49"/>
      <c r="AF38" s="51"/>
      <c r="AG38" s="51"/>
      <c r="AH38" s="51"/>
      <c r="AI38" s="51"/>
      <c r="AJ38" s="51"/>
      <c r="AK38" s="51"/>
      <c r="AL38" s="51"/>
      <c r="AM38" s="51"/>
      <c r="AN38" s="51"/>
      <c r="AO38" s="9"/>
      <c r="AP38" s="9"/>
    </row>
    <row r="39" spans="1:42" x14ac:dyDescent="0.55000000000000004">
      <c r="A39" t="str">
        <f t="shared" si="0"/>
        <v/>
      </c>
      <c r="C39" s="103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49"/>
      <c r="V39" s="49"/>
      <c r="W39" s="49"/>
      <c r="X39" s="49"/>
      <c r="Y39" s="49"/>
      <c r="Z39" s="49"/>
      <c r="AA39" s="49"/>
      <c r="AB39" s="49"/>
      <c r="AC39" s="49"/>
      <c r="AD39" s="113"/>
      <c r="AE39" s="49"/>
      <c r="AF39" s="51"/>
      <c r="AG39" s="51"/>
      <c r="AH39" s="51"/>
      <c r="AI39" s="51"/>
      <c r="AJ39" s="51"/>
      <c r="AK39" s="51"/>
      <c r="AL39" s="51"/>
      <c r="AM39" s="51"/>
      <c r="AN39" s="51"/>
      <c r="AO39" s="9"/>
      <c r="AP39" s="9"/>
    </row>
    <row r="40" spans="1:42" x14ac:dyDescent="0.55000000000000004">
      <c r="A40" t="str">
        <f t="shared" si="0"/>
        <v/>
      </c>
      <c r="C40" s="103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49"/>
      <c r="V40" s="49"/>
      <c r="W40" s="49"/>
      <c r="X40" s="49"/>
      <c r="Y40" s="49"/>
      <c r="Z40" s="49"/>
      <c r="AA40" s="49"/>
      <c r="AB40" s="49"/>
      <c r="AC40" s="49"/>
      <c r="AD40" s="113"/>
      <c r="AE40" s="49"/>
      <c r="AF40" s="51"/>
      <c r="AG40" s="51"/>
      <c r="AH40" s="51"/>
      <c r="AI40" s="51"/>
      <c r="AJ40" s="51"/>
      <c r="AK40" s="51"/>
      <c r="AL40" s="51"/>
      <c r="AM40" s="51"/>
      <c r="AN40" s="51"/>
      <c r="AO40" s="9"/>
      <c r="AP40" s="9"/>
    </row>
    <row r="41" spans="1:42" x14ac:dyDescent="0.55000000000000004">
      <c r="A41" t="str">
        <f t="shared" si="0"/>
        <v/>
      </c>
      <c r="C41" s="103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49"/>
      <c r="V41" s="49"/>
      <c r="W41" s="49"/>
      <c r="X41" s="49"/>
      <c r="Y41" s="49"/>
      <c r="Z41" s="49"/>
      <c r="AA41" s="49"/>
      <c r="AB41" s="49"/>
      <c r="AC41" s="49"/>
      <c r="AD41" s="113"/>
      <c r="AE41" s="49"/>
      <c r="AF41" s="51"/>
      <c r="AG41" s="51"/>
      <c r="AH41" s="51"/>
      <c r="AI41" s="51"/>
      <c r="AJ41" s="51"/>
      <c r="AK41" s="51"/>
      <c r="AL41" s="51"/>
      <c r="AM41" s="51"/>
      <c r="AN41" s="51"/>
      <c r="AO41" s="9"/>
      <c r="AP41" s="9"/>
    </row>
    <row r="42" spans="1:42" x14ac:dyDescent="0.55000000000000004">
      <c r="A42" t="str">
        <f t="shared" si="0"/>
        <v/>
      </c>
      <c r="C42" s="103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49"/>
      <c r="V42" s="49"/>
      <c r="W42" s="49"/>
      <c r="X42" s="49"/>
      <c r="Y42" s="49"/>
      <c r="Z42" s="49"/>
      <c r="AA42" s="49"/>
      <c r="AB42" s="49"/>
      <c r="AC42" s="49"/>
      <c r="AD42" s="113"/>
      <c r="AE42" s="49"/>
      <c r="AF42" s="51"/>
      <c r="AG42" s="51"/>
      <c r="AH42" s="51"/>
      <c r="AI42" s="51"/>
      <c r="AJ42" s="51"/>
      <c r="AK42" s="51"/>
      <c r="AL42" s="51"/>
      <c r="AM42" s="51"/>
      <c r="AN42" s="51"/>
      <c r="AO42" s="9"/>
      <c r="AP42" s="9"/>
    </row>
    <row r="43" spans="1:42" x14ac:dyDescent="0.55000000000000004">
      <c r="A43" t="str">
        <f t="shared" si="0"/>
        <v/>
      </c>
      <c r="C43" s="103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49"/>
      <c r="V43" s="49"/>
      <c r="W43" s="49"/>
      <c r="X43" s="49"/>
      <c r="Y43" s="49"/>
      <c r="Z43" s="49"/>
      <c r="AA43" s="49"/>
      <c r="AB43" s="49"/>
      <c r="AC43" s="49"/>
      <c r="AD43" s="113"/>
      <c r="AE43" s="49"/>
      <c r="AF43" s="51"/>
      <c r="AG43" s="51"/>
      <c r="AH43" s="51"/>
      <c r="AI43" s="51"/>
      <c r="AJ43" s="51"/>
      <c r="AK43" s="51"/>
      <c r="AL43" s="51"/>
      <c r="AM43" s="51"/>
      <c r="AN43" s="51"/>
      <c r="AO43" s="9"/>
      <c r="AP43" s="9"/>
    </row>
    <row r="44" spans="1:42" x14ac:dyDescent="0.55000000000000004">
      <c r="A44" t="str">
        <f t="shared" si="0"/>
        <v/>
      </c>
      <c r="C44" s="103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49"/>
      <c r="V44" s="49"/>
      <c r="W44" s="49"/>
      <c r="X44" s="49"/>
      <c r="Y44" s="49"/>
      <c r="Z44" s="49"/>
      <c r="AA44" s="49"/>
      <c r="AB44" s="49"/>
      <c r="AC44" s="49"/>
      <c r="AD44" s="113"/>
      <c r="AE44" s="49"/>
      <c r="AF44" s="51"/>
      <c r="AG44" s="51"/>
      <c r="AH44" s="51"/>
      <c r="AI44" s="51"/>
      <c r="AJ44" s="51"/>
      <c r="AK44" s="51"/>
      <c r="AL44" s="51"/>
      <c r="AM44" s="51"/>
      <c r="AN44" s="51"/>
      <c r="AO44" s="9"/>
      <c r="AP44" s="9"/>
    </row>
    <row r="45" spans="1:42" x14ac:dyDescent="0.55000000000000004">
      <c r="A45" t="str">
        <f t="shared" si="0"/>
        <v/>
      </c>
      <c r="C45" s="103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49"/>
      <c r="V45" s="49"/>
      <c r="W45" s="49"/>
      <c r="X45" s="49"/>
      <c r="Y45" s="49"/>
      <c r="Z45" s="49"/>
      <c r="AA45" s="49"/>
      <c r="AB45" s="49"/>
      <c r="AC45" s="49"/>
      <c r="AD45" s="113"/>
      <c r="AE45" s="49"/>
      <c r="AF45" s="51"/>
      <c r="AG45" s="51"/>
      <c r="AH45" s="51"/>
      <c r="AI45" s="51"/>
      <c r="AJ45" s="51"/>
      <c r="AK45" s="51"/>
      <c r="AL45" s="51"/>
      <c r="AM45" s="51"/>
      <c r="AN45" s="51"/>
      <c r="AO45" s="9"/>
      <c r="AP45" s="9"/>
    </row>
    <row r="46" spans="1:42" x14ac:dyDescent="0.55000000000000004">
      <c r="A46" t="str">
        <f t="shared" si="0"/>
        <v/>
      </c>
      <c r="C46" s="103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49"/>
      <c r="V46" s="49"/>
      <c r="W46" s="49"/>
      <c r="X46" s="49"/>
      <c r="Y46" s="49"/>
      <c r="Z46" s="49"/>
      <c r="AA46" s="49"/>
      <c r="AB46" s="49"/>
      <c r="AC46" s="49"/>
      <c r="AD46" s="113"/>
      <c r="AE46" s="49"/>
      <c r="AF46" s="51"/>
      <c r="AG46" s="51"/>
      <c r="AH46" s="51"/>
      <c r="AI46" s="51"/>
      <c r="AJ46" s="51"/>
      <c r="AK46" s="51"/>
      <c r="AL46" s="51"/>
      <c r="AM46" s="51"/>
      <c r="AN46" s="51"/>
      <c r="AO46" s="9"/>
      <c r="AP46" s="9"/>
    </row>
    <row r="47" spans="1:42" x14ac:dyDescent="0.55000000000000004">
      <c r="A47" t="str">
        <f t="shared" si="0"/>
        <v/>
      </c>
      <c r="C47" s="103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49"/>
      <c r="V47" s="49"/>
      <c r="W47" s="49"/>
      <c r="X47" s="49"/>
      <c r="Y47" s="49"/>
      <c r="Z47" s="49"/>
      <c r="AA47" s="49"/>
      <c r="AB47" s="49"/>
      <c r="AC47" s="49"/>
      <c r="AD47" s="113"/>
      <c r="AE47" s="49"/>
      <c r="AF47" s="50"/>
      <c r="AG47" s="50"/>
      <c r="AH47" s="50"/>
      <c r="AI47" s="50"/>
      <c r="AJ47" s="50"/>
      <c r="AK47" s="50"/>
      <c r="AL47" s="50"/>
      <c r="AM47" s="50"/>
      <c r="AN47" s="50"/>
      <c r="AO47" s="9"/>
      <c r="AP47" s="9"/>
    </row>
    <row r="48" spans="1:42" x14ac:dyDescent="0.55000000000000004">
      <c r="A48" t="str">
        <f t="shared" si="0"/>
        <v/>
      </c>
      <c r="C48" s="103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49"/>
      <c r="V48" s="49"/>
      <c r="W48" s="49"/>
      <c r="X48" s="49"/>
      <c r="Y48" s="49"/>
      <c r="Z48" s="49"/>
      <c r="AA48" s="49"/>
      <c r="AB48" s="49"/>
      <c r="AC48" s="49"/>
      <c r="AD48" s="113"/>
      <c r="AE48" s="49"/>
      <c r="AF48" s="50"/>
      <c r="AG48" s="50"/>
      <c r="AH48" s="50"/>
      <c r="AI48" s="50"/>
      <c r="AJ48" s="50"/>
      <c r="AK48" s="50"/>
      <c r="AL48" s="50"/>
      <c r="AM48" s="50"/>
      <c r="AN48" s="50"/>
      <c r="AO48" s="9"/>
      <c r="AP48" s="9"/>
    </row>
    <row r="49" spans="1:42" x14ac:dyDescent="0.55000000000000004">
      <c r="A49" t="str">
        <f t="shared" si="0"/>
        <v/>
      </c>
      <c r="C49" s="103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49"/>
      <c r="V49" s="49"/>
      <c r="W49" s="49"/>
      <c r="X49" s="49"/>
      <c r="Y49" s="49"/>
      <c r="Z49" s="49"/>
      <c r="AA49" s="49"/>
      <c r="AB49" s="49"/>
      <c r="AC49" s="49"/>
      <c r="AD49" s="113"/>
      <c r="AE49" s="49"/>
      <c r="AF49" s="50"/>
      <c r="AG49" s="50"/>
      <c r="AH49" s="50"/>
      <c r="AI49" s="50"/>
      <c r="AJ49" s="50"/>
      <c r="AK49" s="50"/>
      <c r="AL49" s="50"/>
      <c r="AM49" s="50"/>
      <c r="AN49" s="50"/>
      <c r="AO49" s="9"/>
      <c r="AP49" s="9"/>
    </row>
    <row r="50" spans="1:42" x14ac:dyDescent="0.55000000000000004">
      <c r="A50" t="str">
        <f t="shared" si="0"/>
        <v/>
      </c>
      <c r="C50" s="103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49"/>
      <c r="V50" s="49"/>
      <c r="W50" s="49"/>
      <c r="X50" s="49"/>
      <c r="Y50" s="49"/>
      <c r="Z50" s="49"/>
      <c r="AA50" s="49"/>
      <c r="AB50" s="49"/>
      <c r="AC50" s="49"/>
      <c r="AD50" s="113"/>
      <c r="AE50" s="49"/>
      <c r="AF50" s="50"/>
      <c r="AG50" s="50"/>
      <c r="AH50" s="50"/>
      <c r="AI50" s="50"/>
      <c r="AJ50" s="50"/>
      <c r="AK50" s="50"/>
      <c r="AL50" s="50"/>
      <c r="AM50" s="50"/>
      <c r="AN50" s="50"/>
      <c r="AO50" s="9"/>
      <c r="AP50" s="9"/>
    </row>
    <row r="51" spans="1:42" x14ac:dyDescent="0.55000000000000004">
      <c r="A51" t="str">
        <f t="shared" si="0"/>
        <v/>
      </c>
      <c r="C51" s="103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49"/>
      <c r="V51" s="49"/>
      <c r="W51" s="49"/>
      <c r="X51" s="49"/>
      <c r="Y51" s="49"/>
      <c r="Z51" s="49"/>
      <c r="AA51" s="49"/>
      <c r="AB51" s="49"/>
      <c r="AC51" s="49"/>
      <c r="AD51" s="113"/>
      <c r="AE51" s="49"/>
      <c r="AF51" s="50"/>
      <c r="AG51" s="50"/>
      <c r="AH51" s="50"/>
      <c r="AI51" s="50"/>
      <c r="AJ51" s="50"/>
      <c r="AK51" s="50"/>
      <c r="AL51" s="50"/>
      <c r="AM51" s="50"/>
      <c r="AN51" s="50"/>
      <c r="AO51" s="9"/>
      <c r="AP51" s="9"/>
    </row>
    <row r="52" spans="1:42" x14ac:dyDescent="0.55000000000000004">
      <c r="A52" t="str">
        <f t="shared" si="0"/>
        <v/>
      </c>
      <c r="C52" s="103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49"/>
      <c r="V52" s="49"/>
      <c r="W52" s="49"/>
      <c r="X52" s="49"/>
      <c r="Y52" s="49"/>
      <c r="Z52" s="49"/>
      <c r="AA52" s="49"/>
      <c r="AB52" s="49"/>
      <c r="AC52" s="49"/>
      <c r="AD52" s="113"/>
      <c r="AE52" s="49"/>
      <c r="AF52" s="50"/>
      <c r="AG52" s="50"/>
      <c r="AH52" s="50"/>
      <c r="AI52" s="50"/>
      <c r="AJ52" s="50"/>
      <c r="AK52" s="50"/>
      <c r="AL52" s="50"/>
      <c r="AM52" s="50"/>
      <c r="AN52" s="50"/>
      <c r="AO52" s="9"/>
      <c r="AP52" s="9"/>
    </row>
    <row r="53" spans="1:42" x14ac:dyDescent="0.55000000000000004">
      <c r="A53" t="str">
        <f t="shared" si="0"/>
        <v/>
      </c>
      <c r="C53" s="103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49"/>
      <c r="V53" s="49"/>
      <c r="W53" s="49"/>
      <c r="X53" s="49"/>
      <c r="Y53" s="49"/>
      <c r="Z53" s="49"/>
      <c r="AA53" s="49"/>
      <c r="AB53" s="49"/>
      <c r="AC53" s="49"/>
      <c r="AD53" s="113"/>
      <c r="AE53" s="49"/>
      <c r="AF53" s="50"/>
      <c r="AG53" s="50"/>
      <c r="AH53" s="50"/>
      <c r="AI53" s="50"/>
      <c r="AJ53" s="50"/>
      <c r="AK53" s="50"/>
      <c r="AL53" s="50"/>
      <c r="AM53" s="50"/>
      <c r="AN53" s="50"/>
      <c r="AO53" s="9"/>
      <c r="AP53" s="9"/>
    </row>
    <row r="54" spans="1:42" x14ac:dyDescent="0.55000000000000004">
      <c r="A54" t="str">
        <f t="shared" si="0"/>
        <v/>
      </c>
      <c r="C54" s="103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49"/>
      <c r="V54" s="49"/>
      <c r="W54" s="49"/>
      <c r="X54" s="49"/>
      <c r="Y54" s="49"/>
      <c r="Z54" s="49"/>
      <c r="AA54" s="49"/>
      <c r="AB54" s="49"/>
      <c r="AC54" s="49"/>
      <c r="AD54" s="113"/>
      <c r="AE54" s="49"/>
      <c r="AF54" s="50"/>
      <c r="AG54" s="50"/>
      <c r="AH54" s="50"/>
      <c r="AI54" s="50"/>
      <c r="AJ54" s="50"/>
      <c r="AK54" s="50"/>
      <c r="AL54" s="50"/>
      <c r="AM54" s="50"/>
      <c r="AN54" s="50"/>
      <c r="AO54" s="9"/>
      <c r="AP54" s="9"/>
    </row>
    <row r="55" spans="1:42" x14ac:dyDescent="0.55000000000000004">
      <c r="A55" t="str">
        <f t="shared" si="0"/>
        <v/>
      </c>
      <c r="C55" s="103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59"/>
      <c r="V55" s="59"/>
      <c r="W55" s="59"/>
      <c r="X55" s="59"/>
      <c r="Y55" s="59"/>
      <c r="Z55" s="59"/>
      <c r="AA55" s="59"/>
      <c r="AB55" s="59"/>
      <c r="AC55" s="59"/>
      <c r="AD55" s="113"/>
      <c r="AE55" s="49"/>
      <c r="AF55" s="50"/>
      <c r="AG55" s="50"/>
      <c r="AH55" s="50"/>
      <c r="AI55" s="50"/>
      <c r="AJ55" s="50"/>
      <c r="AK55" s="50"/>
      <c r="AL55" s="50"/>
      <c r="AM55" s="50"/>
      <c r="AN55" s="50"/>
      <c r="AO55" s="9"/>
      <c r="AP55" s="9"/>
    </row>
    <row r="56" spans="1:42" x14ac:dyDescent="0.55000000000000004">
      <c r="A56" t="str">
        <f t="shared" si="0"/>
        <v/>
      </c>
      <c r="C56" s="103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59"/>
      <c r="V56" s="59"/>
      <c r="W56" s="59"/>
      <c r="X56" s="59"/>
      <c r="Y56" s="59"/>
      <c r="Z56" s="59"/>
      <c r="AA56" s="59"/>
      <c r="AB56" s="59"/>
      <c r="AC56" s="59"/>
      <c r="AD56" s="113"/>
      <c r="AE56" s="49"/>
      <c r="AF56" s="50"/>
      <c r="AG56" s="50"/>
      <c r="AH56" s="50"/>
      <c r="AI56" s="50"/>
      <c r="AJ56" s="50"/>
      <c r="AK56" s="50"/>
      <c r="AL56" s="50"/>
      <c r="AM56" s="50"/>
      <c r="AN56" s="50"/>
      <c r="AO56" s="9"/>
      <c r="AP56" s="9"/>
    </row>
    <row r="57" spans="1:42" x14ac:dyDescent="0.55000000000000004">
      <c r="A57" t="str">
        <f t="shared" si="0"/>
        <v/>
      </c>
      <c r="C57" s="103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59"/>
      <c r="V57" s="59"/>
      <c r="W57" s="59"/>
      <c r="X57" s="59"/>
      <c r="Y57" s="59"/>
      <c r="Z57" s="59"/>
      <c r="AA57" s="59"/>
      <c r="AB57" s="59"/>
      <c r="AC57" s="59"/>
      <c r="AD57" s="113"/>
      <c r="AE57" s="49"/>
      <c r="AF57" s="50"/>
      <c r="AG57" s="50"/>
      <c r="AH57" s="50"/>
      <c r="AI57" s="50"/>
      <c r="AJ57" s="50"/>
      <c r="AK57" s="50"/>
      <c r="AL57" s="50"/>
      <c r="AM57" s="50"/>
      <c r="AN57" s="50"/>
      <c r="AO57" s="9"/>
      <c r="AP57" s="9"/>
    </row>
    <row r="58" spans="1:42" x14ac:dyDescent="0.55000000000000004">
      <c r="A58" t="str">
        <f t="shared" si="0"/>
        <v/>
      </c>
      <c r="C58" s="103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59"/>
      <c r="V58" s="59"/>
      <c r="W58" s="59"/>
      <c r="X58" s="59"/>
      <c r="Y58" s="59"/>
      <c r="Z58" s="59"/>
      <c r="AA58" s="59"/>
      <c r="AB58" s="59"/>
      <c r="AC58" s="59"/>
      <c r="AD58" s="113"/>
      <c r="AE58" s="49"/>
      <c r="AF58" s="50"/>
      <c r="AG58" s="50"/>
      <c r="AH58" s="50"/>
      <c r="AI58" s="50"/>
      <c r="AJ58" s="50"/>
      <c r="AK58" s="50"/>
      <c r="AL58" s="50"/>
      <c r="AM58" s="50"/>
      <c r="AN58" s="50"/>
      <c r="AO58" s="9"/>
      <c r="AP58" s="9"/>
    </row>
    <row r="59" spans="1:42" x14ac:dyDescent="0.55000000000000004">
      <c r="A59" t="str">
        <f t="shared" si="0"/>
        <v/>
      </c>
      <c r="C59" s="103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49"/>
      <c r="V59" s="49"/>
      <c r="W59" s="49"/>
      <c r="X59" s="49"/>
      <c r="Y59" s="49"/>
      <c r="Z59" s="49"/>
      <c r="AA59" s="49"/>
      <c r="AB59" s="49"/>
      <c r="AC59" s="49"/>
      <c r="AD59" s="113"/>
      <c r="AE59" s="49"/>
      <c r="AF59" s="50"/>
      <c r="AG59" s="50"/>
      <c r="AH59" s="50"/>
      <c r="AI59" s="50"/>
      <c r="AJ59" s="50"/>
      <c r="AK59" s="50"/>
      <c r="AL59" s="50"/>
      <c r="AM59" s="50"/>
      <c r="AN59" s="50"/>
      <c r="AO59" s="9"/>
      <c r="AP59" s="9"/>
    </row>
    <row r="60" spans="1:42" x14ac:dyDescent="0.55000000000000004">
      <c r="A60" t="str">
        <f t="shared" si="0"/>
        <v/>
      </c>
      <c r="C60" s="103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49"/>
      <c r="V60" s="49"/>
      <c r="W60" s="49"/>
      <c r="X60" s="49"/>
      <c r="Y60" s="49"/>
      <c r="Z60" s="49"/>
      <c r="AA60" s="49"/>
      <c r="AB60" s="49"/>
      <c r="AC60" s="49"/>
      <c r="AD60" s="113"/>
      <c r="AE60" s="49"/>
      <c r="AF60" s="50"/>
      <c r="AG60" s="50"/>
      <c r="AH60" s="50"/>
      <c r="AI60" s="50"/>
      <c r="AJ60" s="50"/>
      <c r="AK60" s="50"/>
      <c r="AL60" s="50"/>
      <c r="AM60" s="50"/>
      <c r="AN60" s="50"/>
      <c r="AO60" s="9"/>
      <c r="AP60" s="9"/>
    </row>
    <row r="61" spans="1:42" x14ac:dyDescent="0.55000000000000004">
      <c r="A61" t="str">
        <f t="shared" si="0"/>
        <v/>
      </c>
      <c r="C61" s="103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49"/>
      <c r="V61" s="49"/>
      <c r="W61" s="49"/>
      <c r="X61" s="49"/>
      <c r="Y61" s="49"/>
      <c r="Z61" s="49"/>
      <c r="AA61" s="49"/>
      <c r="AB61" s="49"/>
      <c r="AC61" s="49"/>
      <c r="AD61" s="113"/>
      <c r="AE61" s="49"/>
      <c r="AF61" s="50"/>
      <c r="AG61" s="50"/>
      <c r="AH61" s="50"/>
      <c r="AI61" s="50"/>
      <c r="AJ61" s="50"/>
      <c r="AK61" s="50"/>
      <c r="AL61" s="50"/>
      <c r="AM61" s="50"/>
      <c r="AN61" s="50"/>
      <c r="AO61" s="9"/>
      <c r="AP61" s="9"/>
    </row>
    <row r="62" spans="1:42" x14ac:dyDescent="0.55000000000000004">
      <c r="A62" t="str">
        <f t="shared" si="0"/>
        <v/>
      </c>
      <c r="C62" s="103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49"/>
      <c r="V62" s="49"/>
      <c r="W62" s="49"/>
      <c r="X62" s="49"/>
      <c r="Y62" s="49"/>
      <c r="Z62" s="49"/>
      <c r="AA62" s="49"/>
      <c r="AB62" s="49"/>
      <c r="AC62" s="49"/>
      <c r="AD62" s="113"/>
      <c r="AE62" s="49"/>
      <c r="AF62" s="50"/>
      <c r="AG62" s="50"/>
      <c r="AH62" s="50"/>
      <c r="AI62" s="50"/>
      <c r="AJ62" s="50"/>
      <c r="AK62" s="50"/>
      <c r="AL62" s="50"/>
      <c r="AM62" s="50"/>
      <c r="AN62" s="50"/>
      <c r="AO62" s="9"/>
      <c r="AP62" s="9"/>
    </row>
    <row r="63" spans="1:42" x14ac:dyDescent="0.55000000000000004">
      <c r="A63" t="str">
        <f t="shared" si="0"/>
        <v/>
      </c>
      <c r="C63" s="103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49"/>
      <c r="V63" s="49"/>
      <c r="W63" s="49"/>
      <c r="X63" s="49"/>
      <c r="Y63" s="49"/>
      <c r="Z63" s="49"/>
      <c r="AA63" s="49"/>
      <c r="AB63" s="49"/>
      <c r="AC63" s="49"/>
      <c r="AD63" s="113"/>
      <c r="AE63" s="49"/>
      <c r="AF63" s="50"/>
      <c r="AG63" s="50"/>
      <c r="AH63" s="50"/>
      <c r="AI63" s="50"/>
      <c r="AJ63" s="50"/>
      <c r="AK63" s="50"/>
      <c r="AL63" s="50"/>
      <c r="AM63" s="50"/>
      <c r="AN63" s="50"/>
      <c r="AO63" s="9"/>
      <c r="AP63" s="9"/>
    </row>
    <row r="64" spans="1:42" x14ac:dyDescent="0.55000000000000004">
      <c r="A64" t="str">
        <f t="shared" si="0"/>
        <v/>
      </c>
      <c r="C64" s="103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49"/>
      <c r="V64" s="49"/>
      <c r="W64" s="49"/>
      <c r="X64" s="49"/>
      <c r="Y64" s="49"/>
      <c r="Z64" s="49"/>
      <c r="AA64" s="49"/>
      <c r="AB64" s="49"/>
      <c r="AC64" s="49"/>
      <c r="AD64" s="113"/>
      <c r="AE64" s="49"/>
      <c r="AF64" s="50"/>
      <c r="AG64" s="50"/>
      <c r="AH64" s="50"/>
      <c r="AI64" s="50"/>
      <c r="AJ64" s="50"/>
      <c r="AK64" s="50"/>
      <c r="AL64" s="50"/>
      <c r="AM64" s="50"/>
      <c r="AN64" s="50"/>
      <c r="AO64" s="9"/>
      <c r="AP64" s="9"/>
    </row>
    <row r="65" spans="1:42" x14ac:dyDescent="0.55000000000000004">
      <c r="A65" t="str">
        <f t="shared" si="0"/>
        <v/>
      </c>
      <c r="C65" s="103"/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49"/>
      <c r="V65" s="49"/>
      <c r="W65" s="49"/>
      <c r="X65" s="49"/>
      <c r="Y65" s="49"/>
      <c r="Z65" s="49"/>
      <c r="AA65" s="49"/>
      <c r="AB65" s="49"/>
      <c r="AC65" s="49"/>
      <c r="AD65" s="113"/>
      <c r="AE65" s="49"/>
      <c r="AF65" s="50"/>
      <c r="AG65" s="50"/>
      <c r="AH65" s="50"/>
      <c r="AI65" s="50"/>
      <c r="AJ65" s="50"/>
      <c r="AK65" s="50"/>
      <c r="AL65" s="50"/>
      <c r="AM65" s="50"/>
      <c r="AN65" s="50"/>
      <c r="AO65" s="9"/>
      <c r="AP65" s="9"/>
    </row>
    <row r="66" spans="1:42" x14ac:dyDescent="0.55000000000000004">
      <c r="A66" t="str">
        <f t="shared" si="0"/>
        <v/>
      </c>
      <c r="C66" s="103"/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49"/>
      <c r="V66" s="49"/>
      <c r="W66" s="49"/>
      <c r="X66" s="49"/>
      <c r="Y66" s="49"/>
      <c r="Z66" s="49"/>
      <c r="AA66" s="49"/>
      <c r="AB66" s="49"/>
      <c r="AC66" s="49"/>
      <c r="AD66" s="113"/>
      <c r="AE66" s="49"/>
      <c r="AF66" s="50"/>
      <c r="AG66" s="50"/>
      <c r="AH66" s="50"/>
      <c r="AI66" s="50"/>
      <c r="AJ66" s="50"/>
      <c r="AK66" s="50"/>
      <c r="AL66" s="50"/>
      <c r="AM66" s="50"/>
      <c r="AN66" s="50"/>
      <c r="AO66" s="9"/>
      <c r="AP66" s="9"/>
    </row>
    <row r="67" spans="1:42" x14ac:dyDescent="0.55000000000000004">
      <c r="A67" t="str">
        <f t="shared" ref="A67:A130" si="1">H67&amp;I67&amp;J67</f>
        <v/>
      </c>
      <c r="C67" s="103"/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49"/>
      <c r="V67" s="49"/>
      <c r="W67" s="49"/>
      <c r="X67" s="49"/>
      <c r="Y67" s="49"/>
      <c r="Z67" s="49"/>
      <c r="AA67" s="49"/>
      <c r="AB67" s="49"/>
      <c r="AC67" s="49"/>
      <c r="AD67" s="113"/>
      <c r="AE67" s="49"/>
      <c r="AF67" s="50"/>
      <c r="AG67" s="50"/>
      <c r="AH67" s="50"/>
      <c r="AI67" s="50"/>
      <c r="AJ67" s="50"/>
      <c r="AK67" s="50"/>
      <c r="AL67" s="50"/>
      <c r="AM67" s="50"/>
      <c r="AN67" s="50"/>
      <c r="AO67" s="9"/>
      <c r="AP67" s="9"/>
    </row>
    <row r="68" spans="1:42" x14ac:dyDescent="0.55000000000000004">
      <c r="A68" t="str">
        <f t="shared" si="1"/>
        <v/>
      </c>
      <c r="C68" s="103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49"/>
      <c r="V68" s="49"/>
      <c r="W68" s="49"/>
      <c r="X68" s="49"/>
      <c r="Y68" s="49"/>
      <c r="Z68" s="49"/>
      <c r="AA68" s="49"/>
      <c r="AB68" s="49"/>
      <c r="AC68" s="49"/>
      <c r="AD68" s="113"/>
      <c r="AE68" s="49"/>
      <c r="AF68" s="50"/>
      <c r="AG68" s="50"/>
      <c r="AH68" s="50"/>
      <c r="AI68" s="50"/>
      <c r="AJ68" s="50"/>
      <c r="AK68" s="50"/>
      <c r="AL68" s="50"/>
      <c r="AM68" s="50"/>
      <c r="AN68" s="50"/>
      <c r="AO68" s="9"/>
      <c r="AP68" s="9"/>
    </row>
    <row r="69" spans="1:42" x14ac:dyDescent="0.55000000000000004">
      <c r="A69" t="str">
        <f t="shared" si="1"/>
        <v/>
      </c>
      <c r="C69" s="103"/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49"/>
      <c r="V69" s="49"/>
      <c r="W69" s="49"/>
      <c r="X69" s="49"/>
      <c r="Y69" s="49"/>
      <c r="Z69" s="49"/>
      <c r="AA69" s="49"/>
      <c r="AB69" s="49"/>
      <c r="AC69" s="49"/>
      <c r="AD69" s="113"/>
      <c r="AE69" s="49"/>
      <c r="AF69" s="50"/>
      <c r="AG69" s="50"/>
      <c r="AH69" s="50"/>
      <c r="AI69" s="50"/>
      <c r="AJ69" s="50"/>
      <c r="AK69" s="50"/>
      <c r="AL69" s="50"/>
      <c r="AM69" s="50"/>
      <c r="AN69" s="50"/>
      <c r="AO69" s="9"/>
      <c r="AP69" s="9"/>
    </row>
    <row r="70" spans="1:42" x14ac:dyDescent="0.55000000000000004">
      <c r="A70" t="str">
        <f t="shared" si="1"/>
        <v/>
      </c>
      <c r="C70" s="103"/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49"/>
      <c r="V70" s="49"/>
      <c r="W70" s="49"/>
      <c r="X70" s="49"/>
      <c r="Y70" s="49"/>
      <c r="Z70" s="49"/>
      <c r="AA70" s="49"/>
      <c r="AB70" s="49"/>
      <c r="AC70" s="49"/>
      <c r="AD70" s="113"/>
      <c r="AE70" s="49"/>
      <c r="AF70" s="50"/>
      <c r="AG70" s="50"/>
      <c r="AH70" s="50"/>
      <c r="AI70" s="50"/>
      <c r="AJ70" s="50"/>
      <c r="AK70" s="50"/>
      <c r="AL70" s="50"/>
      <c r="AM70" s="50"/>
      <c r="AN70" s="50"/>
      <c r="AO70" s="9"/>
      <c r="AP70" s="9"/>
    </row>
    <row r="71" spans="1:42" x14ac:dyDescent="0.55000000000000004">
      <c r="A71" t="str">
        <f t="shared" si="1"/>
        <v/>
      </c>
      <c r="C71" s="103"/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49"/>
      <c r="V71" s="49"/>
      <c r="W71" s="49"/>
      <c r="X71" s="49"/>
      <c r="Y71" s="49"/>
      <c r="Z71" s="49"/>
      <c r="AA71" s="49"/>
      <c r="AB71" s="49"/>
      <c r="AC71" s="49"/>
      <c r="AD71" s="113"/>
      <c r="AE71" s="49"/>
      <c r="AF71" s="50"/>
      <c r="AG71" s="50"/>
      <c r="AH71" s="50"/>
      <c r="AI71" s="50"/>
      <c r="AJ71" s="50"/>
      <c r="AK71" s="50"/>
      <c r="AL71" s="50"/>
      <c r="AM71" s="50"/>
      <c r="AN71" s="50"/>
      <c r="AO71" s="9"/>
      <c r="AP71" s="9"/>
    </row>
    <row r="72" spans="1:42" x14ac:dyDescent="0.55000000000000004">
      <c r="A72" t="str">
        <f t="shared" si="1"/>
        <v/>
      </c>
      <c r="C72" s="103"/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49"/>
      <c r="V72" s="49"/>
      <c r="W72" s="49"/>
      <c r="X72" s="49"/>
      <c r="Y72" s="49"/>
      <c r="Z72" s="49"/>
      <c r="AA72" s="49"/>
      <c r="AB72" s="49"/>
      <c r="AC72" s="49"/>
      <c r="AD72" s="113"/>
      <c r="AE72" s="49"/>
      <c r="AF72" s="50"/>
      <c r="AG72" s="50"/>
      <c r="AH72" s="50"/>
      <c r="AI72" s="50"/>
      <c r="AJ72" s="50"/>
      <c r="AK72" s="50"/>
      <c r="AL72" s="50"/>
      <c r="AM72" s="50"/>
      <c r="AN72" s="50"/>
      <c r="AO72" s="9"/>
      <c r="AP72" s="9"/>
    </row>
    <row r="73" spans="1:42" x14ac:dyDescent="0.55000000000000004">
      <c r="A73" t="str">
        <f t="shared" si="1"/>
        <v/>
      </c>
      <c r="C73" s="103"/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49"/>
      <c r="V73" s="49"/>
      <c r="W73" s="49"/>
      <c r="X73" s="49"/>
      <c r="Y73" s="49"/>
      <c r="Z73" s="49"/>
      <c r="AA73" s="49"/>
      <c r="AB73" s="49"/>
      <c r="AC73" s="49"/>
      <c r="AD73" s="113"/>
      <c r="AE73" s="49"/>
      <c r="AF73" s="50"/>
      <c r="AG73" s="50"/>
      <c r="AH73" s="50"/>
      <c r="AI73" s="50"/>
      <c r="AJ73" s="50"/>
      <c r="AK73" s="50"/>
      <c r="AL73" s="50"/>
      <c r="AM73" s="50"/>
      <c r="AN73" s="50"/>
      <c r="AO73" s="9"/>
      <c r="AP73" s="9"/>
    </row>
    <row r="74" spans="1:42" x14ac:dyDescent="0.55000000000000004">
      <c r="A74" t="str">
        <f t="shared" si="1"/>
        <v/>
      </c>
      <c r="C74" s="103"/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49"/>
      <c r="V74" s="49"/>
      <c r="W74" s="49"/>
      <c r="X74" s="49"/>
      <c r="Y74" s="49"/>
      <c r="Z74" s="49"/>
      <c r="AA74" s="49"/>
      <c r="AB74" s="49"/>
      <c r="AC74" s="49"/>
      <c r="AD74" s="113"/>
      <c r="AE74" s="49"/>
      <c r="AF74" s="50"/>
      <c r="AG74" s="50"/>
      <c r="AH74" s="50"/>
      <c r="AI74" s="50"/>
      <c r="AJ74" s="50"/>
      <c r="AK74" s="50"/>
      <c r="AL74" s="50"/>
      <c r="AM74" s="50"/>
      <c r="AN74" s="50"/>
      <c r="AO74" s="9"/>
      <c r="AP74" s="9"/>
    </row>
    <row r="75" spans="1:42" x14ac:dyDescent="0.55000000000000004">
      <c r="A75" t="str">
        <f t="shared" si="1"/>
        <v/>
      </c>
      <c r="C75" s="103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49"/>
      <c r="V75" s="49"/>
      <c r="W75" s="49"/>
      <c r="X75" s="49"/>
      <c r="Y75" s="49"/>
      <c r="Z75" s="49"/>
      <c r="AA75" s="49"/>
      <c r="AB75" s="49"/>
      <c r="AC75" s="49"/>
      <c r="AD75" s="113"/>
      <c r="AE75" s="49"/>
      <c r="AF75" s="50"/>
      <c r="AG75" s="50"/>
      <c r="AH75" s="50"/>
      <c r="AI75" s="50"/>
      <c r="AJ75" s="50"/>
      <c r="AK75" s="50"/>
      <c r="AL75" s="50"/>
      <c r="AM75" s="50"/>
      <c r="AN75" s="50"/>
      <c r="AO75" s="9"/>
      <c r="AP75" s="9"/>
    </row>
    <row r="76" spans="1:42" x14ac:dyDescent="0.55000000000000004">
      <c r="A76" t="str">
        <f t="shared" si="1"/>
        <v/>
      </c>
      <c r="C76" s="103"/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49"/>
      <c r="V76" s="49"/>
      <c r="W76" s="49"/>
      <c r="X76" s="49"/>
      <c r="Y76" s="49"/>
      <c r="Z76" s="49"/>
      <c r="AA76" s="49"/>
      <c r="AB76" s="49"/>
      <c r="AC76" s="49"/>
      <c r="AD76" s="113"/>
      <c r="AE76" s="49"/>
      <c r="AF76" s="50"/>
      <c r="AG76" s="50"/>
      <c r="AH76" s="50"/>
      <c r="AI76" s="50"/>
      <c r="AJ76" s="50"/>
      <c r="AK76" s="50"/>
      <c r="AL76" s="50"/>
      <c r="AM76" s="50"/>
      <c r="AN76" s="50"/>
      <c r="AO76" s="9"/>
      <c r="AP76" s="9"/>
    </row>
    <row r="77" spans="1:42" x14ac:dyDescent="0.55000000000000004">
      <c r="A77" t="str">
        <f t="shared" si="1"/>
        <v/>
      </c>
      <c r="C77" s="103"/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49"/>
      <c r="V77" s="49"/>
      <c r="W77" s="49"/>
      <c r="X77" s="49"/>
      <c r="Y77" s="49"/>
      <c r="Z77" s="49"/>
      <c r="AA77" s="49"/>
      <c r="AB77" s="49"/>
      <c r="AC77" s="49"/>
      <c r="AD77" s="113"/>
      <c r="AE77" s="49"/>
      <c r="AF77" s="50"/>
      <c r="AG77" s="50"/>
      <c r="AH77" s="50"/>
      <c r="AI77" s="50"/>
      <c r="AJ77" s="50"/>
      <c r="AK77" s="50"/>
      <c r="AL77" s="50"/>
      <c r="AM77" s="50"/>
      <c r="AN77" s="50"/>
      <c r="AO77" s="9"/>
      <c r="AP77" s="9"/>
    </row>
    <row r="78" spans="1:42" x14ac:dyDescent="0.55000000000000004">
      <c r="A78" t="str">
        <f t="shared" si="1"/>
        <v/>
      </c>
      <c r="C78" s="103"/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49"/>
      <c r="V78" s="49"/>
      <c r="W78" s="49"/>
      <c r="X78" s="49"/>
      <c r="Y78" s="49"/>
      <c r="Z78" s="49"/>
      <c r="AA78" s="49"/>
      <c r="AB78" s="49"/>
      <c r="AC78" s="49"/>
      <c r="AD78" s="113"/>
      <c r="AE78" s="49"/>
      <c r="AF78" s="50"/>
      <c r="AG78" s="50"/>
      <c r="AH78" s="50"/>
      <c r="AI78" s="50"/>
      <c r="AJ78" s="50"/>
      <c r="AK78" s="50"/>
      <c r="AL78" s="50"/>
      <c r="AM78" s="50"/>
      <c r="AN78" s="50"/>
      <c r="AO78" s="9"/>
      <c r="AP78" s="9"/>
    </row>
    <row r="79" spans="1:42" x14ac:dyDescent="0.55000000000000004">
      <c r="A79" t="str">
        <f t="shared" si="1"/>
        <v/>
      </c>
      <c r="C79" s="103"/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49"/>
      <c r="V79" s="49"/>
      <c r="W79" s="49"/>
      <c r="X79" s="49"/>
      <c r="Y79" s="49"/>
      <c r="Z79" s="49"/>
      <c r="AA79" s="49"/>
      <c r="AB79" s="49"/>
      <c r="AC79" s="49"/>
      <c r="AD79" s="113"/>
      <c r="AE79" s="49"/>
      <c r="AF79" s="50"/>
      <c r="AG79" s="50"/>
      <c r="AH79" s="50"/>
      <c r="AI79" s="50"/>
      <c r="AJ79" s="50"/>
      <c r="AK79" s="50"/>
      <c r="AL79" s="50"/>
      <c r="AM79" s="50"/>
      <c r="AN79" s="50"/>
      <c r="AO79" s="9"/>
      <c r="AP79" s="9"/>
    </row>
    <row r="80" spans="1:42" x14ac:dyDescent="0.55000000000000004">
      <c r="A80" t="str">
        <f t="shared" si="1"/>
        <v/>
      </c>
      <c r="C80" s="103"/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49"/>
      <c r="V80" s="49"/>
      <c r="W80" s="49"/>
      <c r="X80" s="49"/>
      <c r="Y80" s="49"/>
      <c r="Z80" s="49"/>
      <c r="AA80" s="49"/>
      <c r="AB80" s="49"/>
      <c r="AC80" s="49"/>
      <c r="AD80" s="113"/>
      <c r="AE80" s="49"/>
      <c r="AF80" s="50"/>
      <c r="AG80" s="50"/>
      <c r="AH80" s="50"/>
      <c r="AI80" s="50"/>
      <c r="AJ80" s="50"/>
      <c r="AK80" s="50"/>
      <c r="AL80" s="50"/>
      <c r="AM80" s="50"/>
      <c r="AN80" s="50"/>
      <c r="AO80" s="9"/>
      <c r="AP80" s="9"/>
    </row>
    <row r="81" spans="1:42" x14ac:dyDescent="0.55000000000000004">
      <c r="A81" t="str">
        <f t="shared" si="1"/>
        <v/>
      </c>
      <c r="C81" s="103"/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49"/>
      <c r="V81" s="49"/>
      <c r="W81" s="49"/>
      <c r="X81" s="49"/>
      <c r="Y81" s="49"/>
      <c r="Z81" s="49"/>
      <c r="AA81" s="49"/>
      <c r="AB81" s="49"/>
      <c r="AC81" s="49"/>
      <c r="AD81" s="113"/>
      <c r="AE81" s="49"/>
      <c r="AF81" s="50"/>
      <c r="AG81" s="50"/>
      <c r="AH81" s="50"/>
      <c r="AI81" s="50"/>
      <c r="AJ81" s="50"/>
      <c r="AK81" s="50"/>
      <c r="AL81" s="50"/>
      <c r="AM81" s="50"/>
      <c r="AN81" s="50"/>
      <c r="AO81" s="9"/>
      <c r="AP81" s="9"/>
    </row>
    <row r="82" spans="1:42" x14ac:dyDescent="0.55000000000000004">
      <c r="A82" t="str">
        <f t="shared" si="1"/>
        <v/>
      </c>
      <c r="C82" s="103"/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49"/>
      <c r="V82" s="49"/>
      <c r="W82" s="49"/>
      <c r="X82" s="49"/>
      <c r="Y82" s="49"/>
      <c r="Z82" s="49"/>
      <c r="AA82" s="49"/>
      <c r="AB82" s="49"/>
      <c r="AC82" s="49"/>
      <c r="AD82" s="113"/>
      <c r="AE82" s="49"/>
      <c r="AF82" s="50"/>
      <c r="AG82" s="50"/>
      <c r="AH82" s="50"/>
      <c r="AI82" s="50"/>
      <c r="AJ82" s="50"/>
      <c r="AK82" s="50"/>
      <c r="AL82" s="50"/>
      <c r="AM82" s="50"/>
      <c r="AN82" s="50"/>
      <c r="AO82" s="9"/>
      <c r="AP82" s="9"/>
    </row>
    <row r="83" spans="1:42" x14ac:dyDescent="0.55000000000000004">
      <c r="A83" t="str">
        <f t="shared" si="1"/>
        <v/>
      </c>
      <c r="C83" s="103"/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49"/>
      <c r="V83" s="49"/>
      <c r="W83" s="49"/>
      <c r="X83" s="49"/>
      <c r="Y83" s="49"/>
      <c r="Z83" s="49"/>
      <c r="AA83" s="49"/>
      <c r="AB83" s="49"/>
      <c r="AC83" s="49"/>
      <c r="AD83" s="113"/>
      <c r="AE83" s="49"/>
      <c r="AF83" s="50"/>
      <c r="AG83" s="50"/>
      <c r="AH83" s="50"/>
      <c r="AI83" s="50"/>
      <c r="AJ83" s="50"/>
      <c r="AK83" s="50"/>
      <c r="AL83" s="50"/>
      <c r="AM83" s="50"/>
      <c r="AN83" s="50"/>
      <c r="AO83" s="9"/>
      <c r="AP83" s="9"/>
    </row>
    <row r="84" spans="1:42" x14ac:dyDescent="0.55000000000000004">
      <c r="A84" t="str">
        <f t="shared" si="1"/>
        <v/>
      </c>
      <c r="C84" s="103"/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49"/>
      <c r="V84" s="49"/>
      <c r="W84" s="49"/>
      <c r="X84" s="49"/>
      <c r="Y84" s="49"/>
      <c r="Z84" s="49"/>
      <c r="AA84" s="49"/>
      <c r="AB84" s="49"/>
      <c r="AC84" s="49"/>
      <c r="AD84" s="113"/>
      <c r="AE84" s="49"/>
      <c r="AF84" s="50"/>
      <c r="AG84" s="50"/>
      <c r="AH84" s="50"/>
      <c r="AI84" s="50"/>
      <c r="AJ84" s="50"/>
      <c r="AK84" s="50"/>
      <c r="AL84" s="50"/>
      <c r="AM84" s="50"/>
      <c r="AN84" s="50"/>
      <c r="AO84" s="9"/>
      <c r="AP84" s="9"/>
    </row>
    <row r="85" spans="1:42" x14ac:dyDescent="0.55000000000000004">
      <c r="A85" t="str">
        <f t="shared" si="1"/>
        <v/>
      </c>
      <c r="C85" s="103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49"/>
      <c r="V85" s="49"/>
      <c r="W85" s="49"/>
      <c r="X85" s="49"/>
      <c r="Y85" s="49"/>
      <c r="Z85" s="49"/>
      <c r="AA85" s="49"/>
      <c r="AB85" s="49"/>
      <c r="AC85" s="49"/>
      <c r="AD85" s="113"/>
      <c r="AE85" s="49"/>
      <c r="AF85" s="50"/>
      <c r="AG85" s="50"/>
      <c r="AH85" s="50"/>
      <c r="AI85" s="50"/>
      <c r="AJ85" s="50"/>
      <c r="AK85" s="50"/>
      <c r="AL85" s="50"/>
      <c r="AM85" s="50"/>
      <c r="AN85" s="50"/>
      <c r="AO85" s="9"/>
      <c r="AP85" s="9"/>
    </row>
    <row r="86" spans="1:42" x14ac:dyDescent="0.55000000000000004">
      <c r="A86" t="str">
        <f t="shared" si="1"/>
        <v/>
      </c>
      <c r="C86" s="103"/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49"/>
      <c r="V86" s="49"/>
      <c r="W86" s="49"/>
      <c r="X86" s="49"/>
      <c r="Y86" s="49"/>
      <c r="Z86" s="49"/>
      <c r="AA86" s="49"/>
      <c r="AB86" s="49"/>
      <c r="AC86" s="49"/>
      <c r="AD86" s="113"/>
      <c r="AE86" s="49"/>
      <c r="AF86" s="50"/>
      <c r="AG86" s="50"/>
      <c r="AH86" s="50"/>
      <c r="AI86" s="50"/>
      <c r="AJ86" s="50"/>
      <c r="AK86" s="50"/>
      <c r="AL86" s="50"/>
      <c r="AM86" s="50"/>
      <c r="AN86" s="50"/>
      <c r="AO86" s="9"/>
      <c r="AP86" s="9"/>
    </row>
    <row r="87" spans="1:42" x14ac:dyDescent="0.55000000000000004">
      <c r="A87" t="str">
        <f t="shared" si="1"/>
        <v/>
      </c>
      <c r="C87" s="103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49"/>
      <c r="V87" s="49"/>
      <c r="W87" s="49"/>
      <c r="X87" s="49"/>
      <c r="Y87" s="49"/>
      <c r="Z87" s="49"/>
      <c r="AA87" s="49"/>
      <c r="AB87" s="49"/>
      <c r="AC87" s="49"/>
      <c r="AD87" s="113"/>
      <c r="AE87" s="49"/>
      <c r="AF87" s="50"/>
      <c r="AG87" s="50"/>
      <c r="AH87" s="50"/>
      <c r="AI87" s="50"/>
      <c r="AJ87" s="50"/>
      <c r="AK87" s="50"/>
      <c r="AL87" s="50"/>
      <c r="AM87" s="50"/>
      <c r="AN87" s="50"/>
      <c r="AO87" s="9"/>
      <c r="AP87" s="9"/>
    </row>
    <row r="88" spans="1:42" x14ac:dyDescent="0.55000000000000004">
      <c r="A88" t="str">
        <f t="shared" si="1"/>
        <v/>
      </c>
      <c r="C88" s="103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49"/>
      <c r="V88" s="49"/>
      <c r="W88" s="49"/>
      <c r="X88" s="49"/>
      <c r="Y88" s="49"/>
      <c r="Z88" s="49"/>
      <c r="AA88" s="49"/>
      <c r="AB88" s="49"/>
      <c r="AC88" s="49"/>
      <c r="AD88" s="113"/>
      <c r="AE88" s="49"/>
      <c r="AF88" s="50"/>
      <c r="AG88" s="50"/>
      <c r="AH88" s="50"/>
      <c r="AI88" s="50"/>
      <c r="AJ88" s="50"/>
      <c r="AK88" s="50"/>
      <c r="AL88" s="50"/>
      <c r="AM88" s="50"/>
      <c r="AN88" s="50"/>
      <c r="AO88" s="9"/>
      <c r="AP88" s="9"/>
    </row>
    <row r="89" spans="1:42" x14ac:dyDescent="0.55000000000000004">
      <c r="A89" t="str">
        <f t="shared" si="1"/>
        <v/>
      </c>
      <c r="C89" s="103"/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49"/>
      <c r="V89" s="49"/>
      <c r="W89" s="49"/>
      <c r="X89" s="49"/>
      <c r="Y89" s="49"/>
      <c r="Z89" s="49"/>
      <c r="AA89" s="49"/>
      <c r="AB89" s="49"/>
      <c r="AC89" s="49"/>
      <c r="AD89" s="113"/>
      <c r="AE89" s="49"/>
      <c r="AF89" s="50"/>
      <c r="AG89" s="50"/>
      <c r="AH89" s="50"/>
      <c r="AI89" s="50"/>
      <c r="AJ89" s="50"/>
      <c r="AK89" s="50"/>
      <c r="AL89" s="50"/>
      <c r="AM89" s="50"/>
      <c r="AN89" s="50"/>
      <c r="AO89" s="9"/>
      <c r="AP89" s="9"/>
    </row>
    <row r="90" spans="1:42" x14ac:dyDescent="0.55000000000000004">
      <c r="A90" t="str">
        <f t="shared" si="1"/>
        <v/>
      </c>
      <c r="C90" s="103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49"/>
      <c r="V90" s="49"/>
      <c r="W90" s="49"/>
      <c r="X90" s="49"/>
      <c r="Y90" s="49"/>
      <c r="Z90" s="49"/>
      <c r="AA90" s="49"/>
      <c r="AB90" s="49"/>
      <c r="AC90" s="49"/>
      <c r="AD90" s="113"/>
      <c r="AE90" s="49"/>
      <c r="AF90" s="50"/>
      <c r="AG90" s="50"/>
      <c r="AH90" s="50"/>
      <c r="AI90" s="50"/>
      <c r="AJ90" s="50"/>
      <c r="AK90" s="50"/>
      <c r="AL90" s="50"/>
      <c r="AM90" s="50"/>
      <c r="AN90" s="50"/>
      <c r="AO90" s="9"/>
      <c r="AP90" s="9"/>
    </row>
    <row r="91" spans="1:42" x14ac:dyDescent="0.55000000000000004">
      <c r="A91" t="str">
        <f t="shared" si="1"/>
        <v/>
      </c>
      <c r="C91" s="103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49"/>
      <c r="V91" s="49"/>
      <c r="W91" s="49"/>
      <c r="X91" s="49"/>
      <c r="Y91" s="49"/>
      <c r="Z91" s="49"/>
      <c r="AA91" s="49"/>
      <c r="AB91" s="49"/>
      <c r="AC91" s="49"/>
      <c r="AD91" s="113"/>
      <c r="AE91" s="49"/>
      <c r="AF91" s="50"/>
      <c r="AG91" s="50"/>
      <c r="AH91" s="50"/>
      <c r="AI91" s="50"/>
      <c r="AJ91" s="50"/>
      <c r="AK91" s="50"/>
      <c r="AL91" s="50"/>
      <c r="AM91" s="50"/>
      <c r="AN91" s="50"/>
      <c r="AO91" s="9"/>
      <c r="AP91" s="9"/>
    </row>
    <row r="92" spans="1:42" x14ac:dyDescent="0.55000000000000004">
      <c r="A92" t="str">
        <f t="shared" si="1"/>
        <v/>
      </c>
      <c r="C92" s="103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10"/>
      <c r="S92" s="110"/>
      <c r="T92" s="110"/>
      <c r="U92" s="49"/>
      <c r="V92" s="49"/>
      <c r="W92" s="49"/>
      <c r="X92" s="49"/>
      <c r="Y92" s="49"/>
      <c r="Z92" s="49"/>
      <c r="AA92" s="49"/>
      <c r="AB92" s="49"/>
      <c r="AC92" s="49"/>
      <c r="AD92" s="113"/>
      <c r="AE92" s="49"/>
      <c r="AF92" s="50"/>
      <c r="AG92" s="50"/>
      <c r="AH92" s="50"/>
      <c r="AI92" s="50"/>
      <c r="AJ92" s="50"/>
      <c r="AK92" s="50"/>
      <c r="AL92" s="50"/>
      <c r="AM92" s="50"/>
      <c r="AN92" s="50"/>
      <c r="AO92" s="9"/>
      <c r="AP92" s="9"/>
    </row>
    <row r="93" spans="1:42" x14ac:dyDescent="0.55000000000000004">
      <c r="A93" t="str">
        <f t="shared" si="1"/>
        <v/>
      </c>
      <c r="C93" s="103"/>
      <c r="D93" s="110"/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49"/>
      <c r="V93" s="49"/>
      <c r="W93" s="49"/>
      <c r="X93" s="49"/>
      <c r="Y93" s="49"/>
      <c r="Z93" s="49"/>
      <c r="AA93" s="49"/>
      <c r="AB93" s="49"/>
      <c r="AC93" s="49"/>
      <c r="AD93" s="113"/>
      <c r="AE93" s="49"/>
      <c r="AF93" s="50"/>
      <c r="AG93" s="50"/>
      <c r="AH93" s="50"/>
      <c r="AI93" s="50"/>
      <c r="AJ93" s="50"/>
      <c r="AK93" s="50"/>
      <c r="AL93" s="50"/>
      <c r="AM93" s="50"/>
      <c r="AN93" s="50"/>
      <c r="AO93" s="9"/>
      <c r="AP93" s="9"/>
    </row>
    <row r="94" spans="1:42" x14ac:dyDescent="0.55000000000000004">
      <c r="A94" t="str">
        <f t="shared" si="1"/>
        <v/>
      </c>
      <c r="C94" s="103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49"/>
      <c r="V94" s="49"/>
      <c r="W94" s="49"/>
      <c r="X94" s="49"/>
      <c r="Y94" s="49"/>
      <c r="Z94" s="49"/>
      <c r="AA94" s="49"/>
      <c r="AB94" s="49"/>
      <c r="AC94" s="49"/>
      <c r="AD94" s="113"/>
      <c r="AE94" s="49"/>
      <c r="AF94" s="50"/>
      <c r="AG94" s="50"/>
      <c r="AH94" s="50"/>
      <c r="AI94" s="50"/>
      <c r="AJ94" s="50"/>
      <c r="AK94" s="50"/>
      <c r="AL94" s="50"/>
      <c r="AM94" s="50"/>
      <c r="AN94" s="50"/>
      <c r="AO94" s="9"/>
      <c r="AP94" s="9"/>
    </row>
    <row r="95" spans="1:42" x14ac:dyDescent="0.55000000000000004">
      <c r="A95" t="str">
        <f t="shared" si="1"/>
        <v/>
      </c>
      <c r="C95" s="103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49"/>
      <c r="V95" s="49"/>
      <c r="W95" s="49"/>
      <c r="X95" s="49"/>
      <c r="Y95" s="49"/>
      <c r="Z95" s="49"/>
      <c r="AA95" s="49"/>
      <c r="AB95" s="49"/>
      <c r="AC95" s="49"/>
      <c r="AD95" s="113"/>
      <c r="AE95" s="49"/>
      <c r="AF95" s="50"/>
      <c r="AG95" s="50"/>
      <c r="AH95" s="50"/>
      <c r="AI95" s="50"/>
      <c r="AJ95" s="50"/>
      <c r="AK95" s="50"/>
      <c r="AL95" s="50"/>
      <c r="AM95" s="50"/>
      <c r="AN95" s="50"/>
      <c r="AO95" s="9"/>
      <c r="AP95" s="9"/>
    </row>
    <row r="96" spans="1:42" x14ac:dyDescent="0.55000000000000004">
      <c r="A96" t="str">
        <f t="shared" si="1"/>
        <v/>
      </c>
      <c r="C96" s="103"/>
      <c r="D96" s="110"/>
      <c r="E96" s="110"/>
      <c r="F96" s="110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Q96" s="110"/>
      <c r="R96" s="110"/>
      <c r="S96" s="110"/>
      <c r="T96" s="110"/>
      <c r="U96" s="49"/>
      <c r="V96" s="49"/>
      <c r="W96" s="49"/>
      <c r="X96" s="49"/>
      <c r="Y96" s="49"/>
      <c r="Z96" s="49"/>
      <c r="AA96" s="49"/>
      <c r="AB96" s="49"/>
      <c r="AC96" s="49"/>
      <c r="AD96" s="113"/>
      <c r="AE96" s="49"/>
      <c r="AF96" s="50"/>
      <c r="AG96" s="50"/>
      <c r="AH96" s="50"/>
      <c r="AI96" s="50"/>
      <c r="AJ96" s="50"/>
      <c r="AK96" s="50"/>
      <c r="AL96" s="50"/>
      <c r="AM96" s="50"/>
      <c r="AN96" s="50"/>
      <c r="AO96" s="9"/>
      <c r="AP96" s="9"/>
    </row>
    <row r="97" spans="1:42" x14ac:dyDescent="0.55000000000000004">
      <c r="A97" t="str">
        <f t="shared" si="1"/>
        <v/>
      </c>
      <c r="C97" s="103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49"/>
      <c r="V97" s="49"/>
      <c r="W97" s="49"/>
      <c r="X97" s="49"/>
      <c r="Y97" s="49"/>
      <c r="Z97" s="49"/>
      <c r="AA97" s="49"/>
      <c r="AB97" s="49"/>
      <c r="AC97" s="49"/>
      <c r="AD97" s="113"/>
      <c r="AE97" s="49"/>
      <c r="AF97" s="50"/>
      <c r="AG97" s="50"/>
      <c r="AH97" s="50"/>
      <c r="AI97" s="50"/>
      <c r="AJ97" s="50"/>
      <c r="AK97" s="50"/>
      <c r="AL97" s="50"/>
      <c r="AM97" s="50"/>
      <c r="AN97" s="50"/>
      <c r="AO97" s="9"/>
      <c r="AP97" s="9"/>
    </row>
    <row r="98" spans="1:42" x14ac:dyDescent="0.55000000000000004">
      <c r="A98" t="str">
        <f t="shared" si="1"/>
        <v/>
      </c>
      <c r="C98" s="103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49"/>
      <c r="V98" s="49"/>
      <c r="W98" s="49"/>
      <c r="X98" s="49"/>
      <c r="Y98" s="49"/>
      <c r="Z98" s="49"/>
      <c r="AA98" s="49"/>
      <c r="AB98" s="49"/>
      <c r="AC98" s="49"/>
      <c r="AD98" s="113"/>
      <c r="AE98" s="49"/>
      <c r="AF98" s="50"/>
      <c r="AG98" s="50"/>
      <c r="AH98" s="50"/>
      <c r="AI98" s="50"/>
      <c r="AJ98" s="50"/>
      <c r="AK98" s="50"/>
      <c r="AL98" s="50"/>
      <c r="AM98" s="50"/>
      <c r="AN98" s="50"/>
      <c r="AO98" s="9"/>
      <c r="AP98" s="9"/>
    </row>
    <row r="99" spans="1:42" x14ac:dyDescent="0.55000000000000004">
      <c r="A99" t="str">
        <f t="shared" si="1"/>
        <v/>
      </c>
      <c r="C99" s="103"/>
      <c r="D99" s="110"/>
      <c r="E99" s="110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49"/>
      <c r="V99" s="49"/>
      <c r="W99" s="49"/>
      <c r="X99" s="49"/>
      <c r="Y99" s="49"/>
      <c r="Z99" s="49"/>
      <c r="AA99" s="49"/>
      <c r="AB99" s="49"/>
      <c r="AC99" s="49"/>
      <c r="AD99" s="113"/>
      <c r="AE99" s="49"/>
      <c r="AF99" s="50"/>
      <c r="AG99" s="50"/>
      <c r="AH99" s="50"/>
      <c r="AI99" s="50"/>
      <c r="AJ99" s="50"/>
      <c r="AK99" s="50"/>
      <c r="AL99" s="50"/>
      <c r="AM99" s="50"/>
      <c r="AN99" s="50"/>
      <c r="AO99" s="9"/>
      <c r="AP99" s="9"/>
    </row>
    <row r="100" spans="1:42" x14ac:dyDescent="0.55000000000000004">
      <c r="A100" t="str">
        <f t="shared" si="1"/>
        <v/>
      </c>
      <c r="C100" s="103"/>
      <c r="D100" s="110"/>
      <c r="E100" s="110"/>
      <c r="F100" s="110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Q100" s="110"/>
      <c r="R100" s="110"/>
      <c r="S100" s="110"/>
      <c r="T100" s="110"/>
      <c r="U100" s="49"/>
      <c r="V100" s="49"/>
      <c r="W100" s="49"/>
      <c r="X100" s="49"/>
      <c r="Y100" s="49"/>
      <c r="Z100" s="49"/>
      <c r="AA100" s="49"/>
      <c r="AB100" s="49"/>
      <c r="AC100" s="49"/>
      <c r="AD100" s="113"/>
      <c r="AE100" s="49"/>
      <c r="AF100" s="50"/>
      <c r="AG100" s="50"/>
      <c r="AH100" s="50"/>
      <c r="AI100" s="50"/>
      <c r="AJ100" s="50"/>
      <c r="AK100" s="50"/>
      <c r="AL100" s="50"/>
      <c r="AM100" s="50"/>
      <c r="AN100" s="50"/>
      <c r="AO100" s="9"/>
      <c r="AP100" s="9"/>
    </row>
    <row r="101" spans="1:42" x14ac:dyDescent="0.55000000000000004">
      <c r="A101" t="str">
        <f t="shared" si="1"/>
        <v/>
      </c>
      <c r="C101" s="103"/>
      <c r="D101" s="110"/>
      <c r="E101" s="110"/>
      <c r="F101" s="110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Q101" s="110"/>
      <c r="R101" s="110"/>
      <c r="S101" s="110"/>
      <c r="T101" s="110"/>
      <c r="U101" s="49"/>
      <c r="V101" s="49"/>
      <c r="W101" s="49"/>
      <c r="X101" s="49"/>
      <c r="Y101" s="49"/>
      <c r="Z101" s="49"/>
      <c r="AA101" s="49"/>
      <c r="AB101" s="49"/>
      <c r="AC101" s="49"/>
      <c r="AD101" s="113"/>
      <c r="AE101" s="49"/>
      <c r="AF101" s="50"/>
      <c r="AG101" s="50"/>
      <c r="AH101" s="50"/>
      <c r="AI101" s="50"/>
      <c r="AJ101" s="50"/>
      <c r="AK101" s="50"/>
      <c r="AL101" s="50"/>
      <c r="AM101" s="50"/>
      <c r="AN101" s="50"/>
      <c r="AO101" s="9"/>
      <c r="AP101" s="9"/>
    </row>
    <row r="102" spans="1:42" x14ac:dyDescent="0.55000000000000004">
      <c r="A102" t="str">
        <f t="shared" si="1"/>
        <v/>
      </c>
      <c r="C102" s="103"/>
      <c r="D102" s="110"/>
      <c r="E102" s="110"/>
      <c r="F102" s="110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Q102" s="110"/>
      <c r="R102" s="110"/>
      <c r="S102" s="110"/>
      <c r="T102" s="110"/>
      <c r="U102" s="49"/>
      <c r="V102" s="49"/>
      <c r="W102" s="49"/>
      <c r="X102" s="49"/>
      <c r="Y102" s="49"/>
      <c r="Z102" s="49"/>
      <c r="AA102" s="49"/>
      <c r="AB102" s="49"/>
      <c r="AC102" s="49"/>
      <c r="AD102" s="113"/>
      <c r="AE102" s="49"/>
      <c r="AF102" s="50"/>
      <c r="AG102" s="50"/>
      <c r="AH102" s="50"/>
      <c r="AI102" s="50"/>
      <c r="AJ102" s="50"/>
      <c r="AK102" s="50"/>
      <c r="AL102" s="50"/>
      <c r="AM102" s="50"/>
      <c r="AN102" s="50"/>
      <c r="AO102" s="9"/>
      <c r="AP102" s="9"/>
    </row>
    <row r="103" spans="1:42" x14ac:dyDescent="0.55000000000000004">
      <c r="A103" t="str">
        <f t="shared" si="1"/>
        <v/>
      </c>
      <c r="C103" s="103"/>
      <c r="D103" s="110"/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10"/>
      <c r="T103" s="110"/>
      <c r="U103" s="49"/>
      <c r="V103" s="49"/>
      <c r="W103" s="49"/>
      <c r="X103" s="49"/>
      <c r="Y103" s="49"/>
      <c r="Z103" s="49"/>
      <c r="AA103" s="49"/>
      <c r="AB103" s="49"/>
      <c r="AC103" s="49"/>
      <c r="AD103" s="113"/>
      <c r="AE103" s="49"/>
      <c r="AF103" s="50"/>
      <c r="AG103" s="50"/>
      <c r="AH103" s="50"/>
      <c r="AI103" s="50"/>
      <c r="AJ103" s="50"/>
      <c r="AK103" s="50"/>
      <c r="AL103" s="50"/>
      <c r="AM103" s="50"/>
      <c r="AN103" s="50"/>
      <c r="AO103" s="9"/>
      <c r="AP103" s="9"/>
    </row>
    <row r="104" spans="1:42" x14ac:dyDescent="0.55000000000000004">
      <c r="A104" t="str">
        <f t="shared" si="1"/>
        <v/>
      </c>
      <c r="C104" s="103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49"/>
      <c r="V104" s="49"/>
      <c r="W104" s="49"/>
      <c r="X104" s="49"/>
      <c r="Y104" s="49"/>
      <c r="Z104" s="49"/>
      <c r="AA104" s="49"/>
      <c r="AB104" s="49"/>
      <c r="AC104" s="49"/>
      <c r="AD104" s="113"/>
      <c r="AE104" s="49"/>
      <c r="AF104" s="50"/>
      <c r="AG104" s="50"/>
      <c r="AH104" s="50"/>
      <c r="AI104" s="50"/>
      <c r="AJ104" s="50"/>
      <c r="AK104" s="50"/>
      <c r="AL104" s="50"/>
      <c r="AM104" s="50"/>
      <c r="AN104" s="50"/>
      <c r="AO104" s="9"/>
      <c r="AP104" s="9"/>
    </row>
    <row r="105" spans="1:42" x14ac:dyDescent="0.55000000000000004">
      <c r="A105" t="str">
        <f t="shared" si="1"/>
        <v/>
      </c>
      <c r="C105" s="103"/>
      <c r="D105" s="110"/>
      <c r="E105" s="110"/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  <c r="R105" s="110"/>
      <c r="S105" s="110"/>
      <c r="T105" s="110"/>
      <c r="U105" s="49"/>
      <c r="V105" s="49"/>
      <c r="W105" s="49"/>
      <c r="X105" s="49"/>
      <c r="Y105" s="49"/>
      <c r="Z105" s="49"/>
      <c r="AA105" s="49"/>
      <c r="AB105" s="49"/>
      <c r="AC105" s="49"/>
      <c r="AD105" s="113"/>
      <c r="AE105" s="49"/>
      <c r="AF105" s="50"/>
      <c r="AG105" s="50"/>
      <c r="AH105" s="50"/>
      <c r="AI105" s="50"/>
      <c r="AJ105" s="50"/>
      <c r="AK105" s="50"/>
      <c r="AL105" s="50"/>
      <c r="AM105" s="50"/>
      <c r="AN105" s="50"/>
      <c r="AO105" s="9"/>
      <c r="AP105" s="9"/>
    </row>
    <row r="106" spans="1:42" x14ac:dyDescent="0.55000000000000004">
      <c r="A106" t="str">
        <f t="shared" si="1"/>
        <v/>
      </c>
      <c r="C106" s="103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  <c r="R106" s="110"/>
      <c r="S106" s="110"/>
      <c r="T106" s="110"/>
      <c r="U106" s="49"/>
      <c r="V106" s="49"/>
      <c r="W106" s="49"/>
      <c r="X106" s="49"/>
      <c r="Y106" s="49"/>
      <c r="Z106" s="49"/>
      <c r="AA106" s="49"/>
      <c r="AB106" s="49"/>
      <c r="AC106" s="49"/>
      <c r="AD106" s="113"/>
      <c r="AE106" s="49"/>
      <c r="AF106" s="50"/>
      <c r="AG106" s="50"/>
      <c r="AH106" s="50"/>
      <c r="AI106" s="50"/>
      <c r="AJ106" s="50"/>
      <c r="AK106" s="50"/>
      <c r="AL106" s="50"/>
      <c r="AM106" s="50"/>
      <c r="AN106" s="50"/>
      <c r="AO106" s="9"/>
      <c r="AP106" s="9"/>
    </row>
    <row r="107" spans="1:42" x14ac:dyDescent="0.55000000000000004">
      <c r="A107" t="str">
        <f t="shared" si="1"/>
        <v/>
      </c>
      <c r="C107" s="103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  <c r="R107" s="110"/>
      <c r="S107" s="110"/>
      <c r="T107" s="110"/>
      <c r="U107" s="49"/>
      <c r="V107" s="49"/>
      <c r="W107" s="49"/>
      <c r="X107" s="49"/>
      <c r="Y107" s="49"/>
      <c r="Z107" s="49"/>
      <c r="AA107" s="49"/>
      <c r="AB107" s="49"/>
      <c r="AC107" s="49"/>
      <c r="AD107" s="113"/>
      <c r="AE107" s="49"/>
      <c r="AF107" s="50"/>
      <c r="AG107" s="50"/>
      <c r="AH107" s="50"/>
      <c r="AI107" s="50"/>
      <c r="AJ107" s="50"/>
      <c r="AK107" s="50"/>
      <c r="AL107" s="50"/>
      <c r="AM107" s="50"/>
      <c r="AN107" s="50"/>
      <c r="AO107" s="9"/>
      <c r="AP107" s="9"/>
    </row>
    <row r="108" spans="1:42" x14ac:dyDescent="0.55000000000000004">
      <c r="A108" t="str">
        <f t="shared" si="1"/>
        <v/>
      </c>
      <c r="C108" s="103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  <c r="R108" s="110"/>
      <c r="S108" s="110"/>
      <c r="T108" s="110"/>
      <c r="U108" s="49"/>
      <c r="V108" s="49"/>
      <c r="W108" s="49"/>
      <c r="X108" s="49"/>
      <c r="Y108" s="49"/>
      <c r="Z108" s="49"/>
      <c r="AA108" s="49"/>
      <c r="AB108" s="49"/>
      <c r="AC108" s="49"/>
      <c r="AD108" s="113"/>
      <c r="AE108" s="49"/>
      <c r="AF108" s="50"/>
      <c r="AG108" s="50"/>
      <c r="AH108" s="50"/>
      <c r="AI108" s="50"/>
      <c r="AJ108" s="50"/>
      <c r="AK108" s="50"/>
      <c r="AL108" s="50"/>
      <c r="AM108" s="50"/>
      <c r="AN108" s="50"/>
      <c r="AO108" s="9"/>
      <c r="AP108" s="9"/>
    </row>
    <row r="109" spans="1:42" x14ac:dyDescent="0.55000000000000004">
      <c r="A109" t="str">
        <f t="shared" si="1"/>
        <v/>
      </c>
      <c r="C109" s="103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  <c r="R109" s="110"/>
      <c r="S109" s="110"/>
      <c r="T109" s="110"/>
      <c r="U109" s="49"/>
      <c r="V109" s="49"/>
      <c r="W109" s="49"/>
      <c r="X109" s="49"/>
      <c r="Y109" s="49"/>
      <c r="Z109" s="49"/>
      <c r="AA109" s="49"/>
      <c r="AB109" s="49"/>
      <c r="AC109" s="49"/>
      <c r="AD109" s="113"/>
      <c r="AE109" s="49"/>
      <c r="AF109" s="50"/>
      <c r="AG109" s="50"/>
      <c r="AH109" s="50"/>
      <c r="AI109" s="50"/>
      <c r="AJ109" s="50"/>
      <c r="AK109" s="50"/>
      <c r="AL109" s="50"/>
      <c r="AM109" s="50"/>
      <c r="AN109" s="50"/>
      <c r="AO109" s="9"/>
      <c r="AP109" s="9"/>
    </row>
    <row r="110" spans="1:42" x14ac:dyDescent="0.55000000000000004">
      <c r="A110" t="str">
        <f t="shared" si="1"/>
        <v/>
      </c>
      <c r="C110" s="103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  <c r="R110" s="110"/>
      <c r="S110" s="110"/>
      <c r="T110" s="110"/>
      <c r="U110" s="49"/>
      <c r="V110" s="49"/>
      <c r="W110" s="49"/>
      <c r="X110" s="49"/>
      <c r="Y110" s="49"/>
      <c r="Z110" s="49"/>
      <c r="AA110" s="49"/>
      <c r="AB110" s="49"/>
      <c r="AC110" s="49"/>
      <c r="AD110" s="113"/>
      <c r="AE110" s="49"/>
      <c r="AF110" s="50"/>
      <c r="AG110" s="50"/>
      <c r="AH110" s="50"/>
      <c r="AI110" s="50"/>
      <c r="AJ110" s="50"/>
      <c r="AK110" s="50"/>
      <c r="AL110" s="50"/>
      <c r="AM110" s="50"/>
      <c r="AN110" s="50"/>
      <c r="AO110" s="9"/>
      <c r="AP110" s="9"/>
    </row>
    <row r="111" spans="1:42" x14ac:dyDescent="0.55000000000000004">
      <c r="A111" t="str">
        <f t="shared" si="1"/>
        <v/>
      </c>
      <c r="C111" s="103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  <c r="R111" s="110"/>
      <c r="S111" s="110"/>
      <c r="T111" s="110"/>
      <c r="U111" s="49"/>
      <c r="V111" s="49"/>
      <c r="W111" s="49"/>
      <c r="X111" s="49"/>
      <c r="Y111" s="49"/>
      <c r="Z111" s="49"/>
      <c r="AA111" s="49"/>
      <c r="AB111" s="49"/>
      <c r="AC111" s="49"/>
      <c r="AD111" s="113"/>
      <c r="AE111" s="49"/>
      <c r="AF111" s="50"/>
      <c r="AG111" s="50"/>
      <c r="AH111" s="50"/>
      <c r="AI111" s="50"/>
      <c r="AJ111" s="50"/>
      <c r="AK111" s="50"/>
      <c r="AL111" s="50"/>
      <c r="AM111" s="50"/>
      <c r="AN111" s="50"/>
      <c r="AO111" s="9"/>
      <c r="AP111" s="9"/>
    </row>
    <row r="112" spans="1:42" x14ac:dyDescent="0.55000000000000004">
      <c r="A112" t="str">
        <f t="shared" si="1"/>
        <v/>
      </c>
      <c r="C112" s="103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  <c r="R112" s="110"/>
      <c r="S112" s="110"/>
      <c r="T112" s="110"/>
      <c r="U112" s="49"/>
      <c r="V112" s="49"/>
      <c r="W112" s="49"/>
      <c r="X112" s="49"/>
      <c r="Y112" s="49"/>
      <c r="Z112" s="49"/>
      <c r="AA112" s="49"/>
      <c r="AB112" s="49"/>
      <c r="AC112" s="49"/>
      <c r="AD112" s="113"/>
      <c r="AE112" s="49"/>
      <c r="AF112" s="50"/>
      <c r="AG112" s="50"/>
      <c r="AH112" s="50"/>
      <c r="AI112" s="50"/>
      <c r="AJ112" s="50"/>
      <c r="AK112" s="50"/>
      <c r="AL112" s="50"/>
      <c r="AM112" s="50"/>
      <c r="AN112" s="50"/>
      <c r="AO112" s="9"/>
      <c r="AP112" s="9"/>
    </row>
    <row r="113" spans="1:42" x14ac:dyDescent="0.55000000000000004">
      <c r="A113" t="str">
        <f t="shared" si="1"/>
        <v/>
      </c>
      <c r="C113" s="103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10"/>
      <c r="T113" s="110"/>
      <c r="U113" s="49"/>
      <c r="V113" s="49"/>
      <c r="W113" s="49"/>
      <c r="X113" s="49"/>
      <c r="Y113" s="49"/>
      <c r="Z113" s="49"/>
      <c r="AA113" s="49"/>
      <c r="AB113" s="49"/>
      <c r="AC113" s="49"/>
      <c r="AD113" s="113"/>
      <c r="AE113" s="49"/>
      <c r="AF113" s="50"/>
      <c r="AG113" s="50"/>
      <c r="AH113" s="50"/>
      <c r="AI113" s="50"/>
      <c r="AJ113" s="50"/>
      <c r="AK113" s="50"/>
      <c r="AL113" s="50"/>
      <c r="AM113" s="50"/>
      <c r="AN113" s="50"/>
      <c r="AO113" s="9"/>
      <c r="AP113" s="9"/>
    </row>
    <row r="114" spans="1:42" x14ac:dyDescent="0.55000000000000004">
      <c r="A114" t="str">
        <f t="shared" si="1"/>
        <v/>
      </c>
      <c r="C114" s="103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10"/>
      <c r="T114" s="110"/>
      <c r="U114" s="49"/>
      <c r="V114" s="49"/>
      <c r="W114" s="49"/>
      <c r="X114" s="49"/>
      <c r="Y114" s="49"/>
      <c r="Z114" s="49"/>
      <c r="AA114" s="49"/>
      <c r="AB114" s="49"/>
      <c r="AC114" s="49"/>
      <c r="AD114" s="113"/>
      <c r="AE114" s="49"/>
      <c r="AF114" s="50"/>
      <c r="AG114" s="50"/>
      <c r="AH114" s="50"/>
      <c r="AI114" s="50"/>
      <c r="AJ114" s="50"/>
      <c r="AK114" s="50"/>
      <c r="AL114" s="50"/>
      <c r="AM114" s="50"/>
      <c r="AN114" s="50"/>
      <c r="AO114" s="9"/>
      <c r="AP114" s="9"/>
    </row>
    <row r="115" spans="1:42" x14ac:dyDescent="0.55000000000000004">
      <c r="A115" t="str">
        <f t="shared" si="1"/>
        <v/>
      </c>
      <c r="C115" s="103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49"/>
      <c r="V115" s="49"/>
      <c r="W115" s="49"/>
      <c r="X115" s="49"/>
      <c r="Y115" s="49"/>
      <c r="Z115" s="49"/>
      <c r="AA115" s="49"/>
      <c r="AB115" s="49"/>
      <c r="AC115" s="49"/>
      <c r="AD115" s="113"/>
      <c r="AE115" s="49"/>
      <c r="AF115" s="50"/>
      <c r="AG115" s="50"/>
      <c r="AH115" s="50"/>
      <c r="AI115" s="50"/>
      <c r="AJ115" s="50"/>
      <c r="AK115" s="50"/>
      <c r="AL115" s="50"/>
      <c r="AM115" s="50"/>
      <c r="AN115" s="50"/>
      <c r="AO115" s="9"/>
      <c r="AP115" s="9"/>
    </row>
    <row r="116" spans="1:42" x14ac:dyDescent="0.55000000000000004">
      <c r="A116" t="str">
        <f t="shared" si="1"/>
        <v/>
      </c>
      <c r="C116" s="103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49"/>
      <c r="V116" s="49"/>
      <c r="W116" s="49"/>
      <c r="X116" s="49"/>
      <c r="Y116" s="49"/>
      <c r="Z116" s="49"/>
      <c r="AA116" s="49"/>
      <c r="AB116" s="49"/>
      <c r="AC116" s="49"/>
      <c r="AD116" s="113"/>
      <c r="AE116" s="49"/>
      <c r="AF116" s="50"/>
      <c r="AG116" s="50"/>
      <c r="AH116" s="50"/>
      <c r="AI116" s="50"/>
      <c r="AJ116" s="50"/>
      <c r="AK116" s="50"/>
      <c r="AL116" s="50"/>
      <c r="AM116" s="50"/>
      <c r="AN116" s="50"/>
      <c r="AO116" s="9"/>
      <c r="AP116" s="9"/>
    </row>
    <row r="117" spans="1:42" x14ac:dyDescent="0.55000000000000004">
      <c r="A117" t="str">
        <f t="shared" si="1"/>
        <v/>
      </c>
      <c r="C117" s="103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  <c r="R117" s="110"/>
      <c r="S117" s="110"/>
      <c r="T117" s="110"/>
      <c r="U117" s="49"/>
      <c r="V117" s="49"/>
      <c r="W117" s="49"/>
      <c r="X117" s="49"/>
      <c r="Y117" s="49"/>
      <c r="Z117" s="49"/>
      <c r="AA117" s="49"/>
      <c r="AB117" s="49"/>
      <c r="AC117" s="49"/>
      <c r="AD117" s="113"/>
      <c r="AE117" s="49"/>
      <c r="AF117" s="50"/>
      <c r="AG117" s="50"/>
      <c r="AH117" s="50"/>
      <c r="AI117" s="50"/>
      <c r="AJ117" s="50"/>
      <c r="AK117" s="50"/>
      <c r="AL117" s="50"/>
      <c r="AM117" s="50"/>
      <c r="AN117" s="50"/>
      <c r="AO117" s="9"/>
      <c r="AP117" s="9"/>
    </row>
    <row r="118" spans="1:42" x14ac:dyDescent="0.55000000000000004">
      <c r="A118" t="str">
        <f t="shared" si="1"/>
        <v/>
      </c>
      <c r="C118" s="103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  <c r="R118" s="110"/>
      <c r="S118" s="110"/>
      <c r="T118" s="110"/>
      <c r="U118" s="49"/>
      <c r="V118" s="49"/>
      <c r="W118" s="49"/>
      <c r="X118" s="49"/>
      <c r="Y118" s="49"/>
      <c r="Z118" s="49"/>
      <c r="AA118" s="49"/>
      <c r="AB118" s="49"/>
      <c r="AC118" s="49"/>
      <c r="AD118" s="113"/>
      <c r="AE118" s="49"/>
      <c r="AF118" s="50"/>
      <c r="AG118" s="50"/>
      <c r="AH118" s="50"/>
      <c r="AI118" s="50"/>
      <c r="AJ118" s="50"/>
      <c r="AK118" s="50"/>
      <c r="AL118" s="50"/>
      <c r="AM118" s="50"/>
      <c r="AN118" s="50"/>
      <c r="AO118" s="9"/>
      <c r="AP118" s="9"/>
    </row>
    <row r="119" spans="1:42" x14ac:dyDescent="0.55000000000000004">
      <c r="A119" t="str">
        <f t="shared" si="1"/>
        <v/>
      </c>
      <c r="C119" s="103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  <c r="R119" s="110"/>
      <c r="S119" s="110"/>
      <c r="T119" s="110"/>
      <c r="U119" s="49"/>
      <c r="V119" s="49"/>
      <c r="W119" s="49"/>
      <c r="X119" s="49"/>
      <c r="Y119" s="49"/>
      <c r="Z119" s="49"/>
      <c r="AA119" s="49"/>
      <c r="AB119" s="49"/>
      <c r="AC119" s="49"/>
      <c r="AD119" s="113"/>
      <c r="AE119" s="49"/>
      <c r="AF119" s="50"/>
      <c r="AG119" s="50"/>
      <c r="AH119" s="50"/>
      <c r="AI119" s="50"/>
      <c r="AJ119" s="50"/>
      <c r="AK119" s="50"/>
      <c r="AL119" s="50"/>
      <c r="AM119" s="50"/>
      <c r="AN119" s="50"/>
      <c r="AO119" s="9"/>
      <c r="AP119" s="9"/>
    </row>
    <row r="120" spans="1:42" x14ac:dyDescent="0.55000000000000004">
      <c r="A120" t="str">
        <f t="shared" si="1"/>
        <v/>
      </c>
      <c r="C120" s="103"/>
      <c r="D120" s="110"/>
      <c r="E120" s="110"/>
      <c r="F120" s="110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Q120" s="110"/>
      <c r="R120" s="110"/>
      <c r="S120" s="110"/>
      <c r="T120" s="110"/>
      <c r="U120" s="49"/>
      <c r="V120" s="49"/>
      <c r="W120" s="49"/>
      <c r="X120" s="49"/>
      <c r="Y120" s="49"/>
      <c r="Z120" s="49"/>
      <c r="AA120" s="49"/>
      <c r="AB120" s="49"/>
      <c r="AC120" s="49"/>
      <c r="AD120" s="113"/>
      <c r="AE120" s="49"/>
      <c r="AF120" s="50"/>
      <c r="AG120" s="50"/>
      <c r="AH120" s="50"/>
      <c r="AI120" s="50"/>
      <c r="AJ120" s="50"/>
      <c r="AK120" s="50"/>
      <c r="AL120" s="50"/>
      <c r="AM120" s="50"/>
      <c r="AN120" s="50"/>
      <c r="AO120" s="9"/>
      <c r="AP120" s="9"/>
    </row>
    <row r="121" spans="1:42" x14ac:dyDescent="0.55000000000000004">
      <c r="A121" t="str">
        <f t="shared" si="1"/>
        <v/>
      </c>
      <c r="C121" s="103"/>
      <c r="D121" s="110"/>
      <c r="E121" s="110"/>
      <c r="F121" s="110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Q121" s="110"/>
      <c r="R121" s="110"/>
      <c r="S121" s="110"/>
      <c r="T121" s="110"/>
      <c r="U121" s="49"/>
      <c r="V121" s="49"/>
      <c r="W121" s="49"/>
      <c r="X121" s="49"/>
      <c r="Y121" s="49"/>
      <c r="Z121" s="49"/>
      <c r="AA121" s="49"/>
      <c r="AB121" s="49"/>
      <c r="AC121" s="49"/>
      <c r="AD121" s="113"/>
      <c r="AE121" s="49"/>
      <c r="AF121" s="50"/>
      <c r="AG121" s="50"/>
      <c r="AH121" s="50"/>
      <c r="AI121" s="50"/>
      <c r="AJ121" s="50"/>
      <c r="AK121" s="50"/>
      <c r="AL121" s="50"/>
      <c r="AM121" s="50"/>
      <c r="AN121" s="50"/>
      <c r="AO121" s="9"/>
      <c r="AP121" s="9"/>
    </row>
    <row r="122" spans="1:42" x14ac:dyDescent="0.55000000000000004">
      <c r="A122" t="str">
        <f t="shared" si="1"/>
        <v/>
      </c>
      <c r="C122" s="103"/>
      <c r="D122" s="110"/>
      <c r="E122" s="110"/>
      <c r="F122" s="110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Q122" s="110"/>
      <c r="R122" s="110"/>
      <c r="S122" s="110"/>
      <c r="T122" s="110"/>
      <c r="U122" s="49"/>
      <c r="V122" s="49"/>
      <c r="W122" s="49"/>
      <c r="X122" s="49"/>
      <c r="Y122" s="49"/>
      <c r="Z122" s="49"/>
      <c r="AA122" s="49"/>
      <c r="AB122" s="49"/>
      <c r="AC122" s="49"/>
      <c r="AD122" s="113"/>
      <c r="AE122" s="49"/>
      <c r="AF122" s="50"/>
      <c r="AG122" s="50"/>
      <c r="AH122" s="50"/>
      <c r="AI122" s="50"/>
      <c r="AJ122" s="50"/>
      <c r="AK122" s="50"/>
      <c r="AL122" s="50"/>
      <c r="AM122" s="50"/>
      <c r="AN122" s="50"/>
      <c r="AO122" s="9"/>
      <c r="AP122" s="9"/>
    </row>
    <row r="123" spans="1:42" x14ac:dyDescent="0.55000000000000004">
      <c r="A123" t="str">
        <f t="shared" si="1"/>
        <v/>
      </c>
      <c r="C123" s="103"/>
      <c r="D123" s="110"/>
      <c r="E123" s="110"/>
      <c r="F123" s="110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10"/>
      <c r="T123" s="110"/>
      <c r="U123" s="49"/>
      <c r="V123" s="49"/>
      <c r="W123" s="49"/>
      <c r="X123" s="49"/>
      <c r="Y123" s="49"/>
      <c r="Z123" s="49"/>
      <c r="AA123" s="49"/>
      <c r="AB123" s="49"/>
      <c r="AC123" s="49"/>
      <c r="AD123" s="113"/>
      <c r="AE123" s="49"/>
      <c r="AF123" s="50"/>
      <c r="AG123" s="50"/>
      <c r="AH123" s="50"/>
      <c r="AI123" s="50"/>
      <c r="AJ123" s="50"/>
      <c r="AK123" s="50"/>
      <c r="AL123" s="50"/>
      <c r="AM123" s="50"/>
      <c r="AN123" s="50"/>
      <c r="AO123" s="9"/>
      <c r="AP123" s="9"/>
    </row>
    <row r="124" spans="1:42" x14ac:dyDescent="0.55000000000000004">
      <c r="A124" t="str">
        <f t="shared" si="1"/>
        <v/>
      </c>
      <c r="C124" s="103"/>
      <c r="D124" s="110"/>
      <c r="E124" s="110"/>
      <c r="F124" s="110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10"/>
      <c r="T124" s="110"/>
      <c r="U124" s="49"/>
      <c r="V124" s="49"/>
      <c r="W124" s="49"/>
      <c r="X124" s="49"/>
      <c r="Y124" s="49"/>
      <c r="Z124" s="49"/>
      <c r="AA124" s="49"/>
      <c r="AB124" s="49"/>
      <c r="AC124" s="49"/>
      <c r="AD124" s="113"/>
      <c r="AE124" s="49"/>
      <c r="AF124" s="50"/>
      <c r="AG124" s="50"/>
      <c r="AH124" s="50"/>
      <c r="AI124" s="50"/>
      <c r="AJ124" s="50"/>
      <c r="AK124" s="50"/>
      <c r="AL124" s="50"/>
      <c r="AM124" s="50"/>
      <c r="AN124" s="50"/>
      <c r="AO124" s="9"/>
      <c r="AP124" s="9"/>
    </row>
    <row r="125" spans="1:42" x14ac:dyDescent="0.55000000000000004">
      <c r="A125" t="str">
        <f t="shared" si="1"/>
        <v/>
      </c>
      <c r="C125" s="103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49"/>
      <c r="V125" s="49"/>
      <c r="W125" s="49"/>
      <c r="X125" s="49"/>
      <c r="Y125" s="49"/>
      <c r="Z125" s="49"/>
      <c r="AA125" s="49"/>
      <c r="AB125" s="49"/>
      <c r="AC125" s="49"/>
      <c r="AD125" s="113"/>
      <c r="AE125" s="49"/>
      <c r="AF125" s="50"/>
      <c r="AG125" s="50"/>
      <c r="AH125" s="50"/>
      <c r="AI125" s="50"/>
      <c r="AJ125" s="50"/>
      <c r="AK125" s="50"/>
      <c r="AL125" s="50"/>
      <c r="AM125" s="50"/>
      <c r="AN125" s="50"/>
      <c r="AO125" s="9"/>
      <c r="AP125" s="9"/>
    </row>
    <row r="126" spans="1:42" x14ac:dyDescent="0.55000000000000004">
      <c r="A126" t="str">
        <f t="shared" si="1"/>
        <v/>
      </c>
      <c r="C126" s="103"/>
      <c r="D126" s="110"/>
      <c r="E126" s="110"/>
      <c r="F126" s="110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10"/>
      <c r="T126" s="110"/>
      <c r="U126" s="49"/>
      <c r="V126" s="49"/>
      <c r="W126" s="49"/>
      <c r="X126" s="49"/>
      <c r="Y126" s="49"/>
      <c r="Z126" s="49"/>
      <c r="AA126" s="49"/>
      <c r="AB126" s="49"/>
      <c r="AC126" s="49"/>
      <c r="AD126" s="113"/>
      <c r="AE126" s="49"/>
      <c r="AF126" s="50"/>
      <c r="AG126" s="50"/>
      <c r="AH126" s="50"/>
      <c r="AI126" s="50"/>
      <c r="AJ126" s="50"/>
      <c r="AK126" s="50"/>
      <c r="AL126" s="50"/>
      <c r="AM126" s="50"/>
      <c r="AN126" s="50"/>
      <c r="AO126" s="9"/>
      <c r="AP126" s="9"/>
    </row>
    <row r="127" spans="1:42" x14ac:dyDescent="0.55000000000000004">
      <c r="A127" t="str">
        <f t="shared" si="1"/>
        <v/>
      </c>
      <c r="C127" s="103"/>
      <c r="D127" s="110"/>
      <c r="E127" s="110"/>
      <c r="F127" s="110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10"/>
      <c r="T127" s="110"/>
      <c r="U127" s="49"/>
      <c r="V127" s="49"/>
      <c r="W127" s="49"/>
      <c r="X127" s="49"/>
      <c r="Y127" s="49"/>
      <c r="Z127" s="49"/>
      <c r="AA127" s="49"/>
      <c r="AB127" s="49"/>
      <c r="AC127" s="49"/>
      <c r="AD127" s="113"/>
      <c r="AE127" s="49"/>
      <c r="AF127" s="50"/>
      <c r="AG127" s="50"/>
      <c r="AH127" s="50"/>
      <c r="AI127" s="50"/>
      <c r="AJ127" s="50"/>
      <c r="AK127" s="50"/>
      <c r="AL127" s="50"/>
      <c r="AM127" s="50"/>
      <c r="AN127" s="50"/>
      <c r="AO127" s="9"/>
      <c r="AP127" s="9"/>
    </row>
    <row r="128" spans="1:42" x14ac:dyDescent="0.55000000000000004">
      <c r="A128" t="str">
        <f t="shared" si="1"/>
        <v/>
      </c>
      <c r="C128" s="104"/>
      <c r="D128" s="111"/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49"/>
      <c r="V128" s="49"/>
      <c r="W128" s="49"/>
      <c r="X128" s="49"/>
      <c r="Y128" s="49"/>
      <c r="Z128" s="49"/>
      <c r="AA128" s="49"/>
      <c r="AB128" s="49"/>
      <c r="AC128" s="49"/>
      <c r="AD128" s="113"/>
      <c r="AE128" s="49"/>
      <c r="AF128" s="50"/>
      <c r="AG128" s="50"/>
      <c r="AH128" s="50"/>
      <c r="AI128" s="50"/>
      <c r="AJ128" s="50"/>
      <c r="AK128" s="50"/>
      <c r="AL128" s="50"/>
      <c r="AM128" s="50"/>
      <c r="AN128" s="50"/>
      <c r="AO128" s="9"/>
      <c r="AP128" s="9"/>
    </row>
    <row r="129" spans="1:42" x14ac:dyDescent="0.55000000000000004">
      <c r="A129" t="str">
        <f t="shared" si="1"/>
        <v/>
      </c>
      <c r="C129" s="104"/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49"/>
      <c r="V129" s="49"/>
      <c r="W129" s="49"/>
      <c r="X129" s="49"/>
      <c r="Y129" s="49"/>
      <c r="Z129" s="49"/>
      <c r="AA129" s="49"/>
      <c r="AB129" s="49"/>
      <c r="AC129" s="49"/>
      <c r="AD129" s="113"/>
      <c r="AE129" s="49"/>
      <c r="AF129" s="50"/>
      <c r="AG129" s="50"/>
      <c r="AH129" s="50"/>
      <c r="AI129" s="50"/>
      <c r="AJ129" s="50"/>
      <c r="AK129" s="50"/>
      <c r="AL129" s="50"/>
      <c r="AM129" s="50"/>
      <c r="AN129" s="50"/>
      <c r="AO129" s="9"/>
      <c r="AP129" s="9"/>
    </row>
    <row r="130" spans="1:42" x14ac:dyDescent="0.55000000000000004">
      <c r="A130" t="str">
        <f t="shared" si="1"/>
        <v/>
      </c>
      <c r="C130" s="103"/>
      <c r="D130" s="110"/>
      <c r="E130" s="110"/>
      <c r="F130" s="110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10"/>
      <c r="T130" s="110"/>
      <c r="U130" s="49"/>
      <c r="V130" s="49"/>
      <c r="W130" s="49"/>
      <c r="X130" s="49"/>
      <c r="Y130" s="49"/>
      <c r="Z130" s="49"/>
      <c r="AA130" s="49"/>
      <c r="AB130" s="49"/>
      <c r="AC130" s="49"/>
      <c r="AD130" s="113"/>
      <c r="AE130" s="49"/>
      <c r="AF130" s="50"/>
      <c r="AG130" s="50"/>
      <c r="AH130" s="50"/>
      <c r="AI130" s="50"/>
      <c r="AJ130" s="50"/>
      <c r="AK130" s="50"/>
      <c r="AL130" s="50"/>
      <c r="AM130" s="50"/>
      <c r="AN130" s="50"/>
      <c r="AO130" s="9"/>
      <c r="AP130" s="9"/>
    </row>
    <row r="131" spans="1:42" x14ac:dyDescent="0.55000000000000004">
      <c r="A131" t="str">
        <f t="shared" ref="A131:A194" si="2">H131&amp;I131&amp;J131</f>
        <v/>
      </c>
      <c r="C131" s="103"/>
      <c r="D131" s="110"/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49"/>
      <c r="V131" s="49"/>
      <c r="W131" s="49"/>
      <c r="X131" s="49"/>
      <c r="Y131" s="49"/>
      <c r="Z131" s="49"/>
      <c r="AA131" s="49"/>
      <c r="AB131" s="49"/>
      <c r="AC131" s="49"/>
      <c r="AD131" s="113"/>
      <c r="AE131" s="49"/>
      <c r="AF131" s="50"/>
      <c r="AG131" s="50"/>
      <c r="AH131" s="50"/>
      <c r="AI131" s="50"/>
      <c r="AJ131" s="50"/>
      <c r="AK131" s="50"/>
      <c r="AL131" s="50"/>
      <c r="AM131" s="50"/>
      <c r="AN131" s="50"/>
      <c r="AO131" s="9"/>
      <c r="AP131" s="9"/>
    </row>
    <row r="132" spans="1:42" x14ac:dyDescent="0.55000000000000004">
      <c r="A132" t="str">
        <f t="shared" si="2"/>
        <v/>
      </c>
      <c r="C132" s="103"/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49"/>
      <c r="V132" s="49"/>
      <c r="W132" s="49"/>
      <c r="X132" s="49"/>
      <c r="Y132" s="49"/>
      <c r="Z132" s="49"/>
      <c r="AA132" s="49"/>
      <c r="AB132" s="49"/>
      <c r="AC132" s="49"/>
      <c r="AD132" s="113"/>
      <c r="AE132" s="49"/>
      <c r="AF132" s="50"/>
      <c r="AG132" s="50"/>
      <c r="AH132" s="50"/>
      <c r="AI132" s="50"/>
      <c r="AJ132" s="50"/>
      <c r="AK132" s="50"/>
      <c r="AL132" s="50"/>
      <c r="AM132" s="50"/>
      <c r="AN132" s="50"/>
      <c r="AO132" s="9"/>
      <c r="AP132" s="9"/>
    </row>
    <row r="133" spans="1:42" x14ac:dyDescent="0.55000000000000004">
      <c r="A133" t="str">
        <f t="shared" si="2"/>
        <v/>
      </c>
      <c r="C133" s="103"/>
      <c r="D133" s="110"/>
      <c r="E133" s="110"/>
      <c r="F133" s="110"/>
      <c r="G133" s="110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49"/>
      <c r="V133" s="49"/>
      <c r="W133" s="49"/>
      <c r="X133" s="49"/>
      <c r="Y133" s="49"/>
      <c r="Z133" s="49"/>
      <c r="AA133" s="49"/>
      <c r="AB133" s="49"/>
      <c r="AC133" s="49"/>
      <c r="AD133" s="113"/>
      <c r="AE133" s="49"/>
      <c r="AF133" s="50"/>
      <c r="AG133" s="50"/>
      <c r="AH133" s="50"/>
      <c r="AI133" s="50"/>
      <c r="AJ133" s="50"/>
      <c r="AK133" s="50"/>
      <c r="AL133" s="50"/>
      <c r="AM133" s="50"/>
      <c r="AN133" s="50"/>
      <c r="AO133" s="9"/>
      <c r="AP133" s="9"/>
    </row>
    <row r="134" spans="1:42" x14ac:dyDescent="0.55000000000000004">
      <c r="A134" t="str">
        <f t="shared" si="2"/>
        <v/>
      </c>
      <c r="C134" s="103"/>
      <c r="D134" s="110"/>
      <c r="E134" s="110"/>
      <c r="F134" s="110"/>
      <c r="G134" s="110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49"/>
      <c r="V134" s="49"/>
      <c r="W134" s="49"/>
      <c r="X134" s="49"/>
      <c r="Y134" s="49"/>
      <c r="Z134" s="49"/>
      <c r="AA134" s="49"/>
      <c r="AB134" s="49"/>
      <c r="AC134" s="49"/>
      <c r="AD134" s="113"/>
      <c r="AE134" s="49"/>
      <c r="AF134" s="50"/>
      <c r="AG134" s="50"/>
      <c r="AH134" s="50"/>
      <c r="AI134" s="50"/>
      <c r="AJ134" s="50"/>
      <c r="AK134" s="50"/>
      <c r="AL134" s="50"/>
      <c r="AM134" s="50"/>
      <c r="AN134" s="50"/>
      <c r="AO134" s="9"/>
      <c r="AP134" s="9"/>
    </row>
    <row r="135" spans="1:42" x14ac:dyDescent="0.55000000000000004">
      <c r="A135" t="str">
        <f t="shared" si="2"/>
        <v/>
      </c>
      <c r="C135" s="103"/>
      <c r="D135" s="110"/>
      <c r="E135" s="110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49"/>
      <c r="V135" s="49"/>
      <c r="W135" s="49"/>
      <c r="X135" s="49"/>
      <c r="Y135" s="49"/>
      <c r="Z135" s="49"/>
      <c r="AA135" s="49"/>
      <c r="AB135" s="49"/>
      <c r="AC135" s="49"/>
      <c r="AD135" s="113"/>
      <c r="AE135" s="49"/>
      <c r="AF135" s="50"/>
      <c r="AG135" s="50"/>
      <c r="AH135" s="50"/>
      <c r="AI135" s="50"/>
      <c r="AJ135" s="50"/>
      <c r="AK135" s="50"/>
      <c r="AL135" s="50"/>
      <c r="AM135" s="50"/>
      <c r="AN135" s="50"/>
      <c r="AO135" s="9"/>
      <c r="AP135" s="9"/>
    </row>
    <row r="136" spans="1:42" x14ac:dyDescent="0.55000000000000004">
      <c r="A136" t="str">
        <f t="shared" si="2"/>
        <v/>
      </c>
      <c r="C136" s="103"/>
      <c r="D136" s="110"/>
      <c r="E136" s="110"/>
      <c r="F136" s="110"/>
      <c r="G136" s="110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49"/>
      <c r="V136" s="49"/>
      <c r="W136" s="49"/>
      <c r="X136" s="49"/>
      <c r="Y136" s="49"/>
      <c r="Z136" s="49"/>
      <c r="AA136" s="49"/>
      <c r="AB136" s="49"/>
      <c r="AC136" s="49"/>
      <c r="AD136" s="113"/>
      <c r="AE136" s="49"/>
      <c r="AF136" s="50"/>
      <c r="AG136" s="50"/>
      <c r="AH136" s="50"/>
      <c r="AI136" s="50"/>
      <c r="AJ136" s="50"/>
      <c r="AK136" s="50"/>
      <c r="AL136" s="50"/>
      <c r="AM136" s="50"/>
      <c r="AN136" s="50"/>
      <c r="AO136" s="9"/>
      <c r="AP136" s="9"/>
    </row>
    <row r="137" spans="1:42" x14ac:dyDescent="0.55000000000000004">
      <c r="A137" t="str">
        <f t="shared" si="2"/>
        <v/>
      </c>
      <c r="C137" s="103"/>
      <c r="D137" s="110"/>
      <c r="E137" s="110"/>
      <c r="F137" s="110"/>
      <c r="G137" s="110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49"/>
      <c r="V137" s="49"/>
      <c r="W137" s="49"/>
      <c r="X137" s="49"/>
      <c r="Y137" s="49"/>
      <c r="Z137" s="49"/>
      <c r="AA137" s="49"/>
      <c r="AB137" s="49"/>
      <c r="AC137" s="49"/>
      <c r="AD137" s="113"/>
      <c r="AE137" s="49"/>
      <c r="AF137" s="50"/>
      <c r="AG137" s="50"/>
      <c r="AH137" s="50"/>
      <c r="AI137" s="50"/>
      <c r="AJ137" s="50"/>
      <c r="AK137" s="50"/>
      <c r="AL137" s="50"/>
      <c r="AM137" s="50"/>
      <c r="AN137" s="50"/>
      <c r="AO137" s="9"/>
      <c r="AP137" s="9"/>
    </row>
    <row r="138" spans="1:42" x14ac:dyDescent="0.55000000000000004">
      <c r="A138" t="str">
        <f t="shared" si="2"/>
        <v/>
      </c>
      <c r="C138" s="103"/>
      <c r="D138" s="110"/>
      <c r="E138" s="110"/>
      <c r="F138" s="110"/>
      <c r="G138" s="110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49"/>
      <c r="V138" s="49"/>
      <c r="W138" s="49"/>
      <c r="X138" s="49"/>
      <c r="Y138" s="49"/>
      <c r="Z138" s="49"/>
      <c r="AA138" s="49"/>
      <c r="AB138" s="49"/>
      <c r="AC138" s="49"/>
      <c r="AD138" s="113"/>
      <c r="AE138" s="49"/>
      <c r="AF138" s="50"/>
      <c r="AG138" s="50"/>
      <c r="AH138" s="50"/>
      <c r="AI138" s="50"/>
      <c r="AJ138" s="50"/>
      <c r="AK138" s="50"/>
      <c r="AL138" s="50"/>
      <c r="AM138" s="50"/>
      <c r="AN138" s="50"/>
      <c r="AO138" s="9"/>
      <c r="AP138" s="9"/>
    </row>
    <row r="139" spans="1:42" x14ac:dyDescent="0.55000000000000004">
      <c r="A139" t="str">
        <f t="shared" si="2"/>
        <v/>
      </c>
      <c r="C139" s="103"/>
      <c r="D139" s="110"/>
      <c r="E139" s="110"/>
      <c r="F139" s="110"/>
      <c r="G139" s="110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49"/>
      <c r="V139" s="49"/>
      <c r="W139" s="49"/>
      <c r="X139" s="49"/>
      <c r="Y139" s="49"/>
      <c r="Z139" s="49"/>
      <c r="AA139" s="49"/>
      <c r="AB139" s="49"/>
      <c r="AC139" s="49"/>
      <c r="AD139" s="113"/>
      <c r="AE139" s="49"/>
      <c r="AF139" s="50"/>
      <c r="AG139" s="50"/>
      <c r="AH139" s="50"/>
      <c r="AI139" s="50"/>
      <c r="AJ139" s="50"/>
      <c r="AK139" s="50"/>
      <c r="AL139" s="50"/>
      <c r="AM139" s="50"/>
      <c r="AN139" s="50"/>
      <c r="AO139" s="9"/>
      <c r="AP139" s="9"/>
    </row>
    <row r="140" spans="1:42" x14ac:dyDescent="0.55000000000000004">
      <c r="A140" t="str">
        <f t="shared" si="2"/>
        <v/>
      </c>
      <c r="C140" s="103"/>
      <c r="D140" s="110"/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49"/>
      <c r="V140" s="49"/>
      <c r="W140" s="49"/>
      <c r="X140" s="49"/>
      <c r="Y140" s="49"/>
      <c r="Z140" s="49"/>
      <c r="AA140" s="49"/>
      <c r="AB140" s="49"/>
      <c r="AC140" s="49"/>
      <c r="AD140" s="113"/>
      <c r="AE140" s="49"/>
      <c r="AF140" s="50"/>
      <c r="AG140" s="50"/>
      <c r="AH140" s="50"/>
      <c r="AI140" s="50"/>
      <c r="AJ140" s="50"/>
      <c r="AK140" s="50"/>
      <c r="AL140" s="50"/>
      <c r="AM140" s="50"/>
      <c r="AN140" s="50"/>
      <c r="AO140" s="9"/>
      <c r="AP140" s="9"/>
    </row>
    <row r="141" spans="1:42" x14ac:dyDescent="0.55000000000000004">
      <c r="A141" t="str">
        <f t="shared" si="2"/>
        <v/>
      </c>
      <c r="C141" s="103"/>
      <c r="D141" s="110"/>
      <c r="E141" s="110"/>
      <c r="F141" s="110"/>
      <c r="G141" s="110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49"/>
      <c r="V141" s="49"/>
      <c r="W141" s="49"/>
      <c r="X141" s="49"/>
      <c r="Y141" s="49"/>
      <c r="Z141" s="49"/>
      <c r="AA141" s="49"/>
      <c r="AB141" s="49"/>
      <c r="AC141" s="49"/>
      <c r="AD141" s="113"/>
      <c r="AE141" s="49"/>
      <c r="AF141" s="50"/>
      <c r="AG141" s="50"/>
      <c r="AH141" s="50"/>
      <c r="AI141" s="50"/>
      <c r="AJ141" s="50"/>
      <c r="AK141" s="50"/>
      <c r="AL141" s="50"/>
      <c r="AM141" s="50"/>
      <c r="AN141" s="50"/>
      <c r="AO141" s="9"/>
      <c r="AP141" s="9"/>
    </row>
    <row r="142" spans="1:42" x14ac:dyDescent="0.55000000000000004">
      <c r="A142" t="str">
        <f t="shared" si="2"/>
        <v/>
      </c>
      <c r="C142" s="103"/>
      <c r="D142" s="110"/>
      <c r="E142" s="110"/>
      <c r="F142" s="110"/>
      <c r="G142" s="110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49"/>
      <c r="V142" s="49"/>
      <c r="W142" s="49"/>
      <c r="X142" s="49"/>
      <c r="Y142" s="49"/>
      <c r="Z142" s="49"/>
      <c r="AA142" s="49"/>
      <c r="AB142" s="49"/>
      <c r="AC142" s="49"/>
      <c r="AD142" s="113"/>
      <c r="AE142" s="49"/>
      <c r="AF142" s="50"/>
      <c r="AG142" s="50"/>
      <c r="AH142" s="50"/>
      <c r="AI142" s="50"/>
      <c r="AJ142" s="50"/>
      <c r="AK142" s="50"/>
      <c r="AL142" s="50"/>
      <c r="AM142" s="50"/>
      <c r="AN142" s="50"/>
      <c r="AO142" s="9"/>
      <c r="AP142" s="9"/>
    </row>
    <row r="143" spans="1:42" x14ac:dyDescent="0.55000000000000004">
      <c r="A143" t="str">
        <f t="shared" si="2"/>
        <v/>
      </c>
      <c r="C143" s="103"/>
      <c r="D143" s="110"/>
      <c r="E143" s="110"/>
      <c r="F143" s="110"/>
      <c r="G143" s="110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49"/>
      <c r="V143" s="49"/>
      <c r="W143" s="49"/>
      <c r="X143" s="49"/>
      <c r="Y143" s="49"/>
      <c r="Z143" s="49"/>
      <c r="AA143" s="49"/>
      <c r="AB143" s="49"/>
      <c r="AC143" s="49"/>
      <c r="AD143" s="113"/>
      <c r="AE143" s="49"/>
      <c r="AF143" s="50"/>
      <c r="AG143" s="50"/>
      <c r="AH143" s="50"/>
      <c r="AI143" s="50"/>
      <c r="AJ143" s="50"/>
      <c r="AK143" s="50"/>
      <c r="AL143" s="50"/>
      <c r="AM143" s="50"/>
      <c r="AN143" s="50"/>
      <c r="AO143" s="9"/>
      <c r="AP143" s="9"/>
    </row>
    <row r="144" spans="1:42" x14ac:dyDescent="0.55000000000000004">
      <c r="A144" t="str">
        <f t="shared" si="2"/>
        <v/>
      </c>
      <c r="C144" s="103"/>
      <c r="D144" s="110"/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49"/>
      <c r="V144" s="49"/>
      <c r="W144" s="49"/>
      <c r="X144" s="49"/>
      <c r="Y144" s="49"/>
      <c r="Z144" s="49"/>
      <c r="AA144" s="49"/>
      <c r="AB144" s="49"/>
      <c r="AC144" s="49"/>
      <c r="AD144" s="113"/>
      <c r="AE144" s="49"/>
      <c r="AF144" s="50"/>
      <c r="AG144" s="50"/>
      <c r="AH144" s="50"/>
      <c r="AI144" s="50"/>
      <c r="AJ144" s="50"/>
      <c r="AK144" s="50"/>
      <c r="AL144" s="50"/>
      <c r="AM144" s="50"/>
      <c r="AN144" s="50"/>
      <c r="AO144" s="9"/>
      <c r="AP144" s="9"/>
    </row>
    <row r="145" spans="1:42" x14ac:dyDescent="0.55000000000000004">
      <c r="A145" t="str">
        <f t="shared" si="2"/>
        <v/>
      </c>
      <c r="C145" s="103"/>
      <c r="D145" s="110"/>
      <c r="E145" s="110"/>
      <c r="F145" s="110"/>
      <c r="G145" s="110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49"/>
      <c r="V145" s="49"/>
      <c r="W145" s="49"/>
      <c r="X145" s="49"/>
      <c r="Y145" s="49"/>
      <c r="Z145" s="49"/>
      <c r="AA145" s="49"/>
      <c r="AB145" s="49"/>
      <c r="AC145" s="49"/>
      <c r="AD145" s="113"/>
      <c r="AE145" s="49"/>
      <c r="AF145" s="50"/>
      <c r="AG145" s="50"/>
      <c r="AH145" s="50"/>
      <c r="AI145" s="50"/>
      <c r="AJ145" s="50"/>
      <c r="AK145" s="50"/>
      <c r="AL145" s="50"/>
      <c r="AM145" s="50"/>
      <c r="AN145" s="50"/>
      <c r="AO145" s="9"/>
      <c r="AP145" s="9"/>
    </row>
    <row r="146" spans="1:42" x14ac:dyDescent="0.55000000000000004">
      <c r="A146" t="str">
        <f t="shared" si="2"/>
        <v/>
      </c>
      <c r="C146" s="103"/>
      <c r="D146" s="110"/>
      <c r="E146" s="110"/>
      <c r="F146" s="110"/>
      <c r="G146" s="110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49"/>
      <c r="V146" s="49"/>
      <c r="W146" s="49"/>
      <c r="X146" s="49"/>
      <c r="Y146" s="49"/>
      <c r="Z146" s="49"/>
      <c r="AA146" s="49"/>
      <c r="AB146" s="49"/>
      <c r="AC146" s="49"/>
      <c r="AD146" s="113"/>
      <c r="AE146" s="49"/>
      <c r="AF146" s="50"/>
      <c r="AG146" s="50"/>
      <c r="AH146" s="50"/>
      <c r="AI146" s="50"/>
      <c r="AJ146" s="50"/>
      <c r="AK146" s="50"/>
      <c r="AL146" s="50"/>
      <c r="AM146" s="64"/>
      <c r="AN146" s="50"/>
      <c r="AO146" s="9"/>
      <c r="AP146" s="9"/>
    </row>
    <row r="147" spans="1:42" x14ac:dyDescent="0.55000000000000004">
      <c r="A147" t="str">
        <f t="shared" si="2"/>
        <v/>
      </c>
      <c r="C147" s="103"/>
      <c r="D147" s="110"/>
      <c r="E147" s="110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49"/>
      <c r="V147" s="49"/>
      <c r="W147" s="49"/>
      <c r="X147" s="49"/>
      <c r="Y147" s="49"/>
      <c r="Z147" s="49"/>
      <c r="AA147" s="49"/>
      <c r="AB147" s="49"/>
      <c r="AC147" s="49"/>
      <c r="AD147" s="113"/>
      <c r="AE147" s="49"/>
      <c r="AF147" s="50"/>
      <c r="AG147" s="50"/>
      <c r="AH147" s="50"/>
      <c r="AI147" s="50"/>
      <c r="AJ147" s="50"/>
      <c r="AK147" s="50"/>
      <c r="AL147" s="50"/>
      <c r="AM147" s="64"/>
      <c r="AN147" s="50"/>
      <c r="AO147" s="9"/>
      <c r="AP147" s="9"/>
    </row>
    <row r="148" spans="1:42" x14ac:dyDescent="0.55000000000000004">
      <c r="A148" t="str">
        <f t="shared" si="2"/>
        <v/>
      </c>
      <c r="C148" s="103"/>
      <c r="D148" s="110"/>
      <c r="E148" s="110"/>
      <c r="F148" s="110"/>
      <c r="G148" s="110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49"/>
      <c r="V148" s="49"/>
      <c r="W148" s="49"/>
      <c r="X148" s="49"/>
      <c r="Y148" s="49"/>
      <c r="Z148" s="49"/>
      <c r="AA148" s="49"/>
      <c r="AB148" s="49"/>
      <c r="AC148" s="49"/>
      <c r="AD148" s="113"/>
      <c r="AE148" s="49"/>
      <c r="AF148" s="50"/>
      <c r="AG148" s="50"/>
      <c r="AH148" s="50"/>
      <c r="AI148" s="50"/>
      <c r="AJ148" s="50"/>
      <c r="AK148" s="50"/>
      <c r="AL148" s="50"/>
      <c r="AM148" s="64"/>
      <c r="AN148" s="50"/>
      <c r="AO148" s="9"/>
      <c r="AP148" s="9"/>
    </row>
    <row r="149" spans="1:42" x14ac:dyDescent="0.55000000000000004">
      <c r="A149" t="str">
        <f t="shared" si="2"/>
        <v/>
      </c>
      <c r="C149" s="103"/>
      <c r="D149" s="110"/>
      <c r="E149" s="110"/>
      <c r="F149" s="110"/>
      <c r="G149" s="110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49"/>
      <c r="V149" s="49"/>
      <c r="W149" s="49"/>
      <c r="X149" s="49"/>
      <c r="Y149" s="49"/>
      <c r="Z149" s="49"/>
      <c r="AA149" s="49"/>
      <c r="AB149" s="49"/>
      <c r="AC149" s="49"/>
      <c r="AD149" s="113"/>
      <c r="AE149" s="49"/>
      <c r="AF149" s="50"/>
      <c r="AG149" s="50"/>
      <c r="AH149" s="50"/>
      <c r="AI149" s="50"/>
      <c r="AJ149" s="50"/>
      <c r="AK149" s="50"/>
      <c r="AL149" s="50"/>
      <c r="AM149" s="64"/>
      <c r="AN149" s="50"/>
      <c r="AO149" s="9"/>
      <c r="AP149" s="9"/>
    </row>
    <row r="150" spans="1:42" x14ac:dyDescent="0.55000000000000004">
      <c r="A150" t="str">
        <f t="shared" si="2"/>
        <v/>
      </c>
      <c r="C150" s="103"/>
      <c r="D150" s="110"/>
      <c r="E150" s="110"/>
      <c r="F150" s="110"/>
      <c r="G150" s="110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49"/>
      <c r="V150" s="49"/>
      <c r="W150" s="49"/>
      <c r="X150" s="49"/>
      <c r="Y150" s="49"/>
      <c r="Z150" s="49"/>
      <c r="AA150" s="49"/>
      <c r="AB150" s="49"/>
      <c r="AC150" s="49"/>
      <c r="AD150" s="113"/>
      <c r="AE150" s="49"/>
      <c r="AF150" s="50"/>
      <c r="AG150" s="50"/>
      <c r="AH150" s="50"/>
      <c r="AI150" s="50"/>
      <c r="AJ150" s="50"/>
      <c r="AK150" s="50"/>
      <c r="AL150" s="50"/>
      <c r="AM150" s="64"/>
      <c r="AN150" s="50"/>
      <c r="AO150" s="9"/>
      <c r="AP150" s="9"/>
    </row>
    <row r="151" spans="1:42" x14ac:dyDescent="0.55000000000000004">
      <c r="A151" t="str">
        <f t="shared" si="2"/>
        <v/>
      </c>
      <c r="C151" s="103"/>
      <c r="D151" s="110"/>
      <c r="E151" s="110"/>
      <c r="F151" s="110"/>
      <c r="G151" s="110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49"/>
      <c r="V151" s="49"/>
      <c r="W151" s="49"/>
      <c r="X151" s="49"/>
      <c r="Y151" s="49"/>
      <c r="Z151" s="49"/>
      <c r="AA151" s="49"/>
      <c r="AB151" s="49"/>
      <c r="AC151" s="49"/>
      <c r="AD151" s="113"/>
      <c r="AE151" s="49"/>
      <c r="AF151" s="50"/>
      <c r="AG151" s="50"/>
      <c r="AH151" s="50"/>
      <c r="AI151" s="50"/>
      <c r="AJ151" s="50"/>
      <c r="AK151" s="50"/>
      <c r="AL151" s="50"/>
      <c r="AM151" s="64"/>
      <c r="AN151" s="50"/>
      <c r="AO151" s="9"/>
      <c r="AP151" s="9"/>
    </row>
    <row r="152" spans="1:42" x14ac:dyDescent="0.55000000000000004">
      <c r="A152" t="str">
        <f t="shared" si="2"/>
        <v/>
      </c>
      <c r="C152" s="103"/>
      <c r="D152" s="110"/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49"/>
      <c r="V152" s="49"/>
      <c r="W152" s="49"/>
      <c r="X152" s="49"/>
      <c r="Y152" s="49"/>
      <c r="Z152" s="49"/>
      <c r="AA152" s="49"/>
      <c r="AB152" s="49"/>
      <c r="AC152" s="49"/>
      <c r="AD152" s="113"/>
      <c r="AE152" s="49"/>
      <c r="AF152" s="50"/>
      <c r="AG152" s="50"/>
      <c r="AH152" s="50"/>
      <c r="AI152" s="50"/>
      <c r="AJ152" s="50"/>
      <c r="AK152" s="50"/>
      <c r="AL152" s="50"/>
      <c r="AM152" s="64"/>
      <c r="AN152" s="50"/>
      <c r="AO152" s="9"/>
      <c r="AP152" s="9"/>
    </row>
    <row r="153" spans="1:42" x14ac:dyDescent="0.55000000000000004">
      <c r="A153" t="str">
        <f t="shared" si="2"/>
        <v/>
      </c>
      <c r="C153" s="103"/>
      <c r="D153" s="110"/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49"/>
      <c r="V153" s="49"/>
      <c r="W153" s="49"/>
      <c r="X153" s="49"/>
      <c r="Y153" s="49"/>
      <c r="Z153" s="49"/>
      <c r="AA153" s="49"/>
      <c r="AB153" s="49"/>
      <c r="AC153" s="49"/>
      <c r="AD153" s="113"/>
      <c r="AE153" s="49"/>
      <c r="AF153" s="50"/>
      <c r="AG153" s="50"/>
      <c r="AH153" s="50"/>
      <c r="AI153" s="50"/>
      <c r="AJ153" s="50"/>
      <c r="AK153" s="50"/>
      <c r="AL153" s="50"/>
      <c r="AM153" s="64"/>
      <c r="AN153" s="50"/>
      <c r="AO153" s="9"/>
      <c r="AP153" s="9"/>
    </row>
    <row r="154" spans="1:42" x14ac:dyDescent="0.55000000000000004">
      <c r="A154" t="str">
        <f t="shared" si="2"/>
        <v/>
      </c>
      <c r="C154" s="103"/>
      <c r="D154" s="110"/>
      <c r="E154" s="110"/>
      <c r="F154" s="110"/>
      <c r="G154" s="110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49"/>
      <c r="V154" s="49"/>
      <c r="W154" s="49"/>
      <c r="X154" s="49"/>
      <c r="Y154" s="49"/>
      <c r="Z154" s="49"/>
      <c r="AA154" s="49"/>
      <c r="AB154" s="49"/>
      <c r="AC154" s="49"/>
      <c r="AD154" s="113"/>
      <c r="AE154" s="49"/>
      <c r="AF154" s="50"/>
      <c r="AG154" s="50"/>
      <c r="AH154" s="50"/>
      <c r="AI154" s="50"/>
      <c r="AJ154" s="50"/>
      <c r="AK154" s="50"/>
      <c r="AL154" s="50"/>
      <c r="AM154" s="64"/>
      <c r="AN154" s="50"/>
      <c r="AO154" s="9"/>
      <c r="AP154" s="9"/>
    </row>
    <row r="155" spans="1:42" x14ac:dyDescent="0.55000000000000004">
      <c r="A155" t="str">
        <f t="shared" si="2"/>
        <v/>
      </c>
      <c r="C155" s="103"/>
      <c r="D155" s="110"/>
      <c r="E155" s="110"/>
      <c r="F155" s="110"/>
      <c r="G155" s="110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49"/>
      <c r="V155" s="49"/>
      <c r="W155" s="49"/>
      <c r="X155" s="49"/>
      <c r="Y155" s="49"/>
      <c r="Z155" s="49"/>
      <c r="AA155" s="49"/>
      <c r="AB155" s="49"/>
      <c r="AC155" s="49"/>
      <c r="AD155" s="113"/>
      <c r="AE155" s="49"/>
      <c r="AF155" s="50"/>
      <c r="AG155" s="50"/>
      <c r="AH155" s="50"/>
      <c r="AI155" s="50"/>
      <c r="AJ155" s="50"/>
      <c r="AK155" s="50"/>
      <c r="AL155" s="50"/>
      <c r="AM155" s="64"/>
      <c r="AN155" s="50"/>
      <c r="AO155" s="9"/>
      <c r="AP155" s="9"/>
    </row>
    <row r="156" spans="1:42" x14ac:dyDescent="0.55000000000000004">
      <c r="A156" t="str">
        <f t="shared" si="2"/>
        <v/>
      </c>
      <c r="C156" s="103"/>
      <c r="D156" s="110"/>
      <c r="E156" s="110"/>
      <c r="F156" s="110"/>
      <c r="G156" s="110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49"/>
      <c r="V156" s="49"/>
      <c r="W156" s="49"/>
      <c r="X156" s="49"/>
      <c r="Y156" s="49"/>
      <c r="Z156" s="49"/>
      <c r="AA156" s="49"/>
      <c r="AB156" s="49"/>
      <c r="AC156" s="49"/>
      <c r="AD156" s="113"/>
      <c r="AE156" s="49"/>
      <c r="AF156" s="50"/>
      <c r="AG156" s="50"/>
      <c r="AH156" s="50"/>
      <c r="AI156" s="50"/>
      <c r="AJ156" s="50"/>
      <c r="AK156" s="50"/>
      <c r="AL156" s="50"/>
      <c r="AM156" s="64"/>
      <c r="AN156" s="50"/>
      <c r="AO156" s="9"/>
      <c r="AP156" s="9"/>
    </row>
    <row r="157" spans="1:42" x14ac:dyDescent="0.55000000000000004">
      <c r="A157" t="str">
        <f t="shared" si="2"/>
        <v/>
      </c>
      <c r="C157" s="103"/>
      <c r="D157" s="110"/>
      <c r="E157" s="110"/>
      <c r="F157" s="110"/>
      <c r="G157" s="110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49"/>
      <c r="V157" s="49"/>
      <c r="W157" s="49"/>
      <c r="X157" s="49"/>
      <c r="Y157" s="49"/>
      <c r="Z157" s="49"/>
      <c r="AA157" s="49"/>
      <c r="AB157" s="49"/>
      <c r="AC157" s="49"/>
      <c r="AD157" s="113"/>
      <c r="AE157" s="49"/>
      <c r="AF157" s="50"/>
      <c r="AG157" s="50"/>
      <c r="AH157" s="50"/>
      <c r="AI157" s="50"/>
      <c r="AJ157" s="50"/>
      <c r="AK157" s="50"/>
      <c r="AL157" s="50"/>
      <c r="AM157" s="64"/>
      <c r="AN157" s="50"/>
      <c r="AO157" s="9"/>
      <c r="AP157" s="9"/>
    </row>
    <row r="158" spans="1:42" x14ac:dyDescent="0.55000000000000004">
      <c r="A158" t="str">
        <f t="shared" si="2"/>
        <v/>
      </c>
      <c r="C158" s="103"/>
      <c r="D158" s="110"/>
      <c r="E158" s="110"/>
      <c r="F158" s="110"/>
      <c r="G158" s="110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49"/>
      <c r="V158" s="49"/>
      <c r="W158" s="49"/>
      <c r="X158" s="49"/>
      <c r="Y158" s="49"/>
      <c r="Z158" s="49"/>
      <c r="AA158" s="49"/>
      <c r="AB158" s="49"/>
      <c r="AC158" s="49"/>
      <c r="AD158" s="113"/>
      <c r="AE158" s="49"/>
      <c r="AF158" s="51"/>
      <c r="AG158" s="51"/>
      <c r="AH158" s="51"/>
      <c r="AI158" s="51"/>
      <c r="AJ158" s="51"/>
      <c r="AK158" s="50"/>
      <c r="AL158" s="50"/>
      <c r="AM158" s="50"/>
      <c r="AN158" s="50"/>
      <c r="AO158" s="9"/>
      <c r="AP158" s="9"/>
    </row>
    <row r="159" spans="1:42" x14ac:dyDescent="0.55000000000000004">
      <c r="A159" t="str">
        <f t="shared" si="2"/>
        <v/>
      </c>
      <c r="C159" s="103"/>
      <c r="D159" s="110"/>
      <c r="E159" s="110"/>
      <c r="F159" s="110"/>
      <c r="G159" s="110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49"/>
      <c r="V159" s="49"/>
      <c r="W159" s="49"/>
      <c r="X159" s="49"/>
      <c r="Y159" s="49"/>
      <c r="Z159" s="49"/>
      <c r="AA159" s="49"/>
      <c r="AB159" s="49"/>
      <c r="AC159" s="49"/>
      <c r="AD159" s="113"/>
      <c r="AE159" s="49"/>
      <c r="AF159" s="51"/>
      <c r="AG159" s="51"/>
      <c r="AH159" s="51"/>
      <c r="AI159" s="51"/>
      <c r="AJ159" s="51"/>
      <c r="AK159" s="50"/>
      <c r="AL159" s="50"/>
      <c r="AM159" s="64"/>
      <c r="AN159" s="50"/>
      <c r="AO159" s="9"/>
      <c r="AP159" s="9"/>
    </row>
    <row r="160" spans="1:42" x14ac:dyDescent="0.55000000000000004">
      <c r="A160" t="str">
        <f t="shared" si="2"/>
        <v/>
      </c>
      <c r="C160" s="103"/>
      <c r="D160" s="110"/>
      <c r="E160" s="110"/>
      <c r="F160" s="110"/>
      <c r="G160" s="110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49"/>
      <c r="V160" s="49"/>
      <c r="W160" s="49"/>
      <c r="X160" s="49"/>
      <c r="Y160" s="49"/>
      <c r="Z160" s="49"/>
      <c r="AA160" s="49"/>
      <c r="AB160" s="49"/>
      <c r="AC160" s="49"/>
      <c r="AD160" s="113"/>
      <c r="AE160" s="49"/>
      <c r="AF160" s="51"/>
      <c r="AG160" s="51"/>
      <c r="AH160" s="51"/>
      <c r="AI160" s="51"/>
      <c r="AJ160" s="51"/>
      <c r="AK160" s="50"/>
      <c r="AL160" s="50"/>
      <c r="AM160" s="64"/>
      <c r="AN160" s="50"/>
      <c r="AO160" s="9"/>
      <c r="AP160" s="9"/>
    </row>
    <row r="161" spans="1:42" x14ac:dyDescent="0.55000000000000004">
      <c r="A161" t="str">
        <f t="shared" si="2"/>
        <v/>
      </c>
      <c r="C161" s="103"/>
      <c r="D161" s="110"/>
      <c r="E161" s="110"/>
      <c r="F161" s="110"/>
      <c r="G161" s="110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49"/>
      <c r="V161" s="49"/>
      <c r="W161" s="49"/>
      <c r="X161" s="49"/>
      <c r="Y161" s="49"/>
      <c r="Z161" s="49"/>
      <c r="AA161" s="49"/>
      <c r="AB161" s="49"/>
      <c r="AC161" s="49"/>
      <c r="AD161" s="113"/>
      <c r="AE161" s="49"/>
      <c r="AF161" s="51"/>
      <c r="AG161" s="51"/>
      <c r="AH161" s="51"/>
      <c r="AI161" s="51"/>
      <c r="AJ161" s="51"/>
      <c r="AK161" s="50"/>
      <c r="AL161" s="50"/>
      <c r="AM161" s="50"/>
      <c r="AN161" s="50"/>
      <c r="AO161" s="9"/>
      <c r="AP161" s="9"/>
    </row>
    <row r="162" spans="1:42" x14ac:dyDescent="0.55000000000000004">
      <c r="A162" t="str">
        <f t="shared" si="2"/>
        <v/>
      </c>
      <c r="C162" s="103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49"/>
      <c r="V162" s="49"/>
      <c r="W162" s="49"/>
      <c r="X162" s="49"/>
      <c r="Y162" s="49"/>
      <c r="Z162" s="49"/>
      <c r="AA162" s="49"/>
      <c r="AB162" s="49"/>
      <c r="AC162" s="49"/>
      <c r="AD162" s="113"/>
      <c r="AE162" s="49"/>
      <c r="AF162" s="51"/>
      <c r="AG162" s="51"/>
      <c r="AH162" s="51"/>
      <c r="AI162" s="51"/>
      <c r="AJ162" s="51"/>
      <c r="AK162" s="50"/>
      <c r="AL162" s="50"/>
      <c r="AM162" s="64"/>
      <c r="AN162" s="50"/>
      <c r="AO162" s="9"/>
      <c r="AP162" s="9"/>
    </row>
    <row r="163" spans="1:42" x14ac:dyDescent="0.55000000000000004">
      <c r="A163" t="str">
        <f t="shared" si="2"/>
        <v/>
      </c>
      <c r="C163" s="103"/>
      <c r="D163" s="110"/>
      <c r="E163" s="110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49"/>
      <c r="V163" s="49"/>
      <c r="W163" s="49"/>
      <c r="X163" s="49"/>
      <c r="Y163" s="49"/>
      <c r="Z163" s="49"/>
      <c r="AA163" s="49"/>
      <c r="AB163" s="49"/>
      <c r="AC163" s="49"/>
      <c r="AD163" s="113"/>
      <c r="AE163" s="49"/>
      <c r="AF163" s="51"/>
      <c r="AG163" s="51"/>
      <c r="AH163" s="51"/>
      <c r="AI163" s="51"/>
      <c r="AJ163" s="51"/>
      <c r="AK163" s="50"/>
      <c r="AL163" s="50"/>
      <c r="AM163" s="64"/>
      <c r="AN163" s="50"/>
      <c r="AO163" s="9"/>
      <c r="AP163" s="9"/>
    </row>
    <row r="164" spans="1:42" x14ac:dyDescent="0.55000000000000004">
      <c r="A164" t="str">
        <f t="shared" si="2"/>
        <v/>
      </c>
      <c r="C164" s="103"/>
      <c r="D164" s="110"/>
      <c r="E164" s="110"/>
      <c r="F164" s="110"/>
      <c r="G164" s="110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49"/>
      <c r="V164" s="49"/>
      <c r="W164" s="49"/>
      <c r="X164" s="49"/>
      <c r="Y164" s="49"/>
      <c r="Z164" s="49"/>
      <c r="AA164" s="49"/>
      <c r="AB164" s="49"/>
      <c r="AC164" s="49"/>
      <c r="AD164" s="113"/>
      <c r="AE164" s="49"/>
      <c r="AF164" s="50"/>
      <c r="AG164" s="50"/>
      <c r="AH164" s="50"/>
      <c r="AI164" s="50"/>
      <c r="AJ164" s="50"/>
      <c r="AK164" s="50"/>
      <c r="AL164" s="50"/>
      <c r="AM164" s="64"/>
      <c r="AN164" s="50"/>
      <c r="AO164" s="9"/>
      <c r="AP164" s="9"/>
    </row>
    <row r="165" spans="1:42" x14ac:dyDescent="0.55000000000000004">
      <c r="A165" t="str">
        <f t="shared" si="2"/>
        <v/>
      </c>
      <c r="C165" s="103"/>
      <c r="D165" s="110"/>
      <c r="E165" s="110"/>
      <c r="F165" s="110"/>
      <c r="G165" s="110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49"/>
      <c r="V165" s="49"/>
      <c r="W165" s="49"/>
      <c r="X165" s="49"/>
      <c r="Y165" s="49"/>
      <c r="Z165" s="49"/>
      <c r="AA165" s="49"/>
      <c r="AB165" s="49"/>
      <c r="AC165" s="49"/>
      <c r="AD165" s="113"/>
      <c r="AE165" s="49"/>
      <c r="AF165" s="51"/>
      <c r="AG165" s="51"/>
      <c r="AH165" s="51"/>
      <c r="AI165" s="51"/>
      <c r="AJ165" s="51"/>
      <c r="AK165" s="50"/>
      <c r="AL165" s="50"/>
      <c r="AM165" s="50"/>
      <c r="AN165" s="50"/>
      <c r="AO165" s="9"/>
      <c r="AP165" s="9"/>
    </row>
    <row r="166" spans="1:42" x14ac:dyDescent="0.55000000000000004">
      <c r="A166" t="str">
        <f t="shared" si="2"/>
        <v/>
      </c>
      <c r="C166" s="103"/>
      <c r="D166" s="110"/>
      <c r="E166" s="110"/>
      <c r="F166" s="110"/>
      <c r="G166" s="110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49"/>
      <c r="V166" s="49"/>
      <c r="W166" s="49"/>
      <c r="X166" s="49"/>
      <c r="Y166" s="49"/>
      <c r="Z166" s="49"/>
      <c r="AA166" s="49"/>
      <c r="AB166" s="49"/>
      <c r="AC166" s="49"/>
      <c r="AD166" s="113"/>
      <c r="AE166" s="49"/>
      <c r="AF166" s="51"/>
      <c r="AG166" s="51"/>
      <c r="AH166" s="51"/>
      <c r="AI166" s="51"/>
      <c r="AJ166" s="51"/>
      <c r="AK166" s="50"/>
      <c r="AL166" s="50"/>
      <c r="AM166" s="50"/>
      <c r="AN166" s="50"/>
      <c r="AO166" s="9"/>
      <c r="AP166" s="9"/>
    </row>
    <row r="167" spans="1:42" x14ac:dyDescent="0.55000000000000004">
      <c r="A167" t="str">
        <f t="shared" si="2"/>
        <v/>
      </c>
      <c r="C167" s="103"/>
      <c r="D167" s="110"/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49"/>
      <c r="V167" s="49"/>
      <c r="W167" s="49"/>
      <c r="X167" s="49"/>
      <c r="Y167" s="49"/>
      <c r="Z167" s="49"/>
      <c r="AA167" s="49"/>
      <c r="AB167" s="49"/>
      <c r="AC167" s="49"/>
      <c r="AD167" s="113"/>
      <c r="AE167" s="49"/>
      <c r="AF167" s="51"/>
      <c r="AG167" s="51"/>
      <c r="AH167" s="51"/>
      <c r="AI167" s="51"/>
      <c r="AJ167" s="51"/>
      <c r="AK167" s="50"/>
      <c r="AL167" s="50"/>
      <c r="AM167" s="50"/>
      <c r="AN167" s="50"/>
      <c r="AO167" s="9"/>
      <c r="AP167" s="9"/>
    </row>
    <row r="168" spans="1:42" x14ac:dyDescent="0.55000000000000004">
      <c r="A168" t="str">
        <f t="shared" si="2"/>
        <v/>
      </c>
      <c r="C168" s="103"/>
      <c r="D168" s="110"/>
      <c r="E168" s="110"/>
      <c r="F168" s="110"/>
      <c r="G168" s="110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49"/>
      <c r="V168" s="49"/>
      <c r="W168" s="49"/>
      <c r="X168" s="49"/>
      <c r="Y168" s="49"/>
      <c r="Z168" s="49"/>
      <c r="AA168" s="49"/>
      <c r="AB168" s="49"/>
      <c r="AC168" s="49"/>
      <c r="AD168" s="113"/>
      <c r="AE168" s="49"/>
      <c r="AF168" s="51"/>
      <c r="AG168" s="51"/>
      <c r="AH168" s="51"/>
      <c r="AI168" s="51"/>
      <c r="AJ168" s="51"/>
      <c r="AK168" s="50"/>
      <c r="AL168" s="50"/>
      <c r="AM168" s="50"/>
      <c r="AN168" s="50"/>
      <c r="AO168" s="9"/>
      <c r="AP168" s="9"/>
    </row>
    <row r="169" spans="1:42" x14ac:dyDescent="0.55000000000000004">
      <c r="A169" t="str">
        <f t="shared" si="2"/>
        <v/>
      </c>
      <c r="C169" s="103"/>
      <c r="D169" s="110"/>
      <c r="E169" s="110"/>
      <c r="F169" s="110"/>
      <c r="G169" s="110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49"/>
      <c r="V169" s="49"/>
      <c r="W169" s="49"/>
      <c r="X169" s="49"/>
      <c r="Y169" s="49"/>
      <c r="Z169" s="49"/>
      <c r="AA169" s="49"/>
      <c r="AB169" s="49"/>
      <c r="AC169" s="49"/>
      <c r="AD169" s="113"/>
      <c r="AE169" s="49"/>
      <c r="AF169" s="52"/>
      <c r="AG169" s="52"/>
      <c r="AH169" s="52"/>
      <c r="AI169" s="52"/>
      <c r="AJ169" s="52"/>
      <c r="AK169" s="50"/>
      <c r="AL169" s="50"/>
      <c r="AM169" s="50"/>
      <c r="AN169" s="50"/>
      <c r="AO169" s="9"/>
      <c r="AP169" s="9"/>
    </row>
    <row r="170" spans="1:42" x14ac:dyDescent="0.55000000000000004">
      <c r="A170" t="str">
        <f t="shared" si="2"/>
        <v/>
      </c>
      <c r="C170" s="103"/>
      <c r="D170" s="110"/>
      <c r="E170" s="110"/>
      <c r="F170" s="110"/>
      <c r="G170" s="110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49"/>
      <c r="V170" s="49"/>
      <c r="W170" s="49"/>
      <c r="X170" s="49"/>
      <c r="Y170" s="49"/>
      <c r="Z170" s="49"/>
      <c r="AA170" s="49"/>
      <c r="AB170" s="49"/>
      <c r="AC170" s="49"/>
      <c r="AD170" s="113"/>
      <c r="AE170" s="49"/>
      <c r="AF170" s="50"/>
      <c r="AG170" s="50"/>
      <c r="AH170" s="50"/>
      <c r="AI170" s="50"/>
      <c r="AJ170" s="50"/>
      <c r="AK170" s="50"/>
      <c r="AL170" s="50"/>
      <c r="AM170" s="50"/>
      <c r="AN170" s="50"/>
      <c r="AO170" s="9"/>
      <c r="AP170" s="9"/>
    </row>
    <row r="171" spans="1:42" x14ac:dyDescent="0.55000000000000004">
      <c r="A171" t="str">
        <f t="shared" si="2"/>
        <v/>
      </c>
      <c r="C171" s="103"/>
      <c r="D171" s="110"/>
      <c r="E171" s="110"/>
      <c r="F171" s="110"/>
      <c r="G171" s="110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49"/>
      <c r="V171" s="49"/>
      <c r="W171" s="49"/>
      <c r="X171" s="49"/>
      <c r="Y171" s="49"/>
      <c r="Z171" s="49"/>
      <c r="AA171" s="49"/>
      <c r="AB171" s="49"/>
      <c r="AC171" s="49"/>
      <c r="AD171" s="113"/>
      <c r="AE171" s="49"/>
      <c r="AF171" s="50"/>
      <c r="AG171" s="50"/>
      <c r="AH171" s="50"/>
      <c r="AI171" s="50"/>
      <c r="AJ171" s="50"/>
      <c r="AK171" s="50"/>
      <c r="AL171" s="50"/>
      <c r="AM171" s="50"/>
      <c r="AN171" s="50"/>
      <c r="AO171" s="9"/>
      <c r="AP171" s="9"/>
    </row>
    <row r="172" spans="1:42" x14ac:dyDescent="0.55000000000000004">
      <c r="A172" t="str">
        <f t="shared" si="2"/>
        <v/>
      </c>
      <c r="C172" s="103"/>
      <c r="D172" s="110"/>
      <c r="E172" s="110"/>
      <c r="F172" s="110"/>
      <c r="G172" s="110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49"/>
      <c r="V172" s="49"/>
      <c r="W172" s="49"/>
      <c r="X172" s="49"/>
      <c r="Y172" s="49"/>
      <c r="Z172" s="49"/>
      <c r="AA172" s="49"/>
      <c r="AB172" s="49"/>
      <c r="AC172" s="49"/>
      <c r="AD172" s="113"/>
      <c r="AE172" s="49"/>
      <c r="AF172" s="52"/>
      <c r="AG172" s="52"/>
      <c r="AH172" s="52"/>
      <c r="AI172" s="52"/>
      <c r="AJ172" s="52"/>
      <c r="AK172" s="50"/>
      <c r="AL172" s="50"/>
      <c r="AM172" s="50"/>
      <c r="AN172" s="50"/>
      <c r="AO172" s="9"/>
      <c r="AP172" s="9"/>
    </row>
    <row r="173" spans="1:42" x14ac:dyDescent="0.55000000000000004">
      <c r="A173" t="str">
        <f t="shared" si="2"/>
        <v/>
      </c>
      <c r="C173" s="103"/>
      <c r="D173" s="110"/>
      <c r="E173" s="110"/>
      <c r="F173" s="110"/>
      <c r="G173" s="110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49"/>
      <c r="V173" s="49"/>
      <c r="W173" s="49"/>
      <c r="X173" s="49"/>
      <c r="Y173" s="49"/>
      <c r="Z173" s="49"/>
      <c r="AA173" s="49"/>
      <c r="AB173" s="49"/>
      <c r="AC173" s="49"/>
      <c r="AD173" s="113"/>
      <c r="AE173" s="49"/>
      <c r="AF173" s="52"/>
      <c r="AG173" s="52"/>
      <c r="AH173" s="52"/>
      <c r="AI173" s="52"/>
      <c r="AJ173" s="52"/>
      <c r="AK173" s="50"/>
      <c r="AL173" s="50"/>
      <c r="AM173" s="50"/>
      <c r="AN173" s="50"/>
      <c r="AO173" s="9"/>
      <c r="AP173" s="9"/>
    </row>
    <row r="174" spans="1:42" x14ac:dyDescent="0.55000000000000004">
      <c r="A174" t="str">
        <f t="shared" si="2"/>
        <v/>
      </c>
      <c r="C174" s="103"/>
      <c r="D174" s="110"/>
      <c r="E174" s="110"/>
      <c r="F174" s="110"/>
      <c r="G174" s="110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49"/>
      <c r="V174" s="49"/>
      <c r="W174" s="49"/>
      <c r="X174" s="49"/>
      <c r="Y174" s="49"/>
      <c r="Z174" s="49"/>
      <c r="AA174" s="49"/>
      <c r="AB174" s="49"/>
      <c r="AC174" s="49"/>
      <c r="AD174" s="113"/>
      <c r="AE174" s="49"/>
      <c r="AF174" s="50"/>
      <c r="AG174" s="50"/>
      <c r="AH174" s="50"/>
      <c r="AI174" s="50"/>
      <c r="AJ174" s="50"/>
      <c r="AK174" s="50"/>
      <c r="AL174" s="50"/>
      <c r="AM174" s="50"/>
      <c r="AN174" s="50"/>
      <c r="AO174" s="9"/>
      <c r="AP174" s="9"/>
    </row>
    <row r="175" spans="1:42" x14ac:dyDescent="0.55000000000000004">
      <c r="A175" t="str">
        <f t="shared" si="2"/>
        <v/>
      </c>
      <c r="C175" s="103"/>
      <c r="D175" s="110"/>
      <c r="E175" s="110"/>
      <c r="F175" s="110"/>
      <c r="G175" s="110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49"/>
      <c r="V175" s="49"/>
      <c r="W175" s="49"/>
      <c r="X175" s="49"/>
      <c r="Y175" s="49"/>
      <c r="Z175" s="49"/>
      <c r="AA175" s="49"/>
      <c r="AB175" s="49"/>
      <c r="AC175" s="49"/>
      <c r="AD175" s="113"/>
      <c r="AE175" s="49"/>
      <c r="AF175" s="52"/>
      <c r="AG175" s="52"/>
      <c r="AH175" s="52"/>
      <c r="AI175" s="52"/>
      <c r="AJ175" s="52"/>
      <c r="AK175" s="50"/>
      <c r="AL175" s="50"/>
      <c r="AM175" s="50"/>
      <c r="AN175" s="50"/>
      <c r="AO175" s="9"/>
      <c r="AP175" s="9"/>
    </row>
    <row r="176" spans="1:42" x14ac:dyDescent="0.55000000000000004">
      <c r="A176" t="str">
        <f t="shared" si="2"/>
        <v/>
      </c>
      <c r="C176" s="103"/>
      <c r="D176" s="110"/>
      <c r="E176" s="110"/>
      <c r="F176" s="110"/>
      <c r="G176" s="110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49"/>
      <c r="V176" s="49"/>
      <c r="W176" s="49"/>
      <c r="X176" s="49"/>
      <c r="Y176" s="49"/>
      <c r="Z176" s="49"/>
      <c r="AA176" s="49"/>
      <c r="AB176" s="49"/>
      <c r="AC176" s="49"/>
      <c r="AD176" s="113"/>
      <c r="AE176" s="49"/>
      <c r="AF176" s="67"/>
      <c r="AG176" s="50"/>
      <c r="AH176" s="50"/>
      <c r="AI176" s="50"/>
      <c r="AJ176" s="50"/>
      <c r="AK176" s="50"/>
      <c r="AL176" s="50"/>
      <c r="AM176" s="50"/>
      <c r="AN176" s="50"/>
      <c r="AO176" s="9"/>
      <c r="AP176" s="9"/>
    </row>
    <row r="177" spans="1:42" x14ac:dyDescent="0.55000000000000004">
      <c r="A177" t="str">
        <f t="shared" si="2"/>
        <v/>
      </c>
      <c r="C177" s="103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49"/>
      <c r="V177" s="49"/>
      <c r="W177" s="49"/>
      <c r="X177" s="49"/>
      <c r="Y177" s="49"/>
      <c r="Z177" s="49"/>
      <c r="AA177" s="49"/>
      <c r="AB177" s="49"/>
      <c r="AC177" s="49"/>
      <c r="AD177" s="113"/>
      <c r="AE177" s="49"/>
      <c r="AF177" s="67"/>
      <c r="AG177" s="50"/>
      <c r="AH177" s="50"/>
      <c r="AI177" s="50"/>
      <c r="AJ177" s="50"/>
      <c r="AK177" s="50"/>
      <c r="AL177" s="50"/>
      <c r="AM177" s="50"/>
      <c r="AN177" s="50"/>
      <c r="AO177" s="9"/>
      <c r="AP177" s="9"/>
    </row>
    <row r="178" spans="1:42" x14ac:dyDescent="0.55000000000000004">
      <c r="A178" t="str">
        <f t="shared" si="2"/>
        <v/>
      </c>
      <c r="C178" s="103"/>
      <c r="D178" s="110"/>
      <c r="E178" s="110"/>
      <c r="F178" s="110"/>
      <c r="G178" s="110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49"/>
      <c r="V178" s="49"/>
      <c r="W178" s="49"/>
      <c r="X178" s="49"/>
      <c r="Y178" s="49"/>
      <c r="Z178" s="49"/>
      <c r="AA178" s="49"/>
      <c r="AB178" s="49"/>
      <c r="AC178" s="49"/>
      <c r="AD178" s="113"/>
      <c r="AE178" s="49"/>
      <c r="AF178" s="51"/>
      <c r="AG178" s="51"/>
      <c r="AH178" s="51"/>
      <c r="AI178" s="51"/>
      <c r="AJ178" s="51"/>
      <c r="AK178" s="50"/>
      <c r="AL178" s="50"/>
      <c r="AM178" s="50"/>
      <c r="AN178" s="50"/>
      <c r="AO178" s="9"/>
      <c r="AP178" s="9"/>
    </row>
    <row r="179" spans="1:42" x14ac:dyDescent="0.55000000000000004">
      <c r="A179" t="str">
        <f t="shared" si="2"/>
        <v/>
      </c>
      <c r="C179" s="103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49"/>
      <c r="V179" s="49"/>
      <c r="W179" s="49"/>
      <c r="X179" s="49"/>
      <c r="Y179" s="49"/>
      <c r="Z179" s="49"/>
      <c r="AA179" s="49"/>
      <c r="AB179" s="49"/>
      <c r="AC179" s="49"/>
      <c r="AD179" s="113"/>
      <c r="AE179" s="49"/>
      <c r="AF179" s="60"/>
      <c r="AG179" s="60"/>
      <c r="AH179" s="60"/>
      <c r="AI179" s="60"/>
      <c r="AJ179" s="60"/>
      <c r="AK179" s="50"/>
      <c r="AL179" s="50"/>
      <c r="AM179" s="50"/>
      <c r="AN179" s="50"/>
      <c r="AO179" s="9"/>
      <c r="AP179" s="9"/>
    </row>
    <row r="180" spans="1:42" x14ac:dyDescent="0.55000000000000004">
      <c r="A180" t="str">
        <f t="shared" si="2"/>
        <v/>
      </c>
      <c r="C180" s="103"/>
      <c r="D180" s="110"/>
      <c r="E180" s="110"/>
      <c r="F180" s="110"/>
      <c r="G180" s="110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49"/>
      <c r="V180" s="49"/>
      <c r="W180" s="49"/>
      <c r="X180" s="49"/>
      <c r="Y180" s="49"/>
      <c r="Z180" s="49"/>
      <c r="AA180" s="49"/>
      <c r="AB180" s="49"/>
      <c r="AC180" s="49"/>
      <c r="AD180" s="113"/>
      <c r="AE180" s="49"/>
      <c r="AF180" s="50"/>
      <c r="AG180" s="50"/>
      <c r="AH180" s="50"/>
      <c r="AI180" s="50"/>
      <c r="AJ180" s="50"/>
      <c r="AK180" s="50"/>
      <c r="AL180" s="50"/>
      <c r="AM180" s="50"/>
      <c r="AN180" s="50"/>
      <c r="AO180" s="9"/>
      <c r="AP180" s="9"/>
    </row>
    <row r="181" spans="1:42" x14ac:dyDescent="0.55000000000000004">
      <c r="A181" t="str">
        <f t="shared" si="2"/>
        <v/>
      </c>
      <c r="C181" s="103"/>
      <c r="D181" s="110"/>
      <c r="E181" s="110"/>
      <c r="F181" s="110"/>
      <c r="G181" s="110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49"/>
      <c r="V181" s="49"/>
      <c r="W181" s="49"/>
      <c r="X181" s="49"/>
      <c r="Y181" s="49"/>
      <c r="Z181" s="49"/>
      <c r="AA181" s="49"/>
      <c r="AB181" s="49"/>
      <c r="AC181" s="49"/>
      <c r="AD181" s="113"/>
      <c r="AE181" s="49"/>
      <c r="AF181" s="50"/>
      <c r="AG181" s="50"/>
      <c r="AH181" s="50"/>
      <c r="AI181" s="50"/>
      <c r="AJ181" s="50"/>
      <c r="AK181" s="50"/>
      <c r="AL181" s="50"/>
      <c r="AM181" s="50"/>
      <c r="AN181" s="50"/>
      <c r="AO181" s="9"/>
      <c r="AP181" s="9"/>
    </row>
    <row r="182" spans="1:42" x14ac:dyDescent="0.55000000000000004">
      <c r="A182" t="str">
        <f t="shared" si="2"/>
        <v/>
      </c>
      <c r="C182" s="103"/>
      <c r="D182" s="110"/>
      <c r="E182" s="110"/>
      <c r="F182" s="110"/>
      <c r="G182" s="110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49"/>
      <c r="V182" s="49"/>
      <c r="W182" s="49"/>
      <c r="X182" s="49"/>
      <c r="Y182" s="49"/>
      <c r="Z182" s="49"/>
      <c r="AA182" s="49"/>
      <c r="AB182" s="49"/>
      <c r="AC182" s="49"/>
      <c r="AD182" s="113"/>
      <c r="AE182" s="49"/>
      <c r="AF182" s="50"/>
      <c r="AG182" s="50"/>
      <c r="AH182" s="50"/>
      <c r="AI182" s="50"/>
      <c r="AJ182" s="50"/>
      <c r="AK182" s="50"/>
      <c r="AL182" s="50"/>
      <c r="AM182" s="50"/>
      <c r="AN182" s="50"/>
      <c r="AO182" s="9"/>
      <c r="AP182" s="9"/>
    </row>
    <row r="183" spans="1:42" x14ac:dyDescent="0.55000000000000004">
      <c r="A183" t="str">
        <f t="shared" si="2"/>
        <v/>
      </c>
      <c r="C183" s="103"/>
      <c r="D183" s="110"/>
      <c r="E183" s="110"/>
      <c r="F183" s="110"/>
      <c r="G183" s="110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49"/>
      <c r="V183" s="49"/>
      <c r="W183" s="49"/>
      <c r="X183" s="49"/>
      <c r="Y183" s="49"/>
      <c r="Z183" s="49"/>
      <c r="AA183" s="49"/>
      <c r="AB183" s="49"/>
      <c r="AC183" s="49"/>
      <c r="AD183" s="113"/>
      <c r="AE183" s="49"/>
      <c r="AF183" s="51"/>
      <c r="AG183" s="51"/>
      <c r="AH183" s="51"/>
      <c r="AI183" s="51"/>
      <c r="AJ183" s="51"/>
      <c r="AK183" s="50"/>
      <c r="AL183" s="50"/>
      <c r="AM183" s="50"/>
      <c r="AN183" s="50"/>
      <c r="AO183" s="9"/>
      <c r="AP183" s="9"/>
    </row>
    <row r="184" spans="1:42" x14ac:dyDescent="0.55000000000000004">
      <c r="A184" t="str">
        <f t="shared" si="2"/>
        <v/>
      </c>
      <c r="C184" s="103"/>
      <c r="D184" s="110"/>
      <c r="E184" s="110"/>
      <c r="F184" s="110"/>
      <c r="G184" s="110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49"/>
      <c r="V184" s="49"/>
      <c r="W184" s="49"/>
      <c r="X184" s="49"/>
      <c r="Y184" s="49"/>
      <c r="Z184" s="49"/>
      <c r="AA184" s="49"/>
      <c r="AB184" s="49"/>
      <c r="AC184" s="49"/>
      <c r="AD184" s="113"/>
      <c r="AE184" s="49"/>
      <c r="AF184" s="50"/>
      <c r="AG184" s="50"/>
      <c r="AH184" s="50"/>
      <c r="AI184" s="50"/>
      <c r="AJ184" s="50"/>
      <c r="AK184" s="50"/>
      <c r="AL184" s="50"/>
      <c r="AM184" s="50"/>
      <c r="AN184" s="50"/>
      <c r="AO184" s="9"/>
      <c r="AP184" s="9"/>
    </row>
    <row r="185" spans="1:42" x14ac:dyDescent="0.55000000000000004">
      <c r="A185" t="str">
        <f t="shared" si="2"/>
        <v/>
      </c>
      <c r="C185" s="103"/>
      <c r="D185" s="110"/>
      <c r="E185" s="110"/>
      <c r="F185" s="110"/>
      <c r="G185" s="110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54"/>
      <c r="V185" s="59"/>
      <c r="W185" s="59"/>
      <c r="X185" s="59"/>
      <c r="Y185" s="59"/>
      <c r="Z185" s="59"/>
      <c r="AA185" s="59"/>
      <c r="AB185" s="59"/>
      <c r="AC185" s="59"/>
      <c r="AD185" s="66"/>
      <c r="AE185" s="49"/>
      <c r="AF185" s="50"/>
      <c r="AG185" s="50"/>
      <c r="AH185" s="50"/>
      <c r="AI185" s="50"/>
      <c r="AJ185" s="50"/>
      <c r="AK185" s="50"/>
      <c r="AL185" s="50"/>
      <c r="AM185" s="50"/>
      <c r="AN185" s="50"/>
      <c r="AO185" s="9"/>
      <c r="AP185" s="9"/>
    </row>
    <row r="186" spans="1:42" x14ac:dyDescent="0.55000000000000004">
      <c r="A186" t="str">
        <f t="shared" si="2"/>
        <v/>
      </c>
      <c r="C186" s="103"/>
      <c r="D186" s="110"/>
      <c r="E186" s="110"/>
      <c r="F186" s="110"/>
      <c r="G186" s="110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54"/>
      <c r="V186" s="59"/>
      <c r="W186" s="59"/>
      <c r="X186" s="59"/>
      <c r="Y186" s="59"/>
      <c r="Z186" s="59"/>
      <c r="AA186" s="59"/>
      <c r="AB186" s="59"/>
      <c r="AC186" s="59"/>
      <c r="AD186" s="66"/>
      <c r="AE186" s="49"/>
      <c r="AF186" s="50"/>
      <c r="AG186" s="50"/>
      <c r="AH186" s="50"/>
      <c r="AI186" s="50"/>
      <c r="AJ186" s="50"/>
      <c r="AK186" s="50"/>
      <c r="AL186" s="50"/>
      <c r="AM186" s="50"/>
      <c r="AN186" s="50"/>
      <c r="AO186" s="9"/>
      <c r="AP186" s="9"/>
    </row>
    <row r="187" spans="1:42" x14ac:dyDescent="0.55000000000000004">
      <c r="A187" t="str">
        <f t="shared" si="2"/>
        <v/>
      </c>
      <c r="C187" s="103"/>
      <c r="D187" s="110"/>
      <c r="E187" s="110"/>
      <c r="F187" s="110"/>
      <c r="G187" s="110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54"/>
      <c r="V187" s="49"/>
      <c r="W187" s="49"/>
      <c r="X187" s="49"/>
      <c r="Y187" s="49"/>
      <c r="Z187" s="49"/>
      <c r="AA187" s="49"/>
      <c r="AB187" s="49"/>
      <c r="AC187" s="49"/>
      <c r="AD187" s="113"/>
      <c r="AE187" s="49"/>
      <c r="AF187" s="50"/>
      <c r="AG187" s="50"/>
      <c r="AH187" s="50"/>
      <c r="AI187" s="50"/>
      <c r="AJ187" s="50"/>
      <c r="AK187" s="50"/>
      <c r="AL187" s="50"/>
      <c r="AM187" s="50"/>
      <c r="AN187" s="50"/>
      <c r="AO187" s="9"/>
      <c r="AP187" s="9"/>
    </row>
    <row r="188" spans="1:42" x14ac:dyDescent="0.55000000000000004">
      <c r="A188" t="str">
        <f t="shared" si="2"/>
        <v/>
      </c>
      <c r="C188" s="103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49"/>
      <c r="V188" s="49"/>
      <c r="W188" s="49"/>
      <c r="X188" s="49"/>
      <c r="Y188" s="49"/>
      <c r="Z188" s="49"/>
      <c r="AA188" s="49"/>
      <c r="AB188" s="49"/>
      <c r="AC188" s="49"/>
      <c r="AD188" s="113"/>
      <c r="AE188" s="49"/>
      <c r="AF188" s="50"/>
      <c r="AG188" s="50"/>
      <c r="AH188" s="50"/>
      <c r="AI188" s="50"/>
      <c r="AJ188" s="50"/>
      <c r="AK188" s="50"/>
      <c r="AL188" s="50"/>
      <c r="AM188" s="50"/>
      <c r="AN188" s="50"/>
      <c r="AO188" s="9"/>
      <c r="AP188" s="9"/>
    </row>
    <row r="189" spans="1:42" x14ac:dyDescent="0.55000000000000004">
      <c r="A189" t="str">
        <f t="shared" si="2"/>
        <v/>
      </c>
      <c r="C189" s="103"/>
      <c r="D189" s="110"/>
      <c r="E189" s="110"/>
      <c r="F189" s="110"/>
      <c r="G189" s="110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49"/>
      <c r="V189" s="49"/>
      <c r="W189" s="49"/>
      <c r="X189" s="49"/>
      <c r="Y189" s="49"/>
      <c r="Z189" s="49"/>
      <c r="AA189" s="49"/>
      <c r="AB189" s="49"/>
      <c r="AC189" s="49"/>
      <c r="AD189" s="113"/>
      <c r="AE189" s="49"/>
      <c r="AF189" s="50"/>
      <c r="AG189" s="50"/>
      <c r="AH189" s="50"/>
      <c r="AI189" s="50"/>
      <c r="AJ189" s="50"/>
      <c r="AK189" s="50"/>
      <c r="AL189" s="50"/>
      <c r="AM189" s="50"/>
      <c r="AN189" s="50"/>
      <c r="AO189" s="9"/>
      <c r="AP189" s="9"/>
    </row>
    <row r="190" spans="1:42" x14ac:dyDescent="0.55000000000000004">
      <c r="A190" t="str">
        <f t="shared" si="2"/>
        <v/>
      </c>
      <c r="C190" s="103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49"/>
      <c r="V190" s="49"/>
      <c r="W190" s="49"/>
      <c r="X190" s="49"/>
      <c r="Y190" s="49"/>
      <c r="Z190" s="49"/>
      <c r="AA190" s="49"/>
      <c r="AB190" s="49"/>
      <c r="AC190" s="49"/>
      <c r="AD190" s="113"/>
      <c r="AE190" s="49"/>
      <c r="AF190" s="50"/>
      <c r="AG190" s="50"/>
      <c r="AH190" s="50"/>
      <c r="AI190" s="50"/>
      <c r="AJ190" s="50"/>
      <c r="AK190" s="50"/>
      <c r="AL190" s="50"/>
      <c r="AM190" s="50"/>
      <c r="AN190" s="50"/>
      <c r="AO190" s="9"/>
      <c r="AP190" s="9"/>
    </row>
    <row r="191" spans="1:42" x14ac:dyDescent="0.55000000000000004">
      <c r="A191" t="str">
        <f t="shared" si="2"/>
        <v/>
      </c>
      <c r="C191" s="103"/>
      <c r="D191" s="110"/>
      <c r="E191" s="110"/>
      <c r="F191" s="110"/>
      <c r="G191" s="110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59"/>
      <c r="V191" s="59"/>
      <c r="W191" s="59"/>
      <c r="X191" s="59"/>
      <c r="Y191" s="59"/>
      <c r="Z191" s="59"/>
      <c r="AA191" s="59"/>
      <c r="AB191" s="59"/>
      <c r="AC191" s="59"/>
      <c r="AD191" s="66"/>
      <c r="AE191" s="49"/>
      <c r="AF191" s="50"/>
      <c r="AG191" s="50"/>
      <c r="AH191" s="50"/>
      <c r="AI191" s="50"/>
      <c r="AJ191" s="50"/>
      <c r="AK191" s="50"/>
      <c r="AL191" s="50"/>
      <c r="AM191" s="50"/>
      <c r="AN191" s="50"/>
      <c r="AO191" s="9"/>
      <c r="AP191" s="9"/>
    </row>
    <row r="192" spans="1:42" x14ac:dyDescent="0.55000000000000004">
      <c r="A192" t="str">
        <f t="shared" si="2"/>
        <v/>
      </c>
      <c r="C192" s="103"/>
      <c r="D192" s="110"/>
      <c r="E192" s="110"/>
      <c r="F192" s="110"/>
      <c r="G192" s="110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49"/>
      <c r="V192" s="49"/>
      <c r="W192" s="49"/>
      <c r="X192" s="49"/>
      <c r="Y192" s="49"/>
      <c r="Z192" s="49"/>
      <c r="AA192" s="49"/>
      <c r="AB192" s="49"/>
      <c r="AC192" s="49"/>
      <c r="AD192" s="113"/>
      <c r="AE192" s="49"/>
      <c r="AF192" s="50"/>
      <c r="AG192" s="50"/>
      <c r="AH192" s="50"/>
      <c r="AI192" s="50"/>
      <c r="AJ192" s="50"/>
      <c r="AK192" s="50"/>
      <c r="AL192" s="50"/>
      <c r="AM192" s="50"/>
      <c r="AN192" s="50"/>
      <c r="AO192" s="9"/>
      <c r="AP192" s="9"/>
    </row>
    <row r="193" spans="1:42" x14ac:dyDescent="0.55000000000000004">
      <c r="A193" t="str">
        <f t="shared" si="2"/>
        <v/>
      </c>
      <c r="C193" s="103"/>
      <c r="D193" s="110"/>
      <c r="E193" s="110"/>
      <c r="F193" s="110"/>
      <c r="G193" s="110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49"/>
      <c r="V193" s="49"/>
      <c r="W193" s="49"/>
      <c r="X193" s="49"/>
      <c r="Y193" s="49"/>
      <c r="Z193" s="49"/>
      <c r="AA193" s="49"/>
      <c r="AB193" s="49"/>
      <c r="AC193" s="49"/>
      <c r="AD193" s="113"/>
      <c r="AE193" s="49"/>
      <c r="AF193" s="50"/>
      <c r="AG193" s="50"/>
      <c r="AH193" s="50"/>
      <c r="AI193" s="50"/>
      <c r="AJ193" s="50"/>
      <c r="AK193" s="50"/>
      <c r="AL193" s="50"/>
      <c r="AM193" s="50"/>
      <c r="AN193" s="50"/>
      <c r="AO193" s="9"/>
      <c r="AP193" s="9"/>
    </row>
    <row r="194" spans="1:42" x14ac:dyDescent="0.55000000000000004">
      <c r="A194" t="str">
        <f t="shared" si="2"/>
        <v/>
      </c>
      <c r="C194" s="103"/>
      <c r="D194" s="110"/>
      <c r="E194" s="110"/>
      <c r="F194" s="110"/>
      <c r="G194" s="110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49"/>
      <c r="V194" s="49"/>
      <c r="W194" s="49"/>
      <c r="X194" s="49"/>
      <c r="Y194" s="49"/>
      <c r="Z194" s="49"/>
      <c r="AA194" s="49"/>
      <c r="AB194" s="49"/>
      <c r="AC194" s="49"/>
      <c r="AD194" s="113"/>
      <c r="AE194" s="49"/>
      <c r="AF194" s="50"/>
      <c r="AG194" s="50"/>
      <c r="AH194" s="50"/>
      <c r="AI194" s="50"/>
      <c r="AJ194" s="50"/>
      <c r="AK194" s="50"/>
      <c r="AL194" s="50"/>
      <c r="AM194" s="50"/>
      <c r="AN194" s="50"/>
      <c r="AO194" s="9"/>
      <c r="AP194" s="9"/>
    </row>
    <row r="195" spans="1:42" x14ac:dyDescent="0.55000000000000004">
      <c r="A195" t="str">
        <f t="shared" ref="A195:A258" si="3">H195&amp;I195&amp;J195</f>
        <v/>
      </c>
      <c r="C195" s="103"/>
      <c r="D195" s="110"/>
      <c r="E195" s="110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49"/>
      <c r="V195" s="49"/>
      <c r="W195" s="49"/>
      <c r="X195" s="49"/>
      <c r="Y195" s="49"/>
      <c r="Z195" s="49"/>
      <c r="AA195" s="49"/>
      <c r="AB195" s="49"/>
      <c r="AC195" s="49"/>
      <c r="AD195" s="113"/>
      <c r="AE195" s="49"/>
      <c r="AF195" s="50"/>
      <c r="AG195" s="50"/>
      <c r="AH195" s="50"/>
      <c r="AI195" s="50"/>
      <c r="AJ195" s="50"/>
      <c r="AK195" s="50"/>
      <c r="AL195" s="50"/>
      <c r="AM195" s="50"/>
      <c r="AN195" s="50"/>
      <c r="AO195" s="9"/>
      <c r="AP195" s="9"/>
    </row>
    <row r="196" spans="1:42" x14ac:dyDescent="0.55000000000000004">
      <c r="A196" t="str">
        <f t="shared" si="3"/>
        <v/>
      </c>
      <c r="C196" s="103"/>
      <c r="D196" s="110"/>
      <c r="E196" s="110"/>
      <c r="F196" s="110"/>
      <c r="G196" s="110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49"/>
      <c r="V196" s="49"/>
      <c r="W196" s="49"/>
      <c r="X196" s="49"/>
      <c r="Y196" s="49"/>
      <c r="Z196" s="49"/>
      <c r="AA196" s="49"/>
      <c r="AB196" s="49"/>
      <c r="AC196" s="49"/>
      <c r="AD196" s="113"/>
      <c r="AE196" s="49"/>
      <c r="AF196" s="50"/>
      <c r="AG196" s="50"/>
      <c r="AH196" s="50"/>
      <c r="AI196" s="50"/>
      <c r="AJ196" s="50"/>
      <c r="AK196" s="50"/>
      <c r="AL196" s="50"/>
      <c r="AM196" s="50"/>
      <c r="AN196" s="50"/>
      <c r="AO196" s="9"/>
      <c r="AP196" s="9"/>
    </row>
    <row r="197" spans="1:42" x14ac:dyDescent="0.55000000000000004">
      <c r="A197" t="str">
        <f t="shared" si="3"/>
        <v/>
      </c>
      <c r="C197" s="103"/>
      <c r="D197" s="110"/>
      <c r="E197" s="110"/>
      <c r="F197" s="110"/>
      <c r="G197" s="110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49"/>
      <c r="V197" s="49"/>
      <c r="W197" s="49"/>
      <c r="X197" s="49"/>
      <c r="Y197" s="49"/>
      <c r="Z197" s="49"/>
      <c r="AA197" s="49"/>
      <c r="AB197" s="49"/>
      <c r="AC197" s="49"/>
      <c r="AD197" s="113"/>
      <c r="AE197" s="49"/>
      <c r="AF197" s="50"/>
      <c r="AG197" s="50"/>
      <c r="AH197" s="50"/>
      <c r="AI197" s="50"/>
      <c r="AJ197" s="50"/>
      <c r="AK197" s="50"/>
      <c r="AL197" s="50"/>
      <c r="AM197" s="50"/>
      <c r="AN197" s="50"/>
      <c r="AO197" s="9"/>
      <c r="AP197" s="9"/>
    </row>
    <row r="198" spans="1:42" x14ac:dyDescent="0.55000000000000004">
      <c r="A198" t="str">
        <f t="shared" si="3"/>
        <v/>
      </c>
      <c r="C198" s="103"/>
      <c r="D198" s="110"/>
      <c r="E198" s="110"/>
      <c r="F198" s="110"/>
      <c r="G198" s="110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49"/>
      <c r="V198" s="49"/>
      <c r="W198" s="49"/>
      <c r="X198" s="49"/>
      <c r="Y198" s="49"/>
      <c r="Z198" s="49"/>
      <c r="AA198" s="49"/>
      <c r="AB198" s="49"/>
      <c r="AC198" s="49"/>
      <c r="AD198" s="113"/>
      <c r="AE198" s="49"/>
      <c r="AF198" s="51"/>
      <c r="AG198" s="50"/>
      <c r="AH198" s="50"/>
      <c r="AI198" s="50"/>
      <c r="AJ198" s="50"/>
      <c r="AK198" s="50"/>
      <c r="AL198" s="50"/>
      <c r="AM198" s="64"/>
      <c r="AN198" s="50"/>
      <c r="AO198" s="9"/>
      <c r="AP198" s="9"/>
    </row>
    <row r="199" spans="1:42" x14ac:dyDescent="0.55000000000000004">
      <c r="A199" t="str">
        <f t="shared" si="3"/>
        <v/>
      </c>
      <c r="C199" s="103"/>
      <c r="D199" s="110"/>
      <c r="E199" s="110"/>
      <c r="F199" s="110"/>
      <c r="G199" s="110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49"/>
      <c r="V199" s="49"/>
      <c r="W199" s="49"/>
      <c r="X199" s="49"/>
      <c r="Y199" s="49"/>
      <c r="Z199" s="49"/>
      <c r="AA199" s="49"/>
      <c r="AB199" s="49"/>
      <c r="AC199" s="49"/>
      <c r="AD199" s="113"/>
      <c r="AE199" s="49"/>
      <c r="AF199" s="51"/>
      <c r="AG199" s="50"/>
      <c r="AH199" s="50"/>
      <c r="AI199" s="50"/>
      <c r="AJ199" s="50"/>
      <c r="AK199" s="50"/>
      <c r="AL199" s="50"/>
      <c r="AM199" s="64"/>
      <c r="AN199" s="50"/>
      <c r="AO199" s="9"/>
      <c r="AP199" s="9"/>
    </row>
    <row r="200" spans="1:42" x14ac:dyDescent="0.55000000000000004">
      <c r="A200" t="str">
        <f t="shared" si="3"/>
        <v/>
      </c>
      <c r="C200" s="103"/>
      <c r="D200" s="110"/>
      <c r="E200" s="110"/>
      <c r="F200" s="110"/>
      <c r="G200" s="110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49"/>
      <c r="V200" s="49"/>
      <c r="W200" s="49"/>
      <c r="X200" s="49"/>
      <c r="Y200" s="49"/>
      <c r="Z200" s="49"/>
      <c r="AA200" s="49"/>
      <c r="AB200" s="49"/>
      <c r="AC200" s="49"/>
      <c r="AD200" s="113"/>
      <c r="AE200" s="49"/>
      <c r="AF200" s="50"/>
      <c r="AG200" s="50"/>
      <c r="AH200" s="50"/>
      <c r="AI200" s="50"/>
      <c r="AJ200" s="50"/>
      <c r="AK200" s="50"/>
      <c r="AL200" s="50"/>
      <c r="AM200" s="50"/>
      <c r="AN200" s="50"/>
      <c r="AO200" s="9"/>
      <c r="AP200" s="9"/>
    </row>
    <row r="201" spans="1:42" x14ac:dyDescent="0.55000000000000004">
      <c r="A201" t="str">
        <f t="shared" si="3"/>
        <v/>
      </c>
      <c r="C201" s="103"/>
      <c r="D201" s="110"/>
      <c r="E201" s="110"/>
      <c r="F201" s="110"/>
      <c r="G201" s="110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49"/>
      <c r="V201" s="49"/>
      <c r="W201" s="49"/>
      <c r="X201" s="49"/>
      <c r="Y201" s="49"/>
      <c r="Z201" s="49"/>
      <c r="AA201" s="49"/>
      <c r="AB201" s="49"/>
      <c r="AC201" s="49"/>
      <c r="AD201" s="113"/>
      <c r="AE201" s="49"/>
      <c r="AF201" s="50"/>
      <c r="AG201" s="50"/>
      <c r="AH201" s="50"/>
      <c r="AI201" s="50"/>
      <c r="AJ201" s="50"/>
      <c r="AK201" s="50"/>
      <c r="AL201" s="50"/>
      <c r="AM201" s="50"/>
      <c r="AN201" s="50"/>
      <c r="AO201" s="9"/>
      <c r="AP201" s="9"/>
    </row>
    <row r="202" spans="1:42" x14ac:dyDescent="0.55000000000000004">
      <c r="A202" t="str">
        <f t="shared" si="3"/>
        <v/>
      </c>
      <c r="C202" s="103"/>
      <c r="D202" s="110"/>
      <c r="E202" s="110"/>
      <c r="F202" s="110"/>
      <c r="G202" s="110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49"/>
      <c r="V202" s="49"/>
      <c r="W202" s="49"/>
      <c r="X202" s="49"/>
      <c r="Y202" s="49"/>
      <c r="Z202" s="49"/>
      <c r="AA202" s="49"/>
      <c r="AB202" s="49"/>
      <c r="AC202" s="49"/>
      <c r="AD202" s="113"/>
      <c r="AE202" s="49"/>
      <c r="AF202" s="50"/>
      <c r="AG202" s="50"/>
      <c r="AH202" s="50"/>
      <c r="AI202" s="50"/>
      <c r="AJ202" s="50"/>
      <c r="AK202" s="50"/>
      <c r="AL202" s="50"/>
      <c r="AM202" s="50"/>
      <c r="AN202" s="50"/>
      <c r="AO202" s="9"/>
      <c r="AP202" s="9"/>
    </row>
    <row r="203" spans="1:42" x14ac:dyDescent="0.55000000000000004">
      <c r="A203" t="str">
        <f t="shared" si="3"/>
        <v/>
      </c>
      <c r="C203" s="103"/>
      <c r="D203" s="110"/>
      <c r="E203" s="110"/>
      <c r="F203" s="110"/>
      <c r="G203" s="110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49"/>
      <c r="V203" s="49"/>
      <c r="W203" s="49"/>
      <c r="X203" s="49"/>
      <c r="Y203" s="49"/>
      <c r="Z203" s="49"/>
      <c r="AA203" s="49"/>
      <c r="AB203" s="49"/>
      <c r="AC203" s="49"/>
      <c r="AD203" s="113"/>
      <c r="AE203" s="49"/>
      <c r="AF203" s="50"/>
      <c r="AG203" s="50"/>
      <c r="AH203" s="50"/>
      <c r="AI203" s="50"/>
      <c r="AJ203" s="50"/>
      <c r="AK203" s="50"/>
      <c r="AL203" s="50"/>
      <c r="AM203" s="50"/>
      <c r="AN203" s="50"/>
      <c r="AO203" s="9"/>
      <c r="AP203" s="9"/>
    </row>
    <row r="204" spans="1:42" x14ac:dyDescent="0.55000000000000004">
      <c r="A204" t="str">
        <f t="shared" si="3"/>
        <v/>
      </c>
      <c r="C204" s="103"/>
      <c r="D204" s="110"/>
      <c r="E204" s="110"/>
      <c r="F204" s="110"/>
      <c r="G204" s="110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49"/>
      <c r="V204" s="49"/>
      <c r="W204" s="49"/>
      <c r="X204" s="49"/>
      <c r="Y204" s="49"/>
      <c r="Z204" s="49"/>
      <c r="AA204" s="49"/>
      <c r="AB204" s="49"/>
      <c r="AC204" s="49"/>
      <c r="AD204" s="113"/>
      <c r="AE204" s="49"/>
      <c r="AF204" s="50"/>
      <c r="AG204" s="50"/>
      <c r="AH204" s="50"/>
      <c r="AI204" s="50"/>
      <c r="AJ204" s="50"/>
      <c r="AK204" s="50"/>
      <c r="AL204" s="50"/>
      <c r="AM204" s="50"/>
      <c r="AN204" s="50"/>
      <c r="AO204" s="9"/>
      <c r="AP204" s="9"/>
    </row>
    <row r="205" spans="1:42" x14ac:dyDescent="0.55000000000000004">
      <c r="A205" t="str">
        <f t="shared" si="3"/>
        <v/>
      </c>
      <c r="C205" s="103"/>
      <c r="D205" s="110"/>
      <c r="E205" s="110"/>
      <c r="F205" s="110"/>
      <c r="G205" s="110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49"/>
      <c r="V205" s="49"/>
      <c r="W205" s="49"/>
      <c r="X205" s="49"/>
      <c r="Y205" s="49"/>
      <c r="Z205" s="49"/>
      <c r="AA205" s="49"/>
      <c r="AB205" s="49"/>
      <c r="AC205" s="49"/>
      <c r="AD205" s="113"/>
      <c r="AE205" s="49"/>
      <c r="AF205" s="52"/>
      <c r="AG205" s="52"/>
      <c r="AH205" s="52"/>
      <c r="AI205" s="52"/>
      <c r="AJ205" s="52"/>
      <c r="AK205" s="50"/>
      <c r="AL205" s="50"/>
      <c r="AM205" s="50"/>
      <c r="AN205" s="50"/>
      <c r="AO205" s="9"/>
      <c r="AP205" s="9"/>
    </row>
    <row r="206" spans="1:42" x14ac:dyDescent="0.55000000000000004">
      <c r="A206" t="str">
        <f t="shared" si="3"/>
        <v/>
      </c>
      <c r="C206" s="103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49"/>
      <c r="V206" s="49"/>
      <c r="W206" s="49"/>
      <c r="X206" s="49"/>
      <c r="Y206" s="49"/>
      <c r="Z206" s="49"/>
      <c r="AA206" s="49"/>
      <c r="AB206" s="49"/>
      <c r="AC206" s="49"/>
      <c r="AD206" s="113"/>
      <c r="AE206" s="49"/>
      <c r="AF206" s="52"/>
      <c r="AG206" s="52"/>
      <c r="AH206" s="52"/>
      <c r="AI206" s="52"/>
      <c r="AJ206" s="52"/>
      <c r="AK206" s="50"/>
      <c r="AL206" s="50"/>
      <c r="AM206" s="50"/>
      <c r="AN206" s="50"/>
      <c r="AO206" s="9"/>
      <c r="AP206" s="9"/>
    </row>
    <row r="207" spans="1:42" x14ac:dyDescent="0.55000000000000004">
      <c r="A207" t="str">
        <f t="shared" si="3"/>
        <v/>
      </c>
      <c r="C207" s="103"/>
      <c r="D207" s="110"/>
      <c r="E207" s="110"/>
      <c r="F207" s="110"/>
      <c r="G207" s="110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49"/>
      <c r="V207" s="49"/>
      <c r="W207" s="49"/>
      <c r="X207" s="49"/>
      <c r="Y207" s="49"/>
      <c r="Z207" s="49"/>
      <c r="AA207" s="49"/>
      <c r="AB207" s="49"/>
      <c r="AC207" s="49"/>
      <c r="AD207" s="113"/>
      <c r="AE207" s="49"/>
      <c r="AF207" s="51"/>
      <c r="AG207" s="51"/>
      <c r="AH207" s="51"/>
      <c r="AI207" s="51"/>
      <c r="AJ207" s="51"/>
      <c r="AK207" s="50"/>
      <c r="AL207" s="50"/>
      <c r="AM207" s="50"/>
      <c r="AN207" s="50"/>
      <c r="AO207" s="9"/>
      <c r="AP207" s="9"/>
    </row>
    <row r="208" spans="1:42" x14ac:dyDescent="0.55000000000000004">
      <c r="A208" t="str">
        <f t="shared" si="3"/>
        <v/>
      </c>
      <c r="C208" s="103"/>
      <c r="D208" s="110"/>
      <c r="E208" s="110"/>
      <c r="F208" s="110"/>
      <c r="G208" s="110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49"/>
      <c r="V208" s="49"/>
      <c r="W208" s="49"/>
      <c r="X208" s="49"/>
      <c r="Y208" s="49"/>
      <c r="Z208" s="49"/>
      <c r="AA208" s="49"/>
      <c r="AB208" s="49"/>
      <c r="AC208" s="49"/>
      <c r="AD208" s="113"/>
      <c r="AE208" s="49"/>
      <c r="AF208" s="52"/>
      <c r="AG208" s="52"/>
      <c r="AH208" s="52"/>
      <c r="AI208" s="52"/>
      <c r="AJ208" s="52"/>
      <c r="AK208" s="50"/>
      <c r="AL208" s="50"/>
      <c r="AM208" s="64"/>
      <c r="AN208" s="50"/>
      <c r="AO208" s="9"/>
      <c r="AP208" s="9"/>
    </row>
    <row r="209" spans="1:42" x14ac:dyDescent="0.55000000000000004">
      <c r="A209" t="str">
        <f t="shared" si="3"/>
        <v/>
      </c>
      <c r="C209" s="103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49"/>
      <c r="V209" s="49"/>
      <c r="W209" s="49"/>
      <c r="X209" s="49"/>
      <c r="Y209" s="49"/>
      <c r="Z209" s="49"/>
      <c r="AA209" s="49"/>
      <c r="AB209" s="49"/>
      <c r="AC209" s="49"/>
      <c r="AD209" s="113"/>
      <c r="AE209" s="49"/>
      <c r="AF209" s="51"/>
      <c r="AG209" s="51"/>
      <c r="AH209" s="51"/>
      <c r="AI209" s="51"/>
      <c r="AJ209" s="51"/>
      <c r="AK209" s="50"/>
      <c r="AL209" s="50"/>
      <c r="AM209" s="64"/>
      <c r="AN209" s="50"/>
      <c r="AO209" s="9"/>
      <c r="AP209" s="9"/>
    </row>
    <row r="210" spans="1:42" x14ac:dyDescent="0.55000000000000004">
      <c r="A210" t="str">
        <f t="shared" si="3"/>
        <v/>
      </c>
      <c r="C210" s="103"/>
      <c r="D210" s="110"/>
      <c r="E210" s="110"/>
      <c r="F210" s="110"/>
      <c r="G210" s="110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54"/>
      <c r="V210" s="54"/>
      <c r="W210" s="54"/>
      <c r="X210" s="54"/>
      <c r="Y210" s="54"/>
      <c r="Z210" s="54"/>
      <c r="AA210" s="54"/>
      <c r="AB210" s="54"/>
      <c r="AC210" s="54"/>
      <c r="AD210" s="65"/>
      <c r="AE210" s="54"/>
      <c r="AF210" s="51"/>
      <c r="AG210" s="51"/>
      <c r="AH210" s="51"/>
      <c r="AI210" s="51"/>
      <c r="AJ210" s="51"/>
      <c r="AK210" s="51"/>
      <c r="AL210" s="51"/>
      <c r="AM210" s="51"/>
      <c r="AN210" s="51"/>
      <c r="AO210" s="9"/>
      <c r="AP210" s="9"/>
    </row>
    <row r="211" spans="1:42" x14ac:dyDescent="0.55000000000000004">
      <c r="A211" t="str">
        <f t="shared" si="3"/>
        <v/>
      </c>
      <c r="C211" s="103"/>
      <c r="D211" s="110"/>
      <c r="E211" s="110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49"/>
      <c r="V211" s="49"/>
      <c r="W211" s="49"/>
      <c r="X211" s="49"/>
      <c r="Y211" s="49"/>
      <c r="Z211" s="49"/>
      <c r="AA211" s="49"/>
      <c r="AB211" s="49"/>
      <c r="AC211" s="49"/>
      <c r="AD211" s="113"/>
      <c r="AE211" s="49"/>
      <c r="AF211" s="51"/>
      <c r="AG211" s="51"/>
      <c r="AH211" s="51"/>
      <c r="AI211" s="51"/>
      <c r="AJ211" s="51"/>
      <c r="AK211" s="50"/>
      <c r="AL211" s="50"/>
      <c r="AM211" s="50"/>
      <c r="AN211" s="50"/>
      <c r="AO211" s="9"/>
      <c r="AP211" s="9"/>
    </row>
    <row r="212" spans="1:42" x14ac:dyDescent="0.55000000000000004">
      <c r="A212" t="str">
        <f t="shared" si="3"/>
        <v/>
      </c>
      <c r="C212" s="103"/>
      <c r="D212" s="110"/>
      <c r="E212" s="110"/>
      <c r="F212" s="110"/>
      <c r="G212" s="110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49"/>
      <c r="V212" s="49"/>
      <c r="W212" s="49"/>
      <c r="X212" s="49"/>
      <c r="Y212" s="49"/>
      <c r="Z212" s="49"/>
      <c r="AA212" s="49"/>
      <c r="AB212" s="49"/>
      <c r="AC212" s="49"/>
      <c r="AD212" s="113"/>
      <c r="AE212" s="49"/>
      <c r="AF212" s="52"/>
      <c r="AG212" s="52"/>
      <c r="AH212" s="52"/>
      <c r="AI212" s="52"/>
      <c r="AJ212" s="52"/>
      <c r="AK212" s="50"/>
      <c r="AL212" s="50"/>
      <c r="AM212" s="64"/>
      <c r="AN212" s="50"/>
      <c r="AO212" s="9"/>
      <c r="AP212" s="9"/>
    </row>
    <row r="213" spans="1:42" x14ac:dyDescent="0.55000000000000004">
      <c r="A213" t="str">
        <f t="shared" si="3"/>
        <v/>
      </c>
      <c r="C213" s="103"/>
      <c r="D213" s="110"/>
      <c r="E213" s="110"/>
      <c r="F213" s="110"/>
      <c r="G213" s="110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49"/>
      <c r="V213" s="49"/>
      <c r="W213" s="49"/>
      <c r="X213" s="49"/>
      <c r="Y213" s="49"/>
      <c r="Z213" s="49"/>
      <c r="AA213" s="49"/>
      <c r="AB213" s="49"/>
      <c r="AC213" s="49"/>
      <c r="AD213" s="113"/>
      <c r="AE213" s="49"/>
      <c r="AF213" s="50"/>
      <c r="AG213" s="50"/>
      <c r="AH213" s="50"/>
      <c r="AI213" s="50"/>
      <c r="AJ213" s="50"/>
      <c r="AK213" s="50"/>
      <c r="AL213" s="50"/>
      <c r="AM213" s="64"/>
      <c r="AN213" s="50"/>
      <c r="AO213" s="9"/>
      <c r="AP213" s="9"/>
    </row>
    <row r="214" spans="1:42" x14ac:dyDescent="0.55000000000000004">
      <c r="A214" t="str">
        <f t="shared" si="3"/>
        <v/>
      </c>
      <c r="C214" s="103"/>
      <c r="D214" s="110"/>
      <c r="E214" s="110"/>
      <c r="F214" s="110"/>
      <c r="G214" s="110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49"/>
      <c r="V214" s="49"/>
      <c r="W214" s="49"/>
      <c r="X214" s="49"/>
      <c r="Y214" s="49"/>
      <c r="Z214" s="49"/>
      <c r="AA214" s="49"/>
      <c r="AB214" s="49"/>
      <c r="AC214" s="49"/>
      <c r="AD214" s="113"/>
      <c r="AE214" s="49"/>
      <c r="AF214" s="51"/>
      <c r="AG214" s="51"/>
      <c r="AH214" s="51"/>
      <c r="AI214" s="51"/>
      <c r="AJ214" s="51"/>
      <c r="AK214" s="50"/>
      <c r="AL214" s="50"/>
      <c r="AM214" s="64"/>
      <c r="AN214" s="50"/>
      <c r="AO214" s="9"/>
      <c r="AP214" s="9"/>
    </row>
    <row r="215" spans="1:42" x14ac:dyDescent="0.55000000000000004">
      <c r="A215" t="str">
        <f t="shared" si="3"/>
        <v/>
      </c>
      <c r="C215" s="103"/>
      <c r="D215" s="110"/>
      <c r="E215" s="110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49"/>
      <c r="V215" s="49"/>
      <c r="W215" s="49"/>
      <c r="X215" s="49"/>
      <c r="Y215" s="49"/>
      <c r="Z215" s="49"/>
      <c r="AA215" s="49"/>
      <c r="AB215" s="49"/>
      <c r="AC215" s="49"/>
      <c r="AD215" s="113"/>
      <c r="AE215" s="49"/>
      <c r="AF215" s="52"/>
      <c r="AG215" s="52"/>
      <c r="AH215" s="52"/>
      <c r="AI215" s="52"/>
      <c r="AJ215" s="52"/>
      <c r="AK215" s="50"/>
      <c r="AL215" s="50"/>
      <c r="AM215" s="50"/>
      <c r="AN215" s="50"/>
      <c r="AO215" s="9"/>
      <c r="AP215" s="9"/>
    </row>
    <row r="216" spans="1:42" x14ac:dyDescent="0.55000000000000004">
      <c r="A216" t="str">
        <f t="shared" si="3"/>
        <v/>
      </c>
      <c r="C216" s="103"/>
      <c r="D216" s="110"/>
      <c r="E216" s="110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49"/>
      <c r="V216" s="49"/>
      <c r="W216" s="49"/>
      <c r="X216" s="49"/>
      <c r="Y216" s="49"/>
      <c r="Z216" s="49"/>
      <c r="AA216" s="49"/>
      <c r="AB216" s="49"/>
      <c r="AC216" s="49"/>
      <c r="AD216" s="113"/>
      <c r="AE216" s="49"/>
      <c r="AF216" s="51"/>
      <c r="AG216" s="51"/>
      <c r="AH216" s="51"/>
      <c r="AI216" s="51"/>
      <c r="AJ216" s="51"/>
      <c r="AK216" s="50"/>
      <c r="AL216" s="50"/>
      <c r="AM216" s="64"/>
      <c r="AN216" s="50"/>
      <c r="AO216" s="9"/>
      <c r="AP216" s="9"/>
    </row>
    <row r="217" spans="1:42" x14ac:dyDescent="0.55000000000000004">
      <c r="A217" t="str">
        <f t="shared" si="3"/>
        <v/>
      </c>
      <c r="C217" s="103"/>
      <c r="D217" s="110"/>
      <c r="E217" s="110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49"/>
      <c r="V217" s="49"/>
      <c r="W217" s="49"/>
      <c r="X217" s="49"/>
      <c r="Y217" s="49"/>
      <c r="Z217" s="49"/>
      <c r="AA217" s="49"/>
      <c r="AB217" s="49"/>
      <c r="AC217" s="49"/>
      <c r="AD217" s="113"/>
      <c r="AE217" s="49"/>
      <c r="AF217" s="51"/>
      <c r="AG217" s="51"/>
      <c r="AH217" s="51"/>
      <c r="AI217" s="51"/>
      <c r="AJ217" s="51"/>
      <c r="AK217" s="50"/>
      <c r="AL217" s="50"/>
      <c r="AM217" s="64"/>
      <c r="AN217" s="50"/>
      <c r="AO217" s="9"/>
      <c r="AP217" s="9"/>
    </row>
    <row r="218" spans="1:42" x14ac:dyDescent="0.55000000000000004">
      <c r="A218" t="str">
        <f t="shared" si="3"/>
        <v/>
      </c>
      <c r="C218" s="103"/>
      <c r="D218" s="110"/>
      <c r="E218" s="110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49"/>
      <c r="V218" s="49"/>
      <c r="W218" s="49"/>
      <c r="X218" s="49"/>
      <c r="Y218" s="49"/>
      <c r="Z218" s="49"/>
      <c r="AA218" s="49"/>
      <c r="AB218" s="49"/>
      <c r="AC218" s="49"/>
      <c r="AD218" s="113"/>
      <c r="AE218" s="49"/>
      <c r="AF218" s="51"/>
      <c r="AG218" s="51"/>
      <c r="AH218" s="51"/>
      <c r="AI218" s="51"/>
      <c r="AJ218" s="51"/>
      <c r="AK218" s="50"/>
      <c r="AL218" s="50"/>
      <c r="AM218" s="64"/>
      <c r="AN218" s="50"/>
      <c r="AO218" s="9"/>
      <c r="AP218" s="9"/>
    </row>
    <row r="219" spans="1:42" x14ac:dyDescent="0.55000000000000004">
      <c r="A219" t="str">
        <f t="shared" si="3"/>
        <v/>
      </c>
      <c r="C219" s="103"/>
      <c r="D219" s="110"/>
      <c r="E219" s="110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49"/>
      <c r="V219" s="49"/>
      <c r="W219" s="49"/>
      <c r="X219" s="49"/>
      <c r="Y219" s="49"/>
      <c r="Z219" s="49"/>
      <c r="AA219" s="49"/>
      <c r="AB219" s="49"/>
      <c r="AC219" s="49"/>
      <c r="AD219" s="113"/>
      <c r="AE219" s="49"/>
      <c r="AF219" s="51"/>
      <c r="AG219" s="51"/>
      <c r="AH219" s="51"/>
      <c r="AI219" s="51"/>
      <c r="AJ219" s="51"/>
      <c r="AK219" s="50"/>
      <c r="AL219" s="50"/>
      <c r="AM219" s="64"/>
      <c r="AN219" s="50"/>
      <c r="AO219" s="9"/>
      <c r="AP219" s="9"/>
    </row>
    <row r="220" spans="1:42" x14ac:dyDescent="0.55000000000000004">
      <c r="A220" t="str">
        <f t="shared" si="3"/>
        <v/>
      </c>
      <c r="C220" s="103"/>
      <c r="D220" s="110"/>
      <c r="E220" s="110"/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49"/>
      <c r="V220" s="49"/>
      <c r="W220" s="49"/>
      <c r="X220" s="49"/>
      <c r="Y220" s="49"/>
      <c r="Z220" s="49"/>
      <c r="AA220" s="49"/>
      <c r="AB220" s="49"/>
      <c r="AC220" s="49"/>
      <c r="AD220" s="113"/>
      <c r="AE220" s="49"/>
      <c r="AF220" s="50"/>
      <c r="AG220" s="50"/>
      <c r="AH220" s="50"/>
      <c r="AI220" s="50"/>
      <c r="AJ220" s="50"/>
      <c r="AK220" s="50"/>
      <c r="AL220" s="50"/>
      <c r="AM220" s="64"/>
      <c r="AN220" s="50"/>
      <c r="AO220" s="9"/>
      <c r="AP220" s="9"/>
    </row>
    <row r="221" spans="1:42" x14ac:dyDescent="0.55000000000000004">
      <c r="A221" t="str">
        <f t="shared" si="3"/>
        <v/>
      </c>
      <c r="C221" s="103"/>
      <c r="D221" s="110"/>
      <c r="E221" s="110"/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49"/>
      <c r="V221" s="49"/>
      <c r="W221" s="49"/>
      <c r="X221" s="49"/>
      <c r="Y221" s="49"/>
      <c r="Z221" s="49"/>
      <c r="AA221" s="49"/>
      <c r="AB221" s="49"/>
      <c r="AC221" s="49"/>
      <c r="AD221" s="113"/>
      <c r="AE221" s="49"/>
      <c r="AF221" s="50"/>
      <c r="AG221" s="50"/>
      <c r="AH221" s="50"/>
      <c r="AI221" s="50"/>
      <c r="AJ221" s="50"/>
      <c r="AK221" s="50"/>
      <c r="AL221" s="50"/>
      <c r="AM221" s="64"/>
      <c r="AN221" s="50"/>
      <c r="AO221" s="9"/>
      <c r="AP221" s="9"/>
    </row>
    <row r="222" spans="1:42" x14ac:dyDescent="0.55000000000000004">
      <c r="A222" t="str">
        <f t="shared" si="3"/>
        <v/>
      </c>
      <c r="C222" s="103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49"/>
      <c r="V222" s="49"/>
      <c r="W222" s="49"/>
      <c r="X222" s="49"/>
      <c r="Y222" s="49"/>
      <c r="Z222" s="49"/>
      <c r="AA222" s="49"/>
      <c r="AB222" s="49"/>
      <c r="AC222" s="49"/>
      <c r="AD222" s="113"/>
      <c r="AE222" s="49"/>
      <c r="AF222" s="51"/>
      <c r="AG222" s="51"/>
      <c r="AH222" s="51"/>
      <c r="AI222" s="51"/>
      <c r="AJ222" s="51"/>
      <c r="AK222" s="50"/>
      <c r="AL222" s="50"/>
      <c r="AM222" s="50"/>
      <c r="AN222" s="50"/>
      <c r="AO222" s="9"/>
      <c r="AP222" s="9"/>
    </row>
    <row r="223" spans="1:42" x14ac:dyDescent="0.55000000000000004">
      <c r="A223" t="str">
        <f t="shared" si="3"/>
        <v/>
      </c>
      <c r="C223" s="103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49"/>
      <c r="V223" s="49"/>
      <c r="W223" s="49"/>
      <c r="X223" s="49"/>
      <c r="Y223" s="49"/>
      <c r="Z223" s="49"/>
      <c r="AA223" s="49"/>
      <c r="AB223" s="49"/>
      <c r="AC223" s="49"/>
      <c r="AD223" s="113"/>
      <c r="AE223" s="49"/>
      <c r="AF223" s="50"/>
      <c r="AG223" s="50"/>
      <c r="AH223" s="50"/>
      <c r="AI223" s="50"/>
      <c r="AJ223" s="50"/>
      <c r="AK223" s="50"/>
      <c r="AL223" s="50"/>
      <c r="AM223" s="50"/>
      <c r="AN223" s="50"/>
      <c r="AO223" s="9"/>
      <c r="AP223" s="9"/>
    </row>
    <row r="224" spans="1:42" x14ac:dyDescent="0.55000000000000004">
      <c r="A224" t="str">
        <f t="shared" si="3"/>
        <v/>
      </c>
      <c r="C224" s="103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49"/>
      <c r="V224" s="49"/>
      <c r="W224" s="49"/>
      <c r="X224" s="49"/>
      <c r="Y224" s="49"/>
      <c r="Z224" s="49"/>
      <c r="AA224" s="49"/>
      <c r="AB224" s="49"/>
      <c r="AC224" s="49"/>
      <c r="AD224" s="113"/>
      <c r="AE224" s="49"/>
      <c r="AF224" s="50"/>
      <c r="AG224" s="50"/>
      <c r="AH224" s="50"/>
      <c r="AI224" s="50"/>
      <c r="AJ224" s="50"/>
      <c r="AK224" s="50"/>
      <c r="AL224" s="50"/>
      <c r="AM224" s="50"/>
      <c r="AN224" s="50"/>
      <c r="AO224" s="9"/>
      <c r="AP224" s="9"/>
    </row>
    <row r="225" spans="1:42" x14ac:dyDescent="0.55000000000000004">
      <c r="A225" t="str">
        <f t="shared" si="3"/>
        <v/>
      </c>
      <c r="C225" s="103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49"/>
      <c r="V225" s="49"/>
      <c r="W225" s="49"/>
      <c r="X225" s="49"/>
      <c r="Y225" s="49"/>
      <c r="Z225" s="49"/>
      <c r="AA225" s="49"/>
      <c r="AB225" s="49"/>
      <c r="AC225" s="49"/>
      <c r="AD225" s="113"/>
      <c r="AE225" s="49"/>
      <c r="AF225" s="50"/>
      <c r="AG225" s="50"/>
      <c r="AH225" s="50"/>
      <c r="AI225" s="50"/>
      <c r="AJ225" s="50"/>
      <c r="AK225" s="50"/>
      <c r="AL225" s="50"/>
      <c r="AM225" s="50"/>
      <c r="AN225" s="50"/>
      <c r="AO225" s="9"/>
      <c r="AP225" s="9"/>
    </row>
    <row r="226" spans="1:42" x14ac:dyDescent="0.55000000000000004">
      <c r="A226" t="str">
        <f t="shared" si="3"/>
        <v/>
      </c>
      <c r="C226" s="103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49"/>
      <c r="V226" s="49"/>
      <c r="W226" s="49"/>
      <c r="X226" s="49"/>
      <c r="Y226" s="49"/>
      <c r="Z226" s="49"/>
      <c r="AA226" s="49"/>
      <c r="AB226" s="49"/>
      <c r="AC226" s="49"/>
      <c r="AD226" s="113"/>
      <c r="AE226" s="49"/>
      <c r="AF226" s="50"/>
      <c r="AG226" s="50"/>
      <c r="AH226" s="50"/>
      <c r="AI226" s="50"/>
      <c r="AJ226" s="50"/>
      <c r="AK226" s="50"/>
      <c r="AL226" s="50"/>
      <c r="AM226" s="50"/>
      <c r="AN226" s="50"/>
      <c r="AO226" s="9"/>
      <c r="AP226" s="9"/>
    </row>
    <row r="227" spans="1:42" x14ac:dyDescent="0.55000000000000004">
      <c r="A227" t="str">
        <f t="shared" si="3"/>
        <v/>
      </c>
      <c r="C227" s="103"/>
      <c r="D227" s="110"/>
      <c r="E227" s="110"/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49"/>
      <c r="V227" s="49"/>
      <c r="W227" s="49"/>
      <c r="X227" s="61"/>
      <c r="Y227" s="49"/>
      <c r="Z227" s="49"/>
      <c r="AA227" s="49"/>
      <c r="AB227" s="49"/>
      <c r="AC227" s="49"/>
      <c r="AD227" s="113"/>
      <c r="AE227" s="49"/>
      <c r="AF227" s="50"/>
      <c r="AG227" s="50"/>
      <c r="AH227" s="50"/>
      <c r="AI227" s="50"/>
      <c r="AJ227" s="50"/>
      <c r="AK227" s="50"/>
      <c r="AL227" s="50"/>
      <c r="AM227" s="50"/>
      <c r="AN227" s="50"/>
      <c r="AO227" s="9"/>
      <c r="AP227" s="9"/>
    </row>
    <row r="228" spans="1:42" x14ac:dyDescent="0.55000000000000004">
      <c r="A228" t="str">
        <f t="shared" si="3"/>
        <v/>
      </c>
      <c r="C228" s="103"/>
      <c r="D228" s="110"/>
      <c r="E228" s="110"/>
      <c r="F228" s="110"/>
      <c r="G228" s="110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49"/>
      <c r="V228" s="49"/>
      <c r="W228" s="49"/>
      <c r="X228" s="49"/>
      <c r="Y228" s="49"/>
      <c r="Z228" s="49"/>
      <c r="AA228" s="49"/>
      <c r="AB228" s="49"/>
      <c r="AC228" s="49"/>
      <c r="AD228" s="113"/>
      <c r="AE228" s="49"/>
      <c r="AF228" s="50"/>
      <c r="AG228" s="50"/>
      <c r="AH228" s="50"/>
      <c r="AI228" s="50"/>
      <c r="AJ228" s="50"/>
      <c r="AK228" s="50"/>
      <c r="AL228" s="50"/>
      <c r="AM228" s="50"/>
      <c r="AN228" s="50"/>
      <c r="AO228" s="9"/>
      <c r="AP228" s="9"/>
    </row>
    <row r="229" spans="1:42" x14ac:dyDescent="0.55000000000000004">
      <c r="A229" t="str">
        <f t="shared" si="3"/>
        <v/>
      </c>
      <c r="C229" s="103"/>
      <c r="D229" s="110"/>
      <c r="E229" s="110"/>
      <c r="F229" s="110"/>
      <c r="G229" s="110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49"/>
      <c r="V229" s="49"/>
      <c r="W229" s="49"/>
      <c r="X229" s="61"/>
      <c r="Y229" s="49"/>
      <c r="Z229" s="49"/>
      <c r="AA229" s="49"/>
      <c r="AB229" s="49"/>
      <c r="AC229" s="49"/>
      <c r="AD229" s="113"/>
      <c r="AE229" s="49"/>
      <c r="AF229" s="50"/>
      <c r="AG229" s="50"/>
      <c r="AH229" s="50"/>
      <c r="AI229" s="50"/>
      <c r="AJ229" s="50"/>
      <c r="AK229" s="50"/>
      <c r="AL229" s="50"/>
      <c r="AM229" s="50"/>
      <c r="AN229" s="50"/>
      <c r="AO229" s="9"/>
      <c r="AP229" s="9"/>
    </row>
    <row r="230" spans="1:42" x14ac:dyDescent="0.55000000000000004">
      <c r="A230" t="str">
        <f t="shared" si="3"/>
        <v/>
      </c>
      <c r="C230" s="103"/>
      <c r="D230" s="110"/>
      <c r="E230" s="110"/>
      <c r="F230" s="110"/>
      <c r="G230" s="110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49"/>
      <c r="V230" s="49"/>
      <c r="W230" s="49"/>
      <c r="X230" s="61"/>
      <c r="Y230" s="49"/>
      <c r="Z230" s="49"/>
      <c r="AA230" s="49"/>
      <c r="AB230" s="49"/>
      <c r="AC230" s="49"/>
      <c r="AD230" s="113"/>
      <c r="AE230" s="49"/>
      <c r="AF230" s="50"/>
      <c r="AG230" s="50"/>
      <c r="AH230" s="50"/>
      <c r="AI230" s="50"/>
      <c r="AJ230" s="50"/>
      <c r="AK230" s="50"/>
      <c r="AL230" s="50"/>
      <c r="AM230" s="50"/>
      <c r="AN230" s="50"/>
      <c r="AO230" s="9"/>
      <c r="AP230" s="9"/>
    </row>
    <row r="231" spans="1:42" x14ac:dyDescent="0.55000000000000004">
      <c r="A231" t="str">
        <f t="shared" si="3"/>
        <v/>
      </c>
      <c r="C231" s="103"/>
      <c r="D231" s="110"/>
      <c r="E231" s="110"/>
      <c r="F231" s="110"/>
      <c r="G231" s="110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49"/>
      <c r="V231" s="49"/>
      <c r="W231" s="49"/>
      <c r="X231" s="63"/>
      <c r="Y231" s="49"/>
      <c r="Z231" s="49"/>
      <c r="AA231" s="49"/>
      <c r="AB231" s="49"/>
      <c r="AC231" s="49"/>
      <c r="AD231" s="113"/>
      <c r="AE231" s="49"/>
      <c r="AF231" s="50"/>
      <c r="AG231" s="50"/>
      <c r="AH231" s="50"/>
      <c r="AI231" s="50"/>
      <c r="AJ231" s="50"/>
      <c r="AK231" s="50"/>
      <c r="AL231" s="50"/>
      <c r="AM231" s="50"/>
      <c r="AN231" s="50"/>
      <c r="AO231" s="9"/>
      <c r="AP231" s="9"/>
    </row>
    <row r="232" spans="1:42" x14ac:dyDescent="0.55000000000000004">
      <c r="A232" t="str">
        <f t="shared" si="3"/>
        <v/>
      </c>
      <c r="C232" s="103"/>
      <c r="D232" s="110"/>
      <c r="E232" s="110"/>
      <c r="F232" s="110"/>
      <c r="G232" s="110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49"/>
      <c r="V232" s="49"/>
      <c r="W232" s="49"/>
      <c r="X232" s="49"/>
      <c r="Y232" s="49"/>
      <c r="Z232" s="49"/>
      <c r="AA232" s="49"/>
      <c r="AB232" s="49"/>
      <c r="AC232" s="49"/>
      <c r="AD232" s="62"/>
      <c r="AE232" s="49"/>
      <c r="AF232" s="50"/>
      <c r="AG232" s="50"/>
      <c r="AH232" s="50"/>
      <c r="AI232" s="50"/>
      <c r="AJ232" s="50"/>
      <c r="AK232" s="50"/>
      <c r="AL232" s="50"/>
      <c r="AM232" s="50"/>
      <c r="AN232" s="50"/>
      <c r="AO232" s="9"/>
      <c r="AP232" s="9"/>
    </row>
    <row r="233" spans="1:42" x14ac:dyDescent="0.55000000000000004">
      <c r="A233" t="str">
        <f t="shared" si="3"/>
        <v/>
      </c>
      <c r="C233" s="103"/>
      <c r="D233" s="110"/>
      <c r="E233" s="110"/>
      <c r="F233" s="110"/>
      <c r="G233" s="110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49"/>
      <c r="V233" s="49"/>
      <c r="W233" s="49"/>
      <c r="X233" s="49"/>
      <c r="Y233" s="49"/>
      <c r="Z233" s="49"/>
      <c r="AA233" s="49"/>
      <c r="AB233" s="49"/>
      <c r="AC233" s="49"/>
      <c r="AD233" s="62"/>
      <c r="AE233" s="49"/>
      <c r="AF233" s="50"/>
      <c r="AG233" s="50"/>
      <c r="AH233" s="50"/>
      <c r="AI233" s="50"/>
      <c r="AJ233" s="50"/>
      <c r="AK233" s="50"/>
      <c r="AL233" s="50"/>
      <c r="AM233" s="50"/>
      <c r="AN233" s="50"/>
      <c r="AO233" s="9"/>
      <c r="AP233" s="9"/>
    </row>
    <row r="234" spans="1:42" x14ac:dyDescent="0.55000000000000004">
      <c r="A234" t="str">
        <f t="shared" si="3"/>
        <v/>
      </c>
      <c r="C234" s="103"/>
      <c r="D234" s="110"/>
      <c r="E234" s="110"/>
      <c r="F234" s="110"/>
      <c r="G234" s="110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49"/>
      <c r="V234" s="49"/>
      <c r="W234" s="49"/>
      <c r="X234" s="49"/>
      <c r="Y234" s="49"/>
      <c r="Z234" s="49"/>
      <c r="AA234" s="49"/>
      <c r="AB234" s="49"/>
      <c r="AC234" s="49"/>
      <c r="AD234" s="113"/>
      <c r="AE234" s="49"/>
      <c r="AF234" s="50"/>
      <c r="AG234" s="50"/>
      <c r="AH234" s="50"/>
      <c r="AI234" s="50"/>
      <c r="AJ234" s="50"/>
      <c r="AK234" s="50"/>
      <c r="AL234" s="50"/>
      <c r="AM234" s="50"/>
      <c r="AN234" s="50"/>
      <c r="AO234" s="9"/>
      <c r="AP234" s="9"/>
    </row>
    <row r="235" spans="1:42" x14ac:dyDescent="0.55000000000000004">
      <c r="A235" t="str">
        <f t="shared" si="3"/>
        <v/>
      </c>
      <c r="C235" s="103"/>
      <c r="D235" s="110"/>
      <c r="E235" s="110"/>
      <c r="F235" s="110"/>
      <c r="G235" s="110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49"/>
      <c r="V235" s="49"/>
      <c r="W235" s="49"/>
      <c r="X235" s="49"/>
      <c r="Y235" s="49"/>
      <c r="Z235" s="49"/>
      <c r="AA235" s="49"/>
      <c r="AB235" s="49"/>
      <c r="AC235" s="49"/>
      <c r="AD235" s="113"/>
      <c r="AE235" s="49"/>
      <c r="AF235" s="50"/>
      <c r="AG235" s="50"/>
      <c r="AH235" s="50"/>
      <c r="AI235" s="50"/>
      <c r="AJ235" s="50"/>
      <c r="AK235" s="50"/>
      <c r="AL235" s="50"/>
      <c r="AM235" s="50"/>
      <c r="AN235" s="50"/>
      <c r="AO235" s="9"/>
      <c r="AP235" s="9"/>
    </row>
    <row r="236" spans="1:42" x14ac:dyDescent="0.55000000000000004">
      <c r="A236" t="str">
        <f t="shared" si="3"/>
        <v/>
      </c>
      <c r="C236" s="103"/>
      <c r="D236" s="110"/>
      <c r="E236" s="110"/>
      <c r="F236" s="110"/>
      <c r="G236" s="110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49"/>
      <c r="V236" s="49"/>
      <c r="W236" s="49"/>
      <c r="X236" s="49"/>
      <c r="Y236" s="49"/>
      <c r="Z236" s="49"/>
      <c r="AA236" s="49"/>
      <c r="AB236" s="49"/>
      <c r="AC236" s="49"/>
      <c r="AD236" s="113"/>
      <c r="AE236" s="49"/>
      <c r="AF236" s="50"/>
      <c r="AG236" s="50"/>
      <c r="AH236" s="50"/>
      <c r="AI236" s="50"/>
      <c r="AJ236" s="50"/>
      <c r="AK236" s="50"/>
      <c r="AL236" s="50"/>
      <c r="AM236" s="50"/>
      <c r="AN236" s="50"/>
      <c r="AO236" s="9"/>
      <c r="AP236" s="9"/>
    </row>
    <row r="237" spans="1:42" x14ac:dyDescent="0.55000000000000004">
      <c r="A237" t="str">
        <f t="shared" si="3"/>
        <v/>
      </c>
      <c r="C237" s="103"/>
      <c r="D237" s="110"/>
      <c r="E237" s="110"/>
      <c r="F237" s="110"/>
      <c r="G237" s="110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49"/>
      <c r="V237" s="49"/>
      <c r="W237" s="49"/>
      <c r="X237" s="49"/>
      <c r="Y237" s="49"/>
      <c r="Z237" s="49"/>
      <c r="AA237" s="49"/>
      <c r="AB237" s="49"/>
      <c r="AC237" s="49"/>
      <c r="AD237" s="113"/>
      <c r="AE237" s="49"/>
      <c r="AF237" s="50"/>
      <c r="AG237" s="50"/>
      <c r="AH237" s="50"/>
      <c r="AI237" s="50"/>
      <c r="AJ237" s="50"/>
      <c r="AK237" s="50"/>
      <c r="AL237" s="50"/>
      <c r="AM237" s="50"/>
      <c r="AN237" s="50"/>
      <c r="AO237" s="9"/>
      <c r="AP237" s="9"/>
    </row>
    <row r="238" spans="1:42" x14ac:dyDescent="0.55000000000000004">
      <c r="A238" t="str">
        <f t="shared" si="3"/>
        <v/>
      </c>
      <c r="C238" s="103"/>
      <c r="D238" s="110"/>
      <c r="E238" s="110"/>
      <c r="F238" s="110"/>
      <c r="G238" s="110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49"/>
      <c r="V238" s="49"/>
      <c r="W238" s="49"/>
      <c r="X238" s="49"/>
      <c r="Y238" s="49"/>
      <c r="Z238" s="49"/>
      <c r="AA238" s="49"/>
      <c r="AB238" s="49"/>
      <c r="AC238" s="49"/>
      <c r="AD238" s="113"/>
      <c r="AE238" s="49"/>
      <c r="AF238" s="50"/>
      <c r="AG238" s="50"/>
      <c r="AH238" s="50"/>
      <c r="AI238" s="50"/>
      <c r="AJ238" s="50"/>
      <c r="AK238" s="50"/>
      <c r="AL238" s="50"/>
      <c r="AM238" s="50"/>
      <c r="AN238" s="50"/>
      <c r="AO238" s="9"/>
      <c r="AP238" s="9"/>
    </row>
    <row r="239" spans="1:42" x14ac:dyDescent="0.55000000000000004">
      <c r="A239" t="str">
        <f t="shared" si="3"/>
        <v/>
      </c>
      <c r="C239" s="103"/>
      <c r="D239" s="110"/>
      <c r="E239" s="110"/>
      <c r="F239" s="110"/>
      <c r="G239" s="110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49"/>
      <c r="V239" s="49"/>
      <c r="W239" s="49"/>
      <c r="X239" s="49"/>
      <c r="Y239" s="49"/>
      <c r="Z239" s="49"/>
      <c r="AA239" s="49"/>
      <c r="AB239" s="49"/>
      <c r="AC239" s="49"/>
      <c r="AD239" s="113"/>
      <c r="AE239" s="49"/>
      <c r="AF239" s="50"/>
      <c r="AG239" s="50"/>
      <c r="AH239" s="50"/>
      <c r="AI239" s="50"/>
      <c r="AJ239" s="50"/>
      <c r="AK239" s="50"/>
      <c r="AL239" s="50"/>
      <c r="AM239" s="50"/>
      <c r="AN239" s="50"/>
      <c r="AO239" s="9"/>
      <c r="AP239" s="9"/>
    </row>
    <row r="240" spans="1:42" x14ac:dyDescent="0.55000000000000004">
      <c r="A240" t="str">
        <f t="shared" si="3"/>
        <v/>
      </c>
      <c r="C240" s="103"/>
      <c r="D240" s="110"/>
      <c r="E240" s="110"/>
      <c r="F240" s="110"/>
      <c r="G240" s="110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49"/>
      <c r="V240" s="49"/>
      <c r="W240" s="49"/>
      <c r="X240" s="49"/>
      <c r="Y240" s="49"/>
      <c r="Z240" s="49"/>
      <c r="AA240" s="49"/>
      <c r="AB240" s="49"/>
      <c r="AC240" s="49"/>
      <c r="AD240" s="113"/>
      <c r="AE240" s="49"/>
      <c r="AF240" s="50"/>
      <c r="AG240" s="50"/>
      <c r="AH240" s="50"/>
      <c r="AI240" s="50"/>
      <c r="AJ240" s="50"/>
      <c r="AK240" s="50"/>
      <c r="AL240" s="50"/>
      <c r="AM240" s="50"/>
      <c r="AN240" s="50"/>
      <c r="AO240" s="9"/>
      <c r="AP240" s="9"/>
    </row>
    <row r="241" spans="1:42" x14ac:dyDescent="0.55000000000000004">
      <c r="A241" t="str">
        <f t="shared" si="3"/>
        <v/>
      </c>
      <c r="C241" s="103"/>
      <c r="D241" s="110"/>
      <c r="E241" s="110"/>
      <c r="F241" s="110"/>
      <c r="G241" s="110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49"/>
      <c r="V241" s="49"/>
      <c r="W241" s="49"/>
      <c r="X241" s="49"/>
      <c r="Y241" s="49"/>
      <c r="Z241" s="49"/>
      <c r="AA241" s="49"/>
      <c r="AB241" s="49"/>
      <c r="AC241" s="49"/>
      <c r="AD241" s="113"/>
      <c r="AE241" s="49"/>
      <c r="AF241" s="50"/>
      <c r="AG241" s="50"/>
      <c r="AH241" s="50"/>
      <c r="AI241" s="50"/>
      <c r="AJ241" s="50"/>
      <c r="AK241" s="50"/>
      <c r="AL241" s="50"/>
      <c r="AM241" s="50"/>
      <c r="AN241" s="50"/>
      <c r="AO241" s="9"/>
      <c r="AP241" s="9"/>
    </row>
    <row r="242" spans="1:42" x14ac:dyDescent="0.55000000000000004">
      <c r="A242" t="str">
        <f t="shared" si="3"/>
        <v/>
      </c>
      <c r="C242" s="103"/>
      <c r="D242" s="110"/>
      <c r="E242" s="110"/>
      <c r="F242" s="110"/>
      <c r="G242" s="110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49"/>
      <c r="V242" s="49"/>
      <c r="W242" s="49"/>
      <c r="X242" s="49"/>
      <c r="Y242" s="49"/>
      <c r="Z242" s="49"/>
      <c r="AA242" s="49"/>
      <c r="AB242" s="49"/>
      <c r="AC242" s="49"/>
      <c r="AD242" s="113"/>
      <c r="AE242" s="49"/>
      <c r="AF242" s="52"/>
      <c r="AG242" s="52"/>
      <c r="AH242" s="52"/>
      <c r="AI242" s="52"/>
      <c r="AJ242" s="52"/>
      <c r="AK242" s="50"/>
      <c r="AL242" s="50"/>
      <c r="AM242" s="50"/>
      <c r="AN242" s="50"/>
      <c r="AO242" s="9"/>
      <c r="AP242" s="9"/>
    </row>
    <row r="243" spans="1:42" x14ac:dyDescent="0.55000000000000004">
      <c r="A243" t="str">
        <f t="shared" si="3"/>
        <v/>
      </c>
      <c r="C243" s="103"/>
      <c r="D243" s="110"/>
      <c r="E243" s="110"/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49"/>
      <c r="V243" s="49"/>
      <c r="W243" s="49"/>
      <c r="X243" s="49"/>
      <c r="Y243" s="49"/>
      <c r="Z243" s="49"/>
      <c r="AA243" s="49"/>
      <c r="AB243" s="49"/>
      <c r="AC243" s="49"/>
      <c r="AD243" s="113"/>
      <c r="AE243" s="49"/>
      <c r="AF243" s="50"/>
      <c r="AG243" s="50"/>
      <c r="AH243" s="50"/>
      <c r="AI243" s="50"/>
      <c r="AJ243" s="50"/>
      <c r="AK243" s="50"/>
      <c r="AL243" s="50"/>
      <c r="AM243" s="50"/>
      <c r="AN243" s="50"/>
      <c r="AO243" s="9"/>
      <c r="AP243" s="9"/>
    </row>
    <row r="244" spans="1:42" x14ac:dyDescent="0.55000000000000004">
      <c r="A244" t="str">
        <f t="shared" si="3"/>
        <v/>
      </c>
      <c r="C244" s="103"/>
      <c r="D244" s="110"/>
      <c r="E244" s="110"/>
      <c r="F244" s="110"/>
      <c r="G244" s="110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49"/>
      <c r="V244" s="49"/>
      <c r="W244" s="49"/>
      <c r="X244" s="49"/>
      <c r="Y244" s="49"/>
      <c r="Z244" s="49"/>
      <c r="AA244" s="49"/>
      <c r="AB244" s="49"/>
      <c r="AC244" s="49"/>
      <c r="AD244" s="113"/>
      <c r="AE244" s="49"/>
      <c r="AF244" s="50"/>
      <c r="AG244" s="50"/>
      <c r="AH244" s="50"/>
      <c r="AI244" s="50"/>
      <c r="AJ244" s="50"/>
      <c r="AK244" s="50"/>
      <c r="AL244" s="50"/>
      <c r="AM244" s="50"/>
      <c r="AN244" s="50"/>
      <c r="AO244" s="9"/>
      <c r="AP244" s="9"/>
    </row>
    <row r="245" spans="1:42" x14ac:dyDescent="0.55000000000000004">
      <c r="A245" t="str">
        <f t="shared" si="3"/>
        <v/>
      </c>
      <c r="C245" s="103"/>
      <c r="D245" s="110"/>
      <c r="E245" s="110"/>
      <c r="F245" s="110"/>
      <c r="G245" s="110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49"/>
      <c r="V245" s="49"/>
      <c r="W245" s="49"/>
      <c r="X245" s="49"/>
      <c r="Y245" s="49"/>
      <c r="Z245" s="49"/>
      <c r="AA245" s="49"/>
      <c r="AB245" s="49"/>
      <c r="AC245" s="49"/>
      <c r="AD245" s="113"/>
      <c r="AE245" s="49"/>
      <c r="AF245" s="50"/>
      <c r="AG245" s="50"/>
      <c r="AH245" s="50"/>
      <c r="AI245" s="50"/>
      <c r="AJ245" s="50"/>
      <c r="AK245" s="50"/>
      <c r="AL245" s="50"/>
      <c r="AM245" s="50"/>
      <c r="AN245" s="50"/>
      <c r="AO245" s="9"/>
      <c r="AP245" s="9"/>
    </row>
    <row r="246" spans="1:42" x14ac:dyDescent="0.55000000000000004">
      <c r="A246" t="str">
        <f t="shared" si="3"/>
        <v/>
      </c>
      <c r="C246" s="103"/>
      <c r="D246" s="110"/>
      <c r="E246" s="110"/>
      <c r="F246" s="110"/>
      <c r="G246" s="110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49"/>
      <c r="V246" s="49"/>
      <c r="W246" s="49"/>
      <c r="X246" s="49"/>
      <c r="Y246" s="49"/>
      <c r="Z246" s="49"/>
      <c r="AA246" s="49"/>
      <c r="AB246" s="49"/>
      <c r="AC246" s="49"/>
      <c r="AD246" s="113"/>
      <c r="AE246" s="49"/>
      <c r="AF246" s="50"/>
      <c r="AG246" s="50"/>
      <c r="AH246" s="50"/>
      <c r="AI246" s="50"/>
      <c r="AJ246" s="50"/>
      <c r="AK246" s="50"/>
      <c r="AL246" s="50"/>
      <c r="AM246" s="50"/>
      <c r="AN246" s="50"/>
      <c r="AO246" s="9"/>
      <c r="AP246" s="9"/>
    </row>
    <row r="247" spans="1:42" x14ac:dyDescent="0.55000000000000004">
      <c r="A247" t="str">
        <f t="shared" si="3"/>
        <v/>
      </c>
      <c r="C247" s="103"/>
      <c r="D247" s="110"/>
      <c r="E247" s="110"/>
      <c r="F247" s="110"/>
      <c r="G247" s="110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49"/>
      <c r="V247" s="49"/>
      <c r="W247" s="49"/>
      <c r="X247" s="49"/>
      <c r="Y247" s="49"/>
      <c r="Z247" s="49"/>
      <c r="AA247" s="49"/>
      <c r="AB247" s="49"/>
      <c r="AC247" s="49"/>
      <c r="AD247" s="113"/>
      <c r="AE247" s="49"/>
      <c r="AF247" s="50"/>
      <c r="AG247" s="50"/>
      <c r="AH247" s="50"/>
      <c r="AI247" s="50"/>
      <c r="AJ247" s="50"/>
      <c r="AK247" s="50"/>
      <c r="AL247" s="50"/>
      <c r="AM247" s="50"/>
      <c r="AN247" s="50"/>
      <c r="AO247" s="9"/>
      <c r="AP247" s="9"/>
    </row>
    <row r="248" spans="1:42" x14ac:dyDescent="0.55000000000000004">
      <c r="A248" t="str">
        <f t="shared" si="3"/>
        <v/>
      </c>
      <c r="C248" s="103"/>
      <c r="D248" s="110"/>
      <c r="E248" s="110"/>
      <c r="F248" s="110"/>
      <c r="G248" s="110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49"/>
      <c r="V248" s="49"/>
      <c r="W248" s="49"/>
      <c r="X248" s="49"/>
      <c r="Y248" s="49"/>
      <c r="Z248" s="49"/>
      <c r="AA248" s="49"/>
      <c r="AB248" s="49"/>
      <c r="AC248" s="49"/>
      <c r="AD248" s="113"/>
      <c r="AE248" s="49"/>
      <c r="AF248" s="50"/>
      <c r="AG248" s="50"/>
      <c r="AH248" s="50"/>
      <c r="AI248" s="50"/>
      <c r="AJ248" s="50"/>
      <c r="AK248" s="50"/>
      <c r="AL248" s="50"/>
      <c r="AM248" s="50"/>
      <c r="AN248" s="50"/>
      <c r="AO248" s="9"/>
      <c r="AP248" s="9"/>
    </row>
    <row r="249" spans="1:42" x14ac:dyDescent="0.55000000000000004">
      <c r="A249" t="str">
        <f t="shared" si="3"/>
        <v/>
      </c>
      <c r="C249" s="103"/>
      <c r="D249" s="110"/>
      <c r="E249" s="110"/>
      <c r="F249" s="110"/>
      <c r="G249" s="110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49"/>
      <c r="V249" s="49"/>
      <c r="W249" s="49"/>
      <c r="X249" s="49"/>
      <c r="Y249" s="49"/>
      <c r="Z249" s="49"/>
      <c r="AA249" s="49"/>
      <c r="AB249" s="49"/>
      <c r="AC249" s="49"/>
      <c r="AD249" s="113"/>
      <c r="AE249" s="49"/>
      <c r="AF249" s="50"/>
      <c r="AG249" s="50"/>
      <c r="AH249" s="50"/>
      <c r="AI249" s="50"/>
      <c r="AJ249" s="50"/>
      <c r="AK249" s="50"/>
      <c r="AL249" s="50"/>
      <c r="AM249" s="50"/>
      <c r="AN249" s="50"/>
      <c r="AO249" s="9"/>
      <c r="AP249" s="9"/>
    </row>
    <row r="250" spans="1:42" x14ac:dyDescent="0.55000000000000004">
      <c r="A250" t="str">
        <f t="shared" si="3"/>
        <v/>
      </c>
      <c r="C250" s="103"/>
      <c r="D250" s="110"/>
      <c r="E250" s="110"/>
      <c r="F250" s="110"/>
      <c r="G250" s="110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49"/>
      <c r="V250" s="49"/>
      <c r="W250" s="49"/>
      <c r="X250" s="49"/>
      <c r="Y250" s="49"/>
      <c r="Z250" s="49"/>
      <c r="AA250" s="49"/>
      <c r="AB250" s="49"/>
      <c r="AC250" s="49"/>
      <c r="AD250" s="113"/>
      <c r="AE250" s="49"/>
      <c r="AF250" s="50"/>
      <c r="AG250" s="50"/>
      <c r="AH250" s="50"/>
      <c r="AI250" s="50"/>
      <c r="AJ250" s="50"/>
      <c r="AK250" s="50"/>
      <c r="AL250" s="50"/>
      <c r="AM250" s="50"/>
      <c r="AN250" s="50"/>
      <c r="AO250" s="9"/>
      <c r="AP250" s="9"/>
    </row>
    <row r="251" spans="1:42" x14ac:dyDescent="0.55000000000000004">
      <c r="A251" t="str">
        <f t="shared" si="3"/>
        <v/>
      </c>
      <c r="C251" s="103"/>
      <c r="D251" s="110"/>
      <c r="E251" s="110"/>
      <c r="F251" s="110"/>
      <c r="G251" s="110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49"/>
      <c r="V251" s="49"/>
      <c r="W251" s="49"/>
      <c r="X251" s="49"/>
      <c r="Y251" s="49"/>
      <c r="Z251" s="49"/>
      <c r="AA251" s="49"/>
      <c r="AB251" s="49"/>
      <c r="AC251" s="49"/>
      <c r="AD251" s="113"/>
      <c r="AE251" s="49"/>
      <c r="AF251" s="50"/>
      <c r="AG251" s="50"/>
      <c r="AH251" s="50"/>
      <c r="AI251" s="50"/>
      <c r="AJ251" s="50"/>
      <c r="AK251" s="50"/>
      <c r="AL251" s="50"/>
      <c r="AM251" s="50"/>
      <c r="AN251" s="50"/>
      <c r="AO251" s="9"/>
      <c r="AP251" s="9"/>
    </row>
    <row r="252" spans="1:42" x14ac:dyDescent="0.55000000000000004">
      <c r="A252" t="str">
        <f t="shared" si="3"/>
        <v/>
      </c>
      <c r="C252" s="103"/>
      <c r="D252" s="110"/>
      <c r="E252" s="110"/>
      <c r="F252" s="110"/>
      <c r="G252" s="110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49"/>
      <c r="V252" s="49"/>
      <c r="W252" s="49"/>
      <c r="X252" s="49"/>
      <c r="Y252" s="49"/>
      <c r="Z252" s="49"/>
      <c r="AA252" s="49"/>
      <c r="AB252" s="49"/>
      <c r="AC252" s="49"/>
      <c r="AD252" s="113"/>
      <c r="AE252" s="49"/>
      <c r="AF252" s="50"/>
      <c r="AG252" s="50"/>
      <c r="AH252" s="50"/>
      <c r="AI252" s="50"/>
      <c r="AJ252" s="50"/>
      <c r="AK252" s="50"/>
      <c r="AL252" s="50"/>
      <c r="AM252" s="50"/>
      <c r="AN252" s="50"/>
      <c r="AO252" s="9"/>
      <c r="AP252" s="9"/>
    </row>
    <row r="253" spans="1:42" x14ac:dyDescent="0.55000000000000004">
      <c r="A253" t="str">
        <f t="shared" si="3"/>
        <v/>
      </c>
      <c r="C253" s="103"/>
      <c r="D253" s="110"/>
      <c r="E253" s="110"/>
      <c r="F253" s="110"/>
      <c r="G253" s="110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49"/>
      <c r="V253" s="49"/>
      <c r="W253" s="49"/>
      <c r="X253" s="49"/>
      <c r="Y253" s="49"/>
      <c r="Z253" s="49"/>
      <c r="AA253" s="49"/>
      <c r="AB253" s="49"/>
      <c r="AC253" s="49"/>
      <c r="AD253" s="113"/>
      <c r="AE253" s="49"/>
      <c r="AF253" s="50"/>
      <c r="AG253" s="50"/>
      <c r="AH253" s="50"/>
      <c r="AI253" s="50"/>
      <c r="AJ253" s="50"/>
      <c r="AK253" s="50"/>
      <c r="AL253" s="50"/>
      <c r="AM253" s="50"/>
      <c r="AN253" s="50"/>
      <c r="AO253" s="9"/>
      <c r="AP253" s="9"/>
    </row>
    <row r="254" spans="1:42" x14ac:dyDescent="0.55000000000000004">
      <c r="A254" t="str">
        <f t="shared" si="3"/>
        <v/>
      </c>
      <c r="C254" s="103"/>
      <c r="D254" s="110"/>
      <c r="E254" s="110"/>
      <c r="F254" s="110"/>
      <c r="G254" s="110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49"/>
      <c r="V254" s="49"/>
      <c r="W254" s="49"/>
      <c r="X254" s="49"/>
      <c r="Y254" s="49"/>
      <c r="Z254" s="49"/>
      <c r="AA254" s="49"/>
      <c r="AB254" s="49"/>
      <c r="AC254" s="49"/>
      <c r="AD254" s="113"/>
      <c r="AE254" s="49"/>
      <c r="AF254" s="50"/>
      <c r="AG254" s="50"/>
      <c r="AH254" s="50"/>
      <c r="AI254" s="50"/>
      <c r="AJ254" s="50"/>
      <c r="AK254" s="50"/>
      <c r="AL254" s="50"/>
      <c r="AM254" s="50"/>
      <c r="AN254" s="50"/>
      <c r="AO254" s="9"/>
      <c r="AP254" s="9"/>
    </row>
    <row r="255" spans="1:42" x14ac:dyDescent="0.55000000000000004">
      <c r="A255" t="str">
        <f t="shared" si="3"/>
        <v/>
      </c>
      <c r="C255" s="103"/>
      <c r="D255" s="110"/>
      <c r="E255" s="110"/>
      <c r="F255" s="110"/>
      <c r="G255" s="110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49"/>
      <c r="V255" s="49"/>
      <c r="W255" s="49"/>
      <c r="X255" s="49"/>
      <c r="Y255" s="49"/>
      <c r="Z255" s="49"/>
      <c r="AA255" s="49"/>
      <c r="AB255" s="49"/>
      <c r="AC255" s="49"/>
      <c r="AD255" s="113"/>
      <c r="AE255" s="49"/>
      <c r="AF255" s="50"/>
      <c r="AG255" s="50"/>
      <c r="AH255" s="50"/>
      <c r="AI255" s="50"/>
      <c r="AJ255" s="50"/>
      <c r="AK255" s="50"/>
      <c r="AL255" s="50"/>
      <c r="AM255" s="50"/>
      <c r="AN255" s="50"/>
      <c r="AO255" s="9"/>
      <c r="AP255" s="9"/>
    </row>
    <row r="256" spans="1:42" x14ac:dyDescent="0.55000000000000004">
      <c r="A256" t="str">
        <f t="shared" si="3"/>
        <v/>
      </c>
      <c r="C256" s="103"/>
      <c r="D256" s="110"/>
      <c r="E256" s="110"/>
      <c r="F256" s="110"/>
      <c r="G256" s="110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49"/>
      <c r="V256" s="49"/>
      <c r="W256" s="49"/>
      <c r="X256" s="49"/>
      <c r="Y256" s="49"/>
      <c r="Z256" s="49"/>
      <c r="AA256" s="49"/>
      <c r="AB256" s="49"/>
      <c r="AC256" s="49"/>
      <c r="AD256" s="113"/>
      <c r="AE256" s="49"/>
      <c r="AF256" s="50"/>
      <c r="AG256" s="50"/>
      <c r="AH256" s="50"/>
      <c r="AI256" s="50"/>
      <c r="AJ256" s="50"/>
      <c r="AK256" s="50"/>
      <c r="AL256" s="50"/>
      <c r="AM256" s="50"/>
      <c r="AN256" s="50"/>
      <c r="AO256" s="9"/>
      <c r="AP256" s="9"/>
    </row>
    <row r="257" spans="1:42" x14ac:dyDescent="0.55000000000000004">
      <c r="A257" t="str">
        <f t="shared" si="3"/>
        <v/>
      </c>
      <c r="C257" s="103"/>
      <c r="D257" s="110"/>
      <c r="E257" s="110"/>
      <c r="F257" s="110"/>
      <c r="G257" s="110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49"/>
      <c r="V257" s="49"/>
      <c r="W257" s="49"/>
      <c r="X257" s="49"/>
      <c r="Y257" s="49"/>
      <c r="Z257" s="49"/>
      <c r="AA257" s="49"/>
      <c r="AB257" s="49"/>
      <c r="AC257" s="49"/>
      <c r="AD257" s="113"/>
      <c r="AE257" s="49"/>
      <c r="AF257" s="50"/>
      <c r="AG257" s="50"/>
      <c r="AH257" s="50"/>
      <c r="AI257" s="50"/>
      <c r="AJ257" s="55"/>
      <c r="AK257" s="50"/>
      <c r="AL257" s="50"/>
      <c r="AM257" s="50"/>
      <c r="AN257" s="50"/>
      <c r="AO257" s="9"/>
      <c r="AP257" s="9"/>
    </row>
    <row r="258" spans="1:42" x14ac:dyDescent="0.55000000000000004">
      <c r="A258" t="str">
        <f t="shared" si="3"/>
        <v/>
      </c>
      <c r="C258" s="103"/>
      <c r="D258" s="110"/>
      <c r="E258" s="110"/>
      <c r="F258" s="110"/>
      <c r="G258" s="110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49"/>
      <c r="V258" s="49"/>
      <c r="W258" s="49"/>
      <c r="X258" s="49"/>
      <c r="Y258" s="49"/>
      <c r="Z258" s="49"/>
      <c r="AA258" s="49"/>
      <c r="AB258" s="49"/>
      <c r="AC258" s="49"/>
      <c r="AD258" s="113"/>
      <c r="AE258" s="49"/>
      <c r="AF258" s="50"/>
      <c r="AG258" s="50"/>
      <c r="AH258" s="50"/>
      <c r="AI258" s="50"/>
      <c r="AJ258" s="55"/>
      <c r="AK258" s="50"/>
      <c r="AL258" s="50"/>
      <c r="AM258" s="50"/>
      <c r="AN258" s="50"/>
      <c r="AO258" s="9"/>
      <c r="AP258" s="9"/>
    </row>
    <row r="259" spans="1:42" x14ac:dyDescent="0.55000000000000004">
      <c r="A259" t="str">
        <f t="shared" ref="A259:A322" si="4">H259&amp;I259&amp;J259</f>
        <v/>
      </c>
      <c r="C259" s="103"/>
      <c r="D259" s="110"/>
      <c r="E259" s="110"/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49"/>
      <c r="V259" s="49"/>
      <c r="W259" s="49"/>
      <c r="X259" s="49"/>
      <c r="Y259" s="49"/>
      <c r="Z259" s="49"/>
      <c r="AA259" s="49"/>
      <c r="AB259" s="49"/>
      <c r="AC259" s="49"/>
      <c r="AD259" s="113"/>
      <c r="AE259" s="49"/>
      <c r="AF259" s="50"/>
      <c r="AG259" s="50"/>
      <c r="AH259" s="50"/>
      <c r="AI259" s="50"/>
      <c r="AJ259" s="55"/>
      <c r="AK259" s="50"/>
      <c r="AL259" s="50"/>
      <c r="AM259" s="50"/>
      <c r="AN259" s="50"/>
      <c r="AO259" s="9"/>
      <c r="AP259" s="9"/>
    </row>
    <row r="260" spans="1:42" x14ac:dyDescent="0.55000000000000004">
      <c r="A260" t="str">
        <f t="shared" si="4"/>
        <v/>
      </c>
      <c r="C260" s="103"/>
      <c r="D260" s="110"/>
      <c r="E260" s="110"/>
      <c r="F260" s="110"/>
      <c r="G260" s="110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49"/>
      <c r="V260" s="49"/>
      <c r="W260" s="49"/>
      <c r="X260" s="49"/>
      <c r="Y260" s="49"/>
      <c r="Z260" s="49"/>
      <c r="AA260" s="49"/>
      <c r="AB260" s="49"/>
      <c r="AC260" s="49"/>
      <c r="AD260" s="113"/>
      <c r="AE260" s="49"/>
      <c r="AF260" s="50"/>
      <c r="AG260" s="50"/>
      <c r="AH260" s="50"/>
      <c r="AI260" s="50"/>
      <c r="AJ260" s="55"/>
      <c r="AK260" s="50"/>
      <c r="AL260" s="50"/>
      <c r="AM260" s="50"/>
      <c r="AN260" s="50"/>
      <c r="AO260" s="9"/>
      <c r="AP260" s="9"/>
    </row>
    <row r="261" spans="1:42" x14ac:dyDescent="0.55000000000000004">
      <c r="A261" t="str">
        <f t="shared" si="4"/>
        <v/>
      </c>
      <c r="C261" s="103"/>
      <c r="D261" s="110"/>
      <c r="E261" s="110"/>
      <c r="F261" s="110"/>
      <c r="G261" s="110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49"/>
      <c r="V261" s="49"/>
      <c r="W261" s="49"/>
      <c r="X261" s="49"/>
      <c r="Y261" s="49"/>
      <c r="Z261" s="49"/>
      <c r="AA261" s="49"/>
      <c r="AB261" s="49"/>
      <c r="AC261" s="49"/>
      <c r="AD261" s="113"/>
      <c r="AE261" s="49"/>
      <c r="AF261" s="50"/>
      <c r="AG261" s="50"/>
      <c r="AH261" s="50"/>
      <c r="AI261" s="50"/>
      <c r="AJ261" s="55"/>
      <c r="AK261" s="50"/>
      <c r="AL261" s="50"/>
      <c r="AM261" s="50"/>
      <c r="AN261" s="50"/>
      <c r="AO261" s="9"/>
      <c r="AP261" s="9"/>
    </row>
    <row r="262" spans="1:42" x14ac:dyDescent="0.55000000000000004">
      <c r="A262" t="str">
        <f t="shared" si="4"/>
        <v/>
      </c>
      <c r="C262" s="103"/>
      <c r="D262" s="110"/>
      <c r="E262" s="110"/>
      <c r="F262" s="110"/>
      <c r="G262" s="110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49"/>
      <c r="V262" s="49"/>
      <c r="W262" s="49"/>
      <c r="X262" s="49"/>
      <c r="Y262" s="49"/>
      <c r="Z262" s="49"/>
      <c r="AA262" s="49"/>
      <c r="AB262" s="49"/>
      <c r="AC262" s="49"/>
      <c r="AD262" s="113"/>
      <c r="AE262" s="49"/>
      <c r="AF262" s="50"/>
      <c r="AG262" s="50"/>
      <c r="AH262" s="50"/>
      <c r="AI262" s="50"/>
      <c r="AJ262" s="55"/>
      <c r="AK262" s="50"/>
      <c r="AL262" s="50"/>
      <c r="AM262" s="50"/>
      <c r="AN262" s="50"/>
      <c r="AO262" s="9"/>
      <c r="AP262" s="9"/>
    </row>
    <row r="263" spans="1:42" x14ac:dyDescent="0.55000000000000004">
      <c r="A263" t="str">
        <f t="shared" si="4"/>
        <v/>
      </c>
      <c r="C263" s="103"/>
      <c r="D263" s="110"/>
      <c r="E263" s="110"/>
      <c r="F263" s="110"/>
      <c r="G263" s="110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49"/>
      <c r="V263" s="49"/>
      <c r="W263" s="49"/>
      <c r="X263" s="49"/>
      <c r="Y263" s="49"/>
      <c r="Z263" s="49"/>
      <c r="AA263" s="49"/>
      <c r="AB263" s="49"/>
      <c r="AC263" s="49"/>
      <c r="AD263" s="113"/>
      <c r="AE263" s="49"/>
      <c r="AF263" s="50"/>
      <c r="AG263" s="50"/>
      <c r="AH263" s="50"/>
      <c r="AI263" s="50"/>
      <c r="AJ263" s="55"/>
      <c r="AK263" s="50"/>
      <c r="AL263" s="50"/>
      <c r="AM263" s="50"/>
      <c r="AN263" s="50"/>
      <c r="AO263" s="9"/>
      <c r="AP263" s="9"/>
    </row>
    <row r="264" spans="1:42" x14ac:dyDescent="0.55000000000000004">
      <c r="A264" t="str">
        <f t="shared" si="4"/>
        <v/>
      </c>
      <c r="C264" s="103"/>
      <c r="D264" s="110"/>
      <c r="E264" s="110"/>
      <c r="F264" s="110"/>
      <c r="G264" s="110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49"/>
      <c r="V264" s="49"/>
      <c r="W264" s="49"/>
      <c r="X264" s="49"/>
      <c r="Y264" s="49"/>
      <c r="Z264" s="49"/>
      <c r="AA264" s="49"/>
      <c r="AB264" s="49"/>
      <c r="AC264" s="49"/>
      <c r="AD264" s="113"/>
      <c r="AE264" s="49"/>
      <c r="AF264" s="50"/>
      <c r="AG264" s="50"/>
      <c r="AH264" s="50"/>
      <c r="AI264" s="50"/>
      <c r="AJ264" s="55"/>
      <c r="AK264" s="50"/>
      <c r="AL264" s="50"/>
      <c r="AM264" s="50"/>
      <c r="AN264" s="50"/>
      <c r="AO264" s="9"/>
      <c r="AP264" s="9"/>
    </row>
    <row r="265" spans="1:42" x14ac:dyDescent="0.55000000000000004">
      <c r="A265" t="str">
        <f t="shared" si="4"/>
        <v/>
      </c>
      <c r="C265" s="103"/>
      <c r="D265" s="110"/>
      <c r="E265" s="110"/>
      <c r="F265" s="110"/>
      <c r="G265" s="110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49"/>
      <c r="V265" s="49"/>
      <c r="W265" s="49"/>
      <c r="X265" s="49"/>
      <c r="Y265" s="49"/>
      <c r="Z265" s="49"/>
      <c r="AA265" s="49"/>
      <c r="AB265" s="49"/>
      <c r="AC265" s="49"/>
      <c r="AD265" s="113"/>
      <c r="AE265" s="49"/>
      <c r="AF265" s="50"/>
      <c r="AG265" s="50"/>
      <c r="AH265" s="50"/>
      <c r="AI265" s="50"/>
      <c r="AJ265" s="50"/>
      <c r="AK265" s="50"/>
      <c r="AL265" s="50"/>
      <c r="AM265" s="50"/>
      <c r="AN265" s="50"/>
      <c r="AO265" s="9"/>
      <c r="AP265" s="9"/>
    </row>
    <row r="266" spans="1:42" x14ac:dyDescent="0.55000000000000004">
      <c r="A266" t="str">
        <f t="shared" si="4"/>
        <v/>
      </c>
      <c r="C266" s="103"/>
      <c r="D266" s="110"/>
      <c r="E266" s="110"/>
      <c r="F266" s="110"/>
      <c r="G266" s="110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49"/>
      <c r="V266" s="49"/>
      <c r="W266" s="49"/>
      <c r="X266" s="49"/>
      <c r="Y266" s="49"/>
      <c r="Z266" s="49"/>
      <c r="AA266" s="49"/>
      <c r="AB266" s="49"/>
      <c r="AC266" s="49"/>
      <c r="AD266" s="113"/>
      <c r="AE266" s="49"/>
      <c r="AF266" s="50"/>
      <c r="AG266" s="50"/>
      <c r="AH266" s="50"/>
      <c r="AI266" s="50"/>
      <c r="AJ266" s="50"/>
      <c r="AK266" s="50"/>
      <c r="AL266" s="50"/>
      <c r="AM266" s="50"/>
      <c r="AN266" s="50"/>
      <c r="AO266" s="9"/>
      <c r="AP266" s="9"/>
    </row>
    <row r="267" spans="1:42" x14ac:dyDescent="0.55000000000000004">
      <c r="A267" t="str">
        <f t="shared" si="4"/>
        <v/>
      </c>
      <c r="C267" s="103"/>
      <c r="D267" s="110"/>
      <c r="E267" s="110"/>
      <c r="F267" s="110"/>
      <c r="G267" s="110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49"/>
      <c r="V267" s="49"/>
      <c r="W267" s="49"/>
      <c r="X267" s="49"/>
      <c r="Y267" s="49"/>
      <c r="Z267" s="49"/>
      <c r="AA267" s="49"/>
      <c r="AB267" s="49"/>
      <c r="AC267" s="49"/>
      <c r="AD267" s="113"/>
      <c r="AE267" s="49"/>
      <c r="AF267" s="50"/>
      <c r="AG267" s="50"/>
      <c r="AH267" s="50"/>
      <c r="AI267" s="50"/>
      <c r="AJ267" s="50"/>
      <c r="AK267" s="50"/>
      <c r="AL267" s="50"/>
      <c r="AM267" s="50"/>
      <c r="AN267" s="50"/>
      <c r="AO267" s="9"/>
      <c r="AP267" s="9"/>
    </row>
    <row r="268" spans="1:42" x14ac:dyDescent="0.55000000000000004">
      <c r="A268" t="str">
        <f t="shared" si="4"/>
        <v/>
      </c>
      <c r="C268" s="103"/>
      <c r="D268" s="110"/>
      <c r="E268" s="110"/>
      <c r="F268" s="110"/>
      <c r="G268" s="110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49"/>
      <c r="V268" s="49"/>
      <c r="W268" s="49"/>
      <c r="X268" s="49"/>
      <c r="Y268" s="49"/>
      <c r="Z268" s="49"/>
      <c r="AA268" s="49"/>
      <c r="AB268" s="49"/>
      <c r="AC268" s="49"/>
      <c r="AD268" s="113"/>
      <c r="AE268" s="49"/>
      <c r="AF268" s="50"/>
      <c r="AG268" s="50"/>
      <c r="AH268" s="50"/>
      <c r="AI268" s="50"/>
      <c r="AJ268" s="50"/>
      <c r="AK268" s="50"/>
      <c r="AL268" s="50"/>
      <c r="AM268" s="50"/>
      <c r="AN268" s="50"/>
      <c r="AO268" s="9"/>
      <c r="AP268" s="9"/>
    </row>
    <row r="269" spans="1:42" x14ac:dyDescent="0.55000000000000004">
      <c r="A269" t="str">
        <f t="shared" si="4"/>
        <v/>
      </c>
      <c r="C269" s="103"/>
      <c r="D269" s="110"/>
      <c r="E269" s="110"/>
      <c r="F269" s="110"/>
      <c r="G269" s="110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49"/>
      <c r="V269" s="49"/>
      <c r="W269" s="49"/>
      <c r="X269" s="49"/>
      <c r="Y269" s="49"/>
      <c r="Z269" s="49"/>
      <c r="AA269" s="49"/>
      <c r="AB269" s="49"/>
      <c r="AC269" s="49"/>
      <c r="AD269" s="113"/>
      <c r="AE269" s="49"/>
      <c r="AF269" s="50"/>
      <c r="AG269" s="50"/>
      <c r="AH269" s="50"/>
      <c r="AI269" s="50"/>
      <c r="AJ269" s="50"/>
      <c r="AK269" s="50"/>
      <c r="AL269" s="50"/>
      <c r="AM269" s="50"/>
      <c r="AN269" s="50"/>
      <c r="AO269" s="9"/>
      <c r="AP269" s="9"/>
    </row>
    <row r="270" spans="1:42" x14ac:dyDescent="0.55000000000000004">
      <c r="A270" t="str">
        <f t="shared" si="4"/>
        <v/>
      </c>
      <c r="C270" s="103"/>
      <c r="D270" s="110"/>
      <c r="E270" s="110"/>
      <c r="F270" s="110"/>
      <c r="G270" s="110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49"/>
      <c r="V270" s="49"/>
      <c r="W270" s="49"/>
      <c r="X270" s="49"/>
      <c r="Y270" s="49"/>
      <c r="Z270" s="49"/>
      <c r="AA270" s="49"/>
      <c r="AB270" s="49"/>
      <c r="AC270" s="49"/>
      <c r="AD270" s="113"/>
      <c r="AE270" s="49"/>
      <c r="AF270" s="50"/>
      <c r="AG270" s="50"/>
      <c r="AH270" s="50"/>
      <c r="AI270" s="50"/>
      <c r="AJ270" s="50"/>
      <c r="AK270" s="50"/>
      <c r="AL270" s="50"/>
      <c r="AM270" s="50"/>
      <c r="AN270" s="50"/>
      <c r="AO270" s="9"/>
      <c r="AP270" s="9"/>
    </row>
    <row r="271" spans="1:42" x14ac:dyDescent="0.55000000000000004">
      <c r="A271" t="str">
        <f t="shared" si="4"/>
        <v/>
      </c>
      <c r="C271" s="103"/>
      <c r="D271" s="110"/>
      <c r="E271" s="110"/>
      <c r="F271" s="110"/>
      <c r="G271" s="110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49"/>
      <c r="V271" s="49"/>
      <c r="W271" s="49"/>
      <c r="X271" s="49"/>
      <c r="Y271" s="49"/>
      <c r="Z271" s="49"/>
      <c r="AA271" s="49"/>
      <c r="AB271" s="49"/>
      <c r="AC271" s="49"/>
      <c r="AD271" s="113"/>
      <c r="AE271" s="49"/>
      <c r="AF271" s="50"/>
      <c r="AG271" s="50"/>
      <c r="AH271" s="50"/>
      <c r="AI271" s="50"/>
      <c r="AJ271" s="50"/>
      <c r="AK271" s="50"/>
      <c r="AL271" s="50"/>
      <c r="AM271" s="50"/>
      <c r="AN271" s="50"/>
      <c r="AO271" s="9"/>
      <c r="AP271" s="9"/>
    </row>
    <row r="272" spans="1:42" x14ac:dyDescent="0.55000000000000004">
      <c r="A272" t="str">
        <f t="shared" si="4"/>
        <v/>
      </c>
      <c r="C272" s="103"/>
      <c r="D272" s="110"/>
      <c r="E272" s="110"/>
      <c r="F272" s="110"/>
      <c r="G272" s="110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49"/>
      <c r="V272" s="49"/>
      <c r="W272" s="49"/>
      <c r="X272" s="49"/>
      <c r="Y272" s="49"/>
      <c r="Z272" s="49"/>
      <c r="AA272" s="49"/>
      <c r="AB272" s="49"/>
      <c r="AC272" s="49"/>
      <c r="AD272" s="113"/>
      <c r="AE272" s="49"/>
      <c r="AF272" s="50"/>
      <c r="AG272" s="50"/>
      <c r="AH272" s="50"/>
      <c r="AI272" s="50"/>
      <c r="AJ272" s="50"/>
      <c r="AK272" s="50"/>
      <c r="AL272" s="50"/>
      <c r="AM272" s="50"/>
      <c r="AN272" s="50"/>
      <c r="AO272" s="9"/>
      <c r="AP272" s="9"/>
    </row>
    <row r="273" spans="1:42" x14ac:dyDescent="0.55000000000000004">
      <c r="A273" t="str">
        <f t="shared" si="4"/>
        <v/>
      </c>
      <c r="C273" s="103"/>
      <c r="D273" s="110"/>
      <c r="E273" s="110"/>
      <c r="F273" s="110"/>
      <c r="G273" s="110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49"/>
      <c r="V273" s="49"/>
      <c r="W273" s="49"/>
      <c r="X273" s="49"/>
      <c r="Y273" s="49"/>
      <c r="Z273" s="49"/>
      <c r="AA273" s="49"/>
      <c r="AB273" s="49"/>
      <c r="AC273" s="49"/>
      <c r="AD273" s="113"/>
      <c r="AE273" s="49"/>
      <c r="AF273" s="50"/>
      <c r="AG273" s="50"/>
      <c r="AH273" s="50"/>
      <c r="AI273" s="50"/>
      <c r="AJ273" s="50"/>
      <c r="AK273" s="50"/>
      <c r="AL273" s="50"/>
      <c r="AM273" s="50"/>
      <c r="AN273" s="50"/>
      <c r="AO273" s="9"/>
      <c r="AP273" s="9"/>
    </row>
    <row r="274" spans="1:42" x14ac:dyDescent="0.55000000000000004">
      <c r="A274" t="str">
        <f t="shared" si="4"/>
        <v/>
      </c>
      <c r="C274" s="103"/>
      <c r="D274" s="110"/>
      <c r="E274" s="110"/>
      <c r="F274" s="110"/>
      <c r="G274" s="110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49"/>
      <c r="V274" s="49"/>
      <c r="W274" s="49"/>
      <c r="X274" s="49"/>
      <c r="Y274" s="49"/>
      <c r="Z274" s="49"/>
      <c r="AA274" s="49"/>
      <c r="AB274" s="49"/>
      <c r="AC274" s="49"/>
      <c r="AD274" s="113"/>
      <c r="AE274" s="49"/>
      <c r="AF274" s="50"/>
      <c r="AG274" s="50"/>
      <c r="AH274" s="50"/>
      <c r="AI274" s="50"/>
      <c r="AJ274" s="50"/>
      <c r="AK274" s="50"/>
      <c r="AL274" s="50"/>
      <c r="AM274" s="50"/>
      <c r="AN274" s="50"/>
      <c r="AO274" s="9"/>
      <c r="AP274" s="9"/>
    </row>
    <row r="275" spans="1:42" x14ac:dyDescent="0.55000000000000004">
      <c r="A275" t="str">
        <f t="shared" si="4"/>
        <v/>
      </c>
      <c r="C275" s="103"/>
      <c r="D275" s="110"/>
      <c r="E275" s="110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49"/>
      <c r="V275" s="49"/>
      <c r="W275" s="49"/>
      <c r="X275" s="49"/>
      <c r="Y275" s="49"/>
      <c r="Z275" s="49"/>
      <c r="AA275" s="49"/>
      <c r="AB275" s="49"/>
      <c r="AC275" s="49"/>
      <c r="AD275" s="113"/>
      <c r="AE275" s="49"/>
      <c r="AF275" s="50"/>
      <c r="AG275" s="50"/>
      <c r="AH275" s="50"/>
      <c r="AI275" s="50"/>
      <c r="AJ275" s="50"/>
      <c r="AK275" s="50"/>
      <c r="AL275" s="50"/>
      <c r="AM275" s="50"/>
      <c r="AN275" s="50"/>
      <c r="AO275" s="9"/>
      <c r="AP275" s="9"/>
    </row>
    <row r="276" spans="1:42" x14ac:dyDescent="0.55000000000000004">
      <c r="A276" t="str">
        <f t="shared" si="4"/>
        <v/>
      </c>
      <c r="C276" s="103"/>
      <c r="D276" s="110"/>
      <c r="E276" s="110"/>
      <c r="F276" s="110"/>
      <c r="G276" s="110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49"/>
      <c r="V276" s="49"/>
      <c r="W276" s="49"/>
      <c r="X276" s="49"/>
      <c r="Y276" s="49"/>
      <c r="Z276" s="49"/>
      <c r="AA276" s="49"/>
      <c r="AB276" s="49"/>
      <c r="AC276" s="49"/>
      <c r="AD276" s="113"/>
      <c r="AE276" s="49"/>
      <c r="AF276" s="50"/>
      <c r="AG276" s="50"/>
      <c r="AH276" s="50"/>
      <c r="AI276" s="50"/>
      <c r="AJ276" s="50"/>
      <c r="AK276" s="50"/>
      <c r="AL276" s="50"/>
      <c r="AM276" s="50"/>
      <c r="AN276" s="50"/>
      <c r="AO276" s="9"/>
      <c r="AP276" s="9"/>
    </row>
    <row r="277" spans="1:42" x14ac:dyDescent="0.55000000000000004">
      <c r="A277" t="str">
        <f t="shared" si="4"/>
        <v/>
      </c>
      <c r="C277" s="103"/>
      <c r="D277" s="110"/>
      <c r="E277" s="110"/>
      <c r="F277" s="110"/>
      <c r="G277" s="110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49"/>
      <c r="V277" s="49"/>
      <c r="W277" s="49"/>
      <c r="X277" s="49"/>
      <c r="Y277" s="49"/>
      <c r="Z277" s="49"/>
      <c r="AA277" s="49"/>
      <c r="AB277" s="49"/>
      <c r="AC277" s="49"/>
      <c r="AD277" s="113"/>
      <c r="AE277" s="49"/>
      <c r="AF277" s="50"/>
      <c r="AG277" s="50"/>
      <c r="AH277" s="50"/>
      <c r="AI277" s="50"/>
      <c r="AJ277" s="55"/>
      <c r="AK277" s="50"/>
      <c r="AL277" s="50"/>
      <c r="AM277" s="50"/>
      <c r="AN277" s="50"/>
      <c r="AO277" s="9"/>
      <c r="AP277" s="9"/>
    </row>
    <row r="278" spans="1:42" x14ac:dyDescent="0.55000000000000004">
      <c r="A278" t="str">
        <f t="shared" si="4"/>
        <v/>
      </c>
      <c r="C278" s="103"/>
      <c r="D278" s="110"/>
      <c r="E278" s="110"/>
      <c r="F278" s="110"/>
      <c r="G278" s="110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49"/>
      <c r="V278" s="49"/>
      <c r="W278" s="49"/>
      <c r="X278" s="49"/>
      <c r="Y278" s="49"/>
      <c r="Z278" s="49"/>
      <c r="AA278" s="49"/>
      <c r="AB278" s="49"/>
      <c r="AC278" s="49"/>
      <c r="AD278" s="113"/>
      <c r="AE278" s="49"/>
      <c r="AF278" s="50"/>
      <c r="AG278" s="50"/>
      <c r="AH278" s="50"/>
      <c r="AI278" s="50"/>
      <c r="AJ278" s="55"/>
      <c r="AK278" s="50"/>
      <c r="AL278" s="50"/>
      <c r="AM278" s="50"/>
      <c r="AN278" s="50"/>
      <c r="AO278" s="9"/>
      <c r="AP278" s="9"/>
    </row>
    <row r="279" spans="1:42" x14ac:dyDescent="0.55000000000000004">
      <c r="A279" t="str">
        <f t="shared" si="4"/>
        <v/>
      </c>
      <c r="C279" s="103"/>
      <c r="D279" s="110"/>
      <c r="E279" s="110"/>
      <c r="F279" s="110"/>
      <c r="G279" s="110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49"/>
      <c r="V279" s="49"/>
      <c r="W279" s="49"/>
      <c r="X279" s="49"/>
      <c r="Y279" s="49"/>
      <c r="Z279" s="49"/>
      <c r="AA279" s="49"/>
      <c r="AB279" s="49"/>
      <c r="AC279" s="49"/>
      <c r="AD279" s="113"/>
      <c r="AE279" s="49"/>
      <c r="AF279" s="50"/>
      <c r="AG279" s="50"/>
      <c r="AH279" s="50"/>
      <c r="AI279" s="50"/>
      <c r="AJ279" s="52"/>
      <c r="AK279" s="50"/>
      <c r="AL279" s="50"/>
      <c r="AM279" s="50"/>
      <c r="AN279" s="50"/>
      <c r="AO279" s="9"/>
      <c r="AP279" s="9"/>
    </row>
    <row r="280" spans="1:42" x14ac:dyDescent="0.55000000000000004">
      <c r="A280" t="str">
        <f t="shared" si="4"/>
        <v/>
      </c>
      <c r="C280" s="103"/>
      <c r="D280" s="110"/>
      <c r="E280" s="110"/>
      <c r="F280" s="110"/>
      <c r="G280" s="110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49"/>
      <c r="V280" s="49"/>
      <c r="W280" s="49"/>
      <c r="X280" s="49"/>
      <c r="Y280" s="49"/>
      <c r="Z280" s="49"/>
      <c r="AA280" s="49"/>
      <c r="AB280" s="49"/>
      <c r="AC280" s="49"/>
      <c r="AD280" s="113"/>
      <c r="AE280" s="49"/>
      <c r="AF280" s="50"/>
      <c r="AG280" s="50"/>
      <c r="AH280" s="50"/>
      <c r="AI280" s="50"/>
      <c r="AJ280" s="52"/>
      <c r="AK280" s="50"/>
      <c r="AL280" s="50"/>
      <c r="AM280" s="50"/>
      <c r="AN280" s="50"/>
      <c r="AO280" s="9"/>
      <c r="AP280" s="9"/>
    </row>
    <row r="281" spans="1:42" x14ac:dyDescent="0.55000000000000004">
      <c r="A281" t="str">
        <f t="shared" si="4"/>
        <v/>
      </c>
      <c r="C281" s="103"/>
      <c r="D281" s="110"/>
      <c r="E281" s="110"/>
      <c r="F281" s="110"/>
      <c r="G281" s="110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49"/>
      <c r="V281" s="49"/>
      <c r="W281" s="49"/>
      <c r="X281" s="49"/>
      <c r="Y281" s="49"/>
      <c r="Z281" s="49"/>
      <c r="AA281" s="49"/>
      <c r="AB281" s="49"/>
      <c r="AC281" s="49"/>
      <c r="AD281" s="113"/>
      <c r="AE281" s="49"/>
      <c r="AF281" s="50"/>
      <c r="AG281" s="50"/>
      <c r="AH281" s="50"/>
      <c r="AI281" s="50"/>
      <c r="AJ281" s="50"/>
      <c r="AK281" s="50"/>
      <c r="AL281" s="50"/>
      <c r="AM281" s="50"/>
      <c r="AN281" s="50"/>
      <c r="AO281" s="9"/>
      <c r="AP281" s="9"/>
    </row>
    <row r="282" spans="1:42" x14ac:dyDescent="0.55000000000000004">
      <c r="A282" t="str">
        <f t="shared" si="4"/>
        <v/>
      </c>
      <c r="C282" s="103"/>
      <c r="D282" s="110"/>
      <c r="E282" s="110"/>
      <c r="F282" s="110"/>
      <c r="G282" s="110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49"/>
      <c r="V282" s="49"/>
      <c r="W282" s="49"/>
      <c r="X282" s="49"/>
      <c r="Y282" s="49"/>
      <c r="Z282" s="49"/>
      <c r="AA282" s="49"/>
      <c r="AB282" s="49"/>
      <c r="AC282" s="49"/>
      <c r="AD282" s="113"/>
      <c r="AE282" s="49"/>
      <c r="AF282" s="50"/>
      <c r="AG282" s="50"/>
      <c r="AH282" s="50"/>
      <c r="AI282" s="50"/>
      <c r="AJ282" s="55"/>
      <c r="AK282" s="50"/>
      <c r="AL282" s="50"/>
      <c r="AM282" s="50"/>
      <c r="AN282" s="50"/>
      <c r="AO282" s="9"/>
      <c r="AP282" s="9"/>
    </row>
    <row r="283" spans="1:42" x14ac:dyDescent="0.55000000000000004">
      <c r="A283" t="str">
        <f t="shared" si="4"/>
        <v/>
      </c>
      <c r="C283" s="103"/>
      <c r="D283" s="110"/>
      <c r="E283" s="110"/>
      <c r="F283" s="110"/>
      <c r="G283" s="110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49"/>
      <c r="V283" s="49"/>
      <c r="W283" s="49"/>
      <c r="X283" s="49"/>
      <c r="Y283" s="49"/>
      <c r="Z283" s="49"/>
      <c r="AA283" s="49"/>
      <c r="AB283" s="49"/>
      <c r="AC283" s="49"/>
      <c r="AD283" s="113"/>
      <c r="AE283" s="49"/>
      <c r="AF283" s="50"/>
      <c r="AG283" s="50"/>
      <c r="AH283" s="50"/>
      <c r="AI283" s="50"/>
      <c r="AJ283" s="55"/>
      <c r="AK283" s="50"/>
      <c r="AL283" s="50"/>
      <c r="AM283" s="50"/>
      <c r="AN283" s="50"/>
      <c r="AO283" s="9"/>
      <c r="AP283" s="9"/>
    </row>
    <row r="284" spans="1:42" x14ac:dyDescent="0.55000000000000004">
      <c r="A284" t="str">
        <f t="shared" si="4"/>
        <v/>
      </c>
      <c r="C284" s="103"/>
      <c r="D284" s="110"/>
      <c r="E284" s="110"/>
      <c r="F284" s="110"/>
      <c r="G284" s="110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49"/>
      <c r="V284" s="49"/>
      <c r="W284" s="49"/>
      <c r="X284" s="49"/>
      <c r="Y284" s="49"/>
      <c r="Z284" s="49"/>
      <c r="AA284" s="49"/>
      <c r="AB284" s="49"/>
      <c r="AC284" s="49"/>
      <c r="AD284" s="113"/>
      <c r="AE284" s="49"/>
      <c r="AF284" s="50"/>
      <c r="AG284" s="50"/>
      <c r="AH284" s="50"/>
      <c r="AI284" s="50"/>
      <c r="AJ284" s="55"/>
      <c r="AK284" s="50"/>
      <c r="AL284" s="50"/>
      <c r="AM284" s="50"/>
      <c r="AN284" s="50"/>
      <c r="AO284" s="9"/>
      <c r="AP284" s="9"/>
    </row>
    <row r="285" spans="1:42" x14ac:dyDescent="0.55000000000000004">
      <c r="A285" t="str">
        <f t="shared" si="4"/>
        <v/>
      </c>
      <c r="C285" s="103"/>
      <c r="D285" s="110"/>
      <c r="E285" s="110"/>
      <c r="F285" s="110"/>
      <c r="G285" s="110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49"/>
      <c r="V285" s="49"/>
      <c r="W285" s="49"/>
      <c r="X285" s="49"/>
      <c r="Y285" s="49"/>
      <c r="Z285" s="49"/>
      <c r="AA285" s="49"/>
      <c r="AB285" s="49"/>
      <c r="AC285" s="49"/>
      <c r="AD285" s="113"/>
      <c r="AE285" s="49"/>
      <c r="AF285" s="50"/>
      <c r="AG285" s="50"/>
      <c r="AH285" s="50"/>
      <c r="AI285" s="50"/>
      <c r="AJ285" s="55"/>
      <c r="AK285" s="50"/>
      <c r="AL285" s="50"/>
      <c r="AM285" s="50"/>
      <c r="AN285" s="50"/>
      <c r="AO285" s="9"/>
      <c r="AP285" s="9"/>
    </row>
    <row r="286" spans="1:42" x14ac:dyDescent="0.55000000000000004">
      <c r="A286" t="str">
        <f t="shared" si="4"/>
        <v/>
      </c>
      <c r="C286" s="103"/>
      <c r="D286" s="110"/>
      <c r="E286" s="110"/>
      <c r="F286" s="110"/>
      <c r="G286" s="110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49"/>
      <c r="V286" s="49"/>
      <c r="W286" s="49"/>
      <c r="X286" s="49"/>
      <c r="Y286" s="49"/>
      <c r="Z286" s="49"/>
      <c r="AA286" s="49"/>
      <c r="AB286" s="49"/>
      <c r="AC286" s="49"/>
      <c r="AD286" s="113"/>
      <c r="AE286" s="49"/>
      <c r="AF286" s="50"/>
      <c r="AG286" s="50"/>
      <c r="AH286" s="50"/>
      <c r="AI286" s="50"/>
      <c r="AJ286" s="55"/>
      <c r="AK286" s="50"/>
      <c r="AL286" s="50"/>
      <c r="AM286" s="50"/>
      <c r="AN286" s="50"/>
      <c r="AO286" s="9"/>
      <c r="AP286" s="9"/>
    </row>
    <row r="287" spans="1:42" x14ac:dyDescent="0.55000000000000004">
      <c r="A287" t="str">
        <f t="shared" si="4"/>
        <v/>
      </c>
      <c r="C287" s="103"/>
      <c r="D287" s="110"/>
      <c r="E287" s="110"/>
      <c r="F287" s="110"/>
      <c r="G287" s="110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49"/>
      <c r="V287" s="49"/>
      <c r="W287" s="49"/>
      <c r="X287" s="49"/>
      <c r="Y287" s="49"/>
      <c r="Z287" s="49"/>
      <c r="AA287" s="49"/>
      <c r="AB287" s="49"/>
      <c r="AC287" s="49"/>
      <c r="AD287" s="113"/>
      <c r="AE287" s="49"/>
      <c r="AF287" s="50"/>
      <c r="AG287" s="50"/>
      <c r="AH287" s="50"/>
      <c r="AI287" s="50"/>
      <c r="AJ287" s="55"/>
      <c r="AK287" s="50"/>
      <c r="AL287" s="50"/>
      <c r="AM287" s="50"/>
      <c r="AN287" s="50"/>
      <c r="AO287" s="9"/>
      <c r="AP287" s="9"/>
    </row>
    <row r="288" spans="1:42" x14ac:dyDescent="0.55000000000000004">
      <c r="A288" t="str">
        <f t="shared" si="4"/>
        <v/>
      </c>
      <c r="C288" s="103"/>
      <c r="D288" s="110"/>
      <c r="E288" s="110"/>
      <c r="F288" s="110"/>
      <c r="G288" s="110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49"/>
      <c r="V288" s="49"/>
      <c r="W288" s="49"/>
      <c r="X288" s="49"/>
      <c r="Y288" s="49"/>
      <c r="Z288" s="49"/>
      <c r="AA288" s="49"/>
      <c r="AB288" s="49"/>
      <c r="AC288" s="49"/>
      <c r="AD288" s="113"/>
      <c r="AE288" s="49"/>
      <c r="AF288" s="50"/>
      <c r="AG288" s="50"/>
      <c r="AH288" s="50"/>
      <c r="AI288" s="50"/>
      <c r="AJ288" s="50"/>
      <c r="AK288" s="50"/>
      <c r="AL288" s="50"/>
      <c r="AM288" s="50"/>
      <c r="AN288" s="50"/>
      <c r="AO288" s="9"/>
      <c r="AP288" s="9"/>
    </row>
    <row r="289" spans="1:42" x14ac:dyDescent="0.55000000000000004">
      <c r="A289" t="str">
        <f t="shared" si="4"/>
        <v/>
      </c>
      <c r="C289" s="103"/>
      <c r="D289" s="110"/>
      <c r="E289" s="110"/>
      <c r="F289" s="110"/>
      <c r="G289" s="110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49"/>
      <c r="V289" s="49"/>
      <c r="W289" s="49"/>
      <c r="X289" s="49"/>
      <c r="Y289" s="49"/>
      <c r="Z289" s="49"/>
      <c r="AA289" s="49"/>
      <c r="AB289" s="49"/>
      <c r="AC289" s="49"/>
      <c r="AD289" s="113"/>
      <c r="AE289" s="49"/>
      <c r="AF289" s="50"/>
      <c r="AG289" s="50"/>
      <c r="AH289" s="50"/>
      <c r="AI289" s="50"/>
      <c r="AJ289" s="55"/>
      <c r="AK289" s="50"/>
      <c r="AL289" s="50"/>
      <c r="AM289" s="50"/>
      <c r="AN289" s="50"/>
      <c r="AO289" s="9"/>
      <c r="AP289" s="9"/>
    </row>
    <row r="290" spans="1:42" x14ac:dyDescent="0.55000000000000004">
      <c r="A290" t="str">
        <f t="shared" si="4"/>
        <v/>
      </c>
      <c r="C290" s="103"/>
      <c r="D290" s="110"/>
      <c r="E290" s="110"/>
      <c r="F290" s="110"/>
      <c r="G290" s="110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49"/>
      <c r="V290" s="49"/>
      <c r="W290" s="49"/>
      <c r="X290" s="49"/>
      <c r="Y290" s="49"/>
      <c r="Z290" s="49"/>
      <c r="AA290" s="49"/>
      <c r="AB290" s="49"/>
      <c r="AC290" s="49"/>
      <c r="AD290" s="113"/>
      <c r="AE290" s="49"/>
      <c r="AF290" s="50"/>
      <c r="AG290" s="50"/>
      <c r="AH290" s="50"/>
      <c r="AI290" s="50"/>
      <c r="AJ290" s="55"/>
      <c r="AK290" s="50"/>
      <c r="AL290" s="50"/>
      <c r="AM290" s="50"/>
      <c r="AN290" s="50"/>
      <c r="AO290" s="9"/>
      <c r="AP290" s="9"/>
    </row>
    <row r="291" spans="1:42" x14ac:dyDescent="0.55000000000000004">
      <c r="A291" t="str">
        <f t="shared" si="4"/>
        <v/>
      </c>
      <c r="C291" s="103"/>
      <c r="D291" s="110"/>
      <c r="E291" s="110"/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49"/>
      <c r="V291" s="49"/>
      <c r="W291" s="49"/>
      <c r="X291" s="49"/>
      <c r="Y291" s="49"/>
      <c r="Z291" s="49"/>
      <c r="AA291" s="49"/>
      <c r="AB291" s="49"/>
      <c r="AC291" s="49"/>
      <c r="AD291" s="113"/>
      <c r="AE291" s="49"/>
      <c r="AF291" s="50"/>
      <c r="AG291" s="50"/>
      <c r="AH291" s="50"/>
      <c r="AI291" s="50"/>
      <c r="AJ291" s="55"/>
      <c r="AK291" s="50"/>
      <c r="AL291" s="50"/>
      <c r="AM291" s="50"/>
      <c r="AN291" s="50"/>
      <c r="AO291" s="9"/>
      <c r="AP291" s="9"/>
    </row>
    <row r="292" spans="1:42" x14ac:dyDescent="0.55000000000000004">
      <c r="A292" t="str">
        <f t="shared" si="4"/>
        <v/>
      </c>
      <c r="C292" s="103"/>
      <c r="D292" s="110"/>
      <c r="E292" s="110"/>
      <c r="F292" s="110"/>
      <c r="G292" s="110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49"/>
      <c r="V292" s="49"/>
      <c r="W292" s="49"/>
      <c r="X292" s="49"/>
      <c r="Y292" s="49"/>
      <c r="Z292" s="49"/>
      <c r="AA292" s="49"/>
      <c r="AB292" s="49"/>
      <c r="AC292" s="49"/>
      <c r="AD292" s="113"/>
      <c r="AE292" s="49"/>
      <c r="AF292" s="50"/>
      <c r="AG292" s="50"/>
      <c r="AH292" s="50"/>
      <c r="AI292" s="50"/>
      <c r="AJ292" s="55"/>
      <c r="AK292" s="50"/>
      <c r="AL292" s="50"/>
      <c r="AM292" s="50"/>
      <c r="AN292" s="50"/>
      <c r="AO292" s="9"/>
      <c r="AP292" s="9"/>
    </row>
    <row r="293" spans="1:42" x14ac:dyDescent="0.55000000000000004">
      <c r="A293" t="str">
        <f t="shared" si="4"/>
        <v/>
      </c>
      <c r="C293" s="103"/>
      <c r="D293" s="110"/>
      <c r="E293" s="110"/>
      <c r="F293" s="110"/>
      <c r="G293" s="110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49"/>
      <c r="V293" s="49"/>
      <c r="W293" s="49"/>
      <c r="X293" s="49"/>
      <c r="Y293" s="49"/>
      <c r="Z293" s="49"/>
      <c r="AA293" s="49"/>
      <c r="AB293" s="49"/>
      <c r="AC293" s="49"/>
      <c r="AD293" s="113"/>
      <c r="AE293" s="49"/>
      <c r="AF293" s="50"/>
      <c r="AG293" s="50"/>
      <c r="AH293" s="50"/>
      <c r="AI293" s="50"/>
      <c r="AJ293" s="55"/>
      <c r="AK293" s="50"/>
      <c r="AL293" s="50"/>
      <c r="AM293" s="50"/>
      <c r="AN293" s="50"/>
      <c r="AO293" s="9"/>
      <c r="AP293" s="9"/>
    </row>
    <row r="294" spans="1:42" x14ac:dyDescent="0.55000000000000004">
      <c r="A294" t="str">
        <f t="shared" si="4"/>
        <v/>
      </c>
      <c r="C294" s="103"/>
      <c r="D294" s="110"/>
      <c r="E294" s="110"/>
      <c r="F294" s="110"/>
      <c r="G294" s="110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49"/>
      <c r="V294" s="49"/>
      <c r="W294" s="49"/>
      <c r="X294" s="49"/>
      <c r="Y294" s="49"/>
      <c r="Z294" s="49"/>
      <c r="AA294" s="49"/>
      <c r="AB294" s="49"/>
      <c r="AC294" s="49"/>
      <c r="AD294" s="113"/>
      <c r="AE294" s="49"/>
      <c r="AF294" s="50"/>
      <c r="AG294" s="50"/>
      <c r="AH294" s="50"/>
      <c r="AI294" s="50"/>
      <c r="AJ294" s="50"/>
      <c r="AK294" s="50"/>
      <c r="AL294" s="50"/>
      <c r="AM294" s="50"/>
      <c r="AN294" s="50"/>
      <c r="AO294" s="9"/>
      <c r="AP294" s="9"/>
    </row>
    <row r="295" spans="1:42" x14ac:dyDescent="0.55000000000000004">
      <c r="A295" t="str">
        <f t="shared" si="4"/>
        <v/>
      </c>
      <c r="C295" s="103"/>
      <c r="D295" s="110"/>
      <c r="E295" s="110"/>
      <c r="F295" s="110"/>
      <c r="G295" s="110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49"/>
      <c r="V295" s="49"/>
      <c r="W295" s="49"/>
      <c r="X295" s="49"/>
      <c r="Y295" s="49"/>
      <c r="Z295" s="49"/>
      <c r="AA295" s="49"/>
      <c r="AB295" s="49"/>
      <c r="AC295" s="49"/>
      <c r="AD295" s="113"/>
      <c r="AE295" s="49"/>
      <c r="AF295" s="50"/>
      <c r="AG295" s="50"/>
      <c r="AH295" s="50"/>
      <c r="AI295" s="50"/>
      <c r="AJ295" s="55"/>
      <c r="AK295" s="50"/>
      <c r="AL295" s="50"/>
      <c r="AM295" s="50"/>
      <c r="AN295" s="50"/>
      <c r="AO295" s="9"/>
      <c r="AP295" s="9"/>
    </row>
    <row r="296" spans="1:42" x14ac:dyDescent="0.55000000000000004">
      <c r="A296" t="str">
        <f t="shared" si="4"/>
        <v/>
      </c>
      <c r="C296" s="103"/>
      <c r="D296" s="110"/>
      <c r="E296" s="110"/>
      <c r="F296" s="110"/>
      <c r="G296" s="110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49"/>
      <c r="V296" s="49"/>
      <c r="W296" s="49"/>
      <c r="X296" s="49"/>
      <c r="Y296" s="49"/>
      <c r="Z296" s="49"/>
      <c r="AA296" s="49"/>
      <c r="AB296" s="49"/>
      <c r="AC296" s="49"/>
      <c r="AD296" s="113"/>
      <c r="AE296" s="49"/>
      <c r="AF296" s="50"/>
      <c r="AG296" s="50"/>
      <c r="AH296" s="50"/>
      <c r="AI296" s="50"/>
      <c r="AJ296" s="55"/>
      <c r="AK296" s="50"/>
      <c r="AL296" s="50"/>
      <c r="AM296" s="50"/>
      <c r="AN296" s="50"/>
      <c r="AO296" s="9"/>
      <c r="AP296" s="9"/>
    </row>
    <row r="297" spans="1:42" x14ac:dyDescent="0.55000000000000004">
      <c r="A297" t="str">
        <f t="shared" si="4"/>
        <v/>
      </c>
      <c r="C297" s="103"/>
      <c r="D297" s="110"/>
      <c r="E297" s="110"/>
      <c r="F297" s="110"/>
      <c r="G297" s="110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49"/>
      <c r="V297" s="49"/>
      <c r="W297" s="49"/>
      <c r="X297" s="49"/>
      <c r="Y297" s="49"/>
      <c r="Z297" s="49"/>
      <c r="AA297" s="49"/>
      <c r="AB297" s="49"/>
      <c r="AC297" s="49"/>
      <c r="AD297" s="113"/>
      <c r="AE297" s="49"/>
      <c r="AF297" s="50"/>
      <c r="AG297" s="50"/>
      <c r="AH297" s="50"/>
      <c r="AI297" s="50"/>
      <c r="AJ297" s="55"/>
      <c r="AK297" s="50"/>
      <c r="AL297" s="50"/>
      <c r="AM297" s="50"/>
      <c r="AN297" s="50"/>
      <c r="AO297" s="9"/>
      <c r="AP297" s="9"/>
    </row>
    <row r="298" spans="1:42" x14ac:dyDescent="0.55000000000000004">
      <c r="A298" t="str">
        <f t="shared" si="4"/>
        <v/>
      </c>
      <c r="C298" s="103"/>
      <c r="D298" s="110"/>
      <c r="E298" s="110"/>
      <c r="F298" s="110"/>
      <c r="G298" s="110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49"/>
      <c r="V298" s="49"/>
      <c r="W298" s="49"/>
      <c r="X298" s="49"/>
      <c r="Y298" s="49"/>
      <c r="Z298" s="49"/>
      <c r="AA298" s="49"/>
      <c r="AB298" s="49"/>
      <c r="AC298" s="49"/>
      <c r="AD298" s="113"/>
      <c r="AE298" s="49"/>
      <c r="AF298" s="50"/>
      <c r="AG298" s="50"/>
      <c r="AH298" s="50"/>
      <c r="AI298" s="50"/>
      <c r="AJ298" s="55"/>
      <c r="AK298" s="50"/>
      <c r="AL298" s="50"/>
      <c r="AM298" s="50"/>
      <c r="AN298" s="50"/>
      <c r="AO298" s="9"/>
      <c r="AP298" s="9"/>
    </row>
    <row r="299" spans="1:42" x14ac:dyDescent="0.55000000000000004">
      <c r="A299" t="str">
        <f t="shared" si="4"/>
        <v/>
      </c>
      <c r="C299" s="103"/>
      <c r="D299" s="110"/>
      <c r="E299" s="110"/>
      <c r="F299" s="110"/>
      <c r="G299" s="110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49"/>
      <c r="V299" s="49"/>
      <c r="W299" s="49"/>
      <c r="X299" s="49"/>
      <c r="Y299" s="49"/>
      <c r="Z299" s="49"/>
      <c r="AA299" s="49"/>
      <c r="AB299" s="49"/>
      <c r="AC299" s="49"/>
      <c r="AD299" s="113"/>
      <c r="AE299" s="49"/>
      <c r="AF299" s="50"/>
      <c r="AG299" s="50"/>
      <c r="AH299" s="50"/>
      <c r="AI299" s="50"/>
      <c r="AJ299" s="55"/>
      <c r="AK299" s="50"/>
      <c r="AL299" s="50"/>
      <c r="AM299" s="50"/>
      <c r="AN299" s="50"/>
      <c r="AO299" s="9"/>
      <c r="AP299" s="9"/>
    </row>
    <row r="300" spans="1:42" x14ac:dyDescent="0.55000000000000004">
      <c r="A300" t="str">
        <f t="shared" si="4"/>
        <v/>
      </c>
      <c r="C300" s="103"/>
      <c r="D300" s="110"/>
      <c r="E300" s="110"/>
      <c r="F300" s="110"/>
      <c r="G300" s="110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49"/>
      <c r="V300" s="49"/>
      <c r="W300" s="49"/>
      <c r="X300" s="49"/>
      <c r="Y300" s="49"/>
      <c r="Z300" s="49"/>
      <c r="AA300" s="49"/>
      <c r="AB300" s="49"/>
      <c r="AC300" s="49"/>
      <c r="AD300" s="113"/>
      <c r="AE300" s="49"/>
      <c r="AF300" s="50"/>
      <c r="AG300" s="50"/>
      <c r="AH300" s="50"/>
      <c r="AI300" s="50"/>
      <c r="AJ300" s="50"/>
      <c r="AK300" s="50"/>
      <c r="AL300" s="50"/>
      <c r="AM300" s="50"/>
      <c r="AN300" s="50"/>
      <c r="AO300" s="9"/>
      <c r="AP300" s="9"/>
    </row>
    <row r="301" spans="1:42" x14ac:dyDescent="0.55000000000000004">
      <c r="A301" t="str">
        <f t="shared" si="4"/>
        <v/>
      </c>
      <c r="C301" s="103"/>
      <c r="D301" s="110"/>
      <c r="E301" s="110"/>
      <c r="F301" s="110"/>
      <c r="G301" s="110"/>
      <c r="H301" s="110"/>
      <c r="I301" s="110"/>
      <c r="J301" s="110"/>
      <c r="K301" s="110"/>
      <c r="L301" s="110"/>
      <c r="M301" s="110"/>
      <c r="N301" s="110"/>
      <c r="O301" s="110"/>
      <c r="P301" s="110"/>
      <c r="Q301" s="110"/>
      <c r="R301" s="110"/>
      <c r="S301" s="110"/>
      <c r="T301" s="110"/>
      <c r="U301" s="49"/>
      <c r="V301" s="49"/>
      <c r="W301" s="49"/>
      <c r="X301" s="49"/>
      <c r="Y301" s="49"/>
      <c r="Z301" s="49"/>
      <c r="AA301" s="49"/>
      <c r="AB301" s="49"/>
      <c r="AC301" s="49"/>
      <c r="AD301" s="113"/>
      <c r="AE301" s="49"/>
      <c r="AF301" s="50"/>
      <c r="AG301" s="50"/>
      <c r="AH301" s="50"/>
      <c r="AI301" s="50"/>
      <c r="AJ301" s="50"/>
      <c r="AK301" s="50"/>
      <c r="AL301" s="50"/>
      <c r="AM301" s="50"/>
      <c r="AN301" s="50"/>
      <c r="AO301" s="9"/>
      <c r="AP301" s="9"/>
    </row>
    <row r="302" spans="1:42" x14ac:dyDescent="0.55000000000000004">
      <c r="A302" t="str">
        <f t="shared" si="4"/>
        <v/>
      </c>
      <c r="C302" s="103"/>
      <c r="D302" s="110"/>
      <c r="E302" s="110"/>
      <c r="F302" s="110"/>
      <c r="G302" s="110"/>
      <c r="H302" s="110"/>
      <c r="I302" s="110"/>
      <c r="J302" s="110"/>
      <c r="K302" s="110"/>
      <c r="L302" s="110"/>
      <c r="M302" s="110"/>
      <c r="N302" s="110"/>
      <c r="O302" s="110"/>
      <c r="P302" s="110"/>
      <c r="Q302" s="110"/>
      <c r="R302" s="110"/>
      <c r="S302" s="110"/>
      <c r="T302" s="110"/>
      <c r="U302" s="49"/>
      <c r="V302" s="49"/>
      <c r="W302" s="49"/>
      <c r="X302" s="49"/>
      <c r="Y302" s="49"/>
      <c r="Z302" s="49"/>
      <c r="AA302" s="49"/>
      <c r="AB302" s="49"/>
      <c r="AC302" s="49"/>
      <c r="AD302" s="113"/>
      <c r="AE302" s="49"/>
      <c r="AF302" s="50"/>
      <c r="AG302" s="50"/>
      <c r="AH302" s="50"/>
      <c r="AI302" s="50"/>
      <c r="AJ302" s="50"/>
      <c r="AK302" s="50"/>
      <c r="AL302" s="50"/>
      <c r="AM302" s="50"/>
      <c r="AN302" s="50"/>
      <c r="AO302" s="9"/>
      <c r="AP302" s="9"/>
    </row>
    <row r="303" spans="1:42" x14ac:dyDescent="0.55000000000000004">
      <c r="A303" t="str">
        <f t="shared" si="4"/>
        <v/>
      </c>
      <c r="C303" s="103"/>
      <c r="D303" s="110"/>
      <c r="E303" s="110"/>
      <c r="F303" s="110"/>
      <c r="G303" s="110"/>
      <c r="H303" s="110"/>
      <c r="I303" s="110"/>
      <c r="J303" s="110"/>
      <c r="K303" s="110"/>
      <c r="L303" s="110"/>
      <c r="M303" s="110"/>
      <c r="N303" s="110"/>
      <c r="O303" s="110"/>
      <c r="P303" s="110"/>
      <c r="Q303" s="110"/>
      <c r="R303" s="110"/>
      <c r="S303" s="110"/>
      <c r="T303" s="110"/>
      <c r="U303" s="49"/>
      <c r="V303" s="49"/>
      <c r="W303" s="49"/>
      <c r="X303" s="49"/>
      <c r="Y303" s="49"/>
      <c r="Z303" s="49"/>
      <c r="AA303" s="49"/>
      <c r="AB303" s="49"/>
      <c r="AC303" s="49"/>
      <c r="AD303" s="113"/>
      <c r="AE303" s="49"/>
      <c r="AF303" s="50"/>
      <c r="AG303" s="50"/>
      <c r="AH303" s="50"/>
      <c r="AI303" s="50"/>
      <c r="AJ303" s="50"/>
      <c r="AK303" s="50"/>
      <c r="AL303" s="50"/>
      <c r="AM303" s="50"/>
      <c r="AN303" s="50"/>
      <c r="AO303" s="9"/>
      <c r="AP303" s="9"/>
    </row>
    <row r="304" spans="1:42" x14ac:dyDescent="0.55000000000000004">
      <c r="A304" t="str">
        <f t="shared" si="4"/>
        <v/>
      </c>
      <c r="C304" s="103"/>
      <c r="D304" s="110"/>
      <c r="E304" s="110"/>
      <c r="F304" s="110"/>
      <c r="G304" s="110"/>
      <c r="H304" s="110"/>
      <c r="I304" s="110"/>
      <c r="J304" s="110"/>
      <c r="K304" s="110"/>
      <c r="L304" s="110"/>
      <c r="M304" s="110"/>
      <c r="N304" s="110"/>
      <c r="O304" s="110"/>
      <c r="P304" s="110"/>
      <c r="Q304" s="110"/>
      <c r="R304" s="110"/>
      <c r="S304" s="110"/>
      <c r="T304" s="110"/>
      <c r="U304" s="49"/>
      <c r="V304" s="49"/>
      <c r="W304" s="49"/>
      <c r="X304" s="49"/>
      <c r="Y304" s="49"/>
      <c r="Z304" s="49"/>
      <c r="AA304" s="49"/>
      <c r="AB304" s="49"/>
      <c r="AC304" s="49"/>
      <c r="AD304" s="113"/>
      <c r="AE304" s="49"/>
      <c r="AF304" s="50"/>
      <c r="AG304" s="50"/>
      <c r="AH304" s="50"/>
      <c r="AI304" s="50"/>
      <c r="AJ304" s="50"/>
      <c r="AK304" s="50"/>
      <c r="AL304" s="50"/>
      <c r="AM304" s="50"/>
      <c r="AN304" s="50"/>
      <c r="AO304" s="9"/>
      <c r="AP304" s="9"/>
    </row>
    <row r="305" spans="1:42" x14ac:dyDescent="0.55000000000000004">
      <c r="A305" t="str">
        <f t="shared" si="4"/>
        <v/>
      </c>
      <c r="C305" s="103"/>
      <c r="D305" s="110"/>
      <c r="E305" s="110"/>
      <c r="F305" s="110"/>
      <c r="G305" s="110"/>
      <c r="H305" s="110"/>
      <c r="I305" s="110"/>
      <c r="J305" s="110"/>
      <c r="K305" s="110"/>
      <c r="L305" s="110"/>
      <c r="M305" s="110"/>
      <c r="N305" s="110"/>
      <c r="O305" s="110"/>
      <c r="P305" s="110"/>
      <c r="Q305" s="110"/>
      <c r="R305" s="110"/>
      <c r="S305" s="110"/>
      <c r="T305" s="110"/>
      <c r="U305" s="49"/>
      <c r="V305" s="49"/>
      <c r="W305" s="49"/>
      <c r="X305" s="49"/>
      <c r="Y305" s="49"/>
      <c r="Z305" s="49"/>
      <c r="AA305" s="49"/>
      <c r="AB305" s="49"/>
      <c r="AC305" s="49"/>
      <c r="AD305" s="113"/>
      <c r="AE305" s="49"/>
      <c r="AF305" s="50"/>
      <c r="AG305" s="50"/>
      <c r="AH305" s="50"/>
      <c r="AI305" s="50"/>
      <c r="AJ305" s="50"/>
      <c r="AK305" s="50"/>
      <c r="AL305" s="50"/>
      <c r="AM305" s="50"/>
      <c r="AN305" s="50"/>
      <c r="AO305" s="9"/>
      <c r="AP305" s="9"/>
    </row>
    <row r="306" spans="1:42" x14ac:dyDescent="0.55000000000000004">
      <c r="A306" t="str">
        <f t="shared" si="4"/>
        <v/>
      </c>
      <c r="C306" s="103"/>
      <c r="D306" s="110"/>
      <c r="E306" s="110"/>
      <c r="F306" s="110"/>
      <c r="G306" s="110"/>
      <c r="H306" s="110"/>
      <c r="I306" s="110"/>
      <c r="J306" s="110"/>
      <c r="K306" s="110"/>
      <c r="L306" s="110"/>
      <c r="M306" s="110"/>
      <c r="N306" s="110"/>
      <c r="O306" s="110"/>
      <c r="P306" s="110"/>
      <c r="Q306" s="110"/>
      <c r="R306" s="110"/>
      <c r="S306" s="110"/>
      <c r="T306" s="110"/>
      <c r="U306" s="49"/>
      <c r="V306" s="49"/>
      <c r="W306" s="49"/>
      <c r="X306" s="49"/>
      <c r="Y306" s="49"/>
      <c r="Z306" s="49"/>
      <c r="AA306" s="49"/>
      <c r="AB306" s="49"/>
      <c r="AC306" s="49"/>
      <c r="AD306" s="113"/>
      <c r="AE306" s="49"/>
      <c r="AF306" s="50"/>
      <c r="AG306" s="50"/>
      <c r="AH306" s="50"/>
      <c r="AI306" s="50"/>
      <c r="AJ306" s="50"/>
      <c r="AK306" s="50"/>
      <c r="AL306" s="50"/>
      <c r="AM306" s="50"/>
      <c r="AN306" s="50"/>
      <c r="AO306" s="9"/>
      <c r="AP306" s="9"/>
    </row>
    <row r="307" spans="1:42" x14ac:dyDescent="0.55000000000000004">
      <c r="A307" t="str">
        <f t="shared" si="4"/>
        <v/>
      </c>
      <c r="C307" s="103"/>
      <c r="D307" s="110"/>
      <c r="E307" s="110"/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49"/>
      <c r="V307" s="49"/>
      <c r="W307" s="49"/>
      <c r="X307" s="49"/>
      <c r="Y307" s="49"/>
      <c r="Z307" s="49"/>
      <c r="AA307" s="49"/>
      <c r="AB307" s="49"/>
      <c r="AC307" s="49"/>
      <c r="AD307" s="113"/>
      <c r="AE307" s="49"/>
      <c r="AF307" s="50"/>
      <c r="AG307" s="50"/>
      <c r="AH307" s="50"/>
      <c r="AI307" s="50"/>
      <c r="AJ307" s="50"/>
      <c r="AK307" s="50"/>
      <c r="AL307" s="50"/>
      <c r="AM307" s="50"/>
      <c r="AN307" s="50"/>
      <c r="AO307" s="9"/>
      <c r="AP307" s="9"/>
    </row>
    <row r="308" spans="1:42" x14ac:dyDescent="0.55000000000000004">
      <c r="A308" t="str">
        <f t="shared" si="4"/>
        <v/>
      </c>
      <c r="C308" s="103"/>
      <c r="D308" s="110"/>
      <c r="E308" s="110"/>
      <c r="F308" s="110"/>
      <c r="G308" s="110"/>
      <c r="H308" s="110"/>
      <c r="I308" s="110"/>
      <c r="J308" s="110"/>
      <c r="K308" s="110"/>
      <c r="L308" s="110"/>
      <c r="M308" s="110"/>
      <c r="N308" s="110"/>
      <c r="O308" s="110"/>
      <c r="P308" s="110"/>
      <c r="Q308" s="110"/>
      <c r="R308" s="110"/>
      <c r="S308" s="110"/>
      <c r="T308" s="110"/>
      <c r="U308" s="49"/>
      <c r="V308" s="49"/>
      <c r="W308" s="49"/>
      <c r="X308" s="49"/>
      <c r="Y308" s="49"/>
      <c r="Z308" s="49"/>
      <c r="AA308" s="49"/>
      <c r="AB308" s="49"/>
      <c r="AC308" s="49"/>
      <c r="AD308" s="113"/>
      <c r="AE308" s="49"/>
      <c r="AF308" s="50"/>
      <c r="AG308" s="50"/>
      <c r="AH308" s="50"/>
      <c r="AI308" s="50"/>
      <c r="AJ308" s="50"/>
      <c r="AK308" s="50"/>
      <c r="AL308" s="50"/>
      <c r="AM308" s="50"/>
      <c r="AN308" s="50"/>
      <c r="AO308" s="9"/>
      <c r="AP308" s="9"/>
    </row>
    <row r="309" spans="1:42" x14ac:dyDescent="0.55000000000000004">
      <c r="A309" t="str">
        <f t="shared" si="4"/>
        <v/>
      </c>
      <c r="C309" s="103"/>
      <c r="D309" s="110"/>
      <c r="E309" s="110"/>
      <c r="F309" s="110"/>
      <c r="G309" s="110"/>
      <c r="H309" s="110"/>
      <c r="I309" s="110"/>
      <c r="J309" s="110"/>
      <c r="K309" s="110"/>
      <c r="L309" s="110"/>
      <c r="M309" s="110"/>
      <c r="N309" s="110"/>
      <c r="O309" s="110"/>
      <c r="P309" s="110"/>
      <c r="Q309" s="110"/>
      <c r="R309" s="110"/>
      <c r="S309" s="110"/>
      <c r="T309" s="110"/>
      <c r="U309" s="49"/>
      <c r="V309" s="49"/>
      <c r="W309" s="49"/>
      <c r="X309" s="49"/>
      <c r="Y309" s="49"/>
      <c r="Z309" s="49"/>
      <c r="AA309" s="49"/>
      <c r="AB309" s="49"/>
      <c r="AC309" s="49"/>
      <c r="AD309" s="113"/>
      <c r="AE309" s="49"/>
      <c r="AF309" s="50"/>
      <c r="AG309" s="55"/>
      <c r="AH309" s="50"/>
      <c r="AI309" s="50"/>
      <c r="AJ309" s="50"/>
      <c r="AK309" s="50"/>
      <c r="AL309" s="50"/>
      <c r="AM309" s="50"/>
      <c r="AN309" s="50"/>
      <c r="AO309" s="9"/>
      <c r="AP309" s="9"/>
    </row>
    <row r="310" spans="1:42" x14ac:dyDescent="0.55000000000000004">
      <c r="A310" t="str">
        <f t="shared" si="4"/>
        <v/>
      </c>
      <c r="C310" s="103"/>
      <c r="D310" s="110"/>
      <c r="E310" s="110"/>
      <c r="F310" s="110"/>
      <c r="G310" s="110"/>
      <c r="H310" s="110"/>
      <c r="I310" s="110"/>
      <c r="J310" s="110"/>
      <c r="K310" s="110"/>
      <c r="L310" s="110"/>
      <c r="M310" s="110"/>
      <c r="N310" s="110"/>
      <c r="O310" s="110"/>
      <c r="P310" s="110"/>
      <c r="Q310" s="110"/>
      <c r="R310" s="110"/>
      <c r="S310" s="110"/>
      <c r="T310" s="110"/>
      <c r="U310" s="49"/>
      <c r="V310" s="49"/>
      <c r="W310" s="49"/>
      <c r="X310" s="49"/>
      <c r="Y310" s="49"/>
      <c r="Z310" s="49"/>
      <c r="AA310" s="49"/>
      <c r="AB310" s="49"/>
      <c r="AC310" s="49"/>
      <c r="AD310" s="113"/>
      <c r="AE310" s="49"/>
      <c r="AF310" s="50"/>
      <c r="AG310" s="55"/>
      <c r="AH310" s="50"/>
      <c r="AI310" s="50"/>
      <c r="AJ310" s="50"/>
      <c r="AK310" s="50"/>
      <c r="AL310" s="50"/>
      <c r="AM310" s="50"/>
      <c r="AN310" s="50"/>
      <c r="AO310" s="9"/>
      <c r="AP310" s="9"/>
    </row>
    <row r="311" spans="1:42" x14ac:dyDescent="0.55000000000000004">
      <c r="A311" t="str">
        <f t="shared" si="4"/>
        <v/>
      </c>
      <c r="C311" s="103"/>
      <c r="D311" s="110"/>
      <c r="E311" s="110"/>
      <c r="F311" s="110"/>
      <c r="G311" s="110"/>
      <c r="H311" s="110"/>
      <c r="I311" s="110"/>
      <c r="J311" s="110"/>
      <c r="K311" s="110"/>
      <c r="L311" s="110"/>
      <c r="M311" s="110"/>
      <c r="N311" s="110"/>
      <c r="O311" s="110"/>
      <c r="P311" s="110"/>
      <c r="Q311" s="110"/>
      <c r="R311" s="110"/>
      <c r="S311" s="110"/>
      <c r="T311" s="110"/>
      <c r="U311" s="49"/>
      <c r="V311" s="49"/>
      <c r="W311" s="49"/>
      <c r="X311" s="49"/>
      <c r="Y311" s="49"/>
      <c r="Z311" s="49"/>
      <c r="AA311" s="49"/>
      <c r="AB311" s="49"/>
      <c r="AC311" s="49"/>
      <c r="AD311" s="113"/>
      <c r="AE311" s="49"/>
      <c r="AF311" s="50"/>
      <c r="AG311" s="55"/>
      <c r="AH311" s="50"/>
      <c r="AI311" s="50"/>
      <c r="AJ311" s="50"/>
      <c r="AK311" s="50"/>
      <c r="AL311" s="50"/>
      <c r="AM311" s="50"/>
      <c r="AN311" s="50"/>
      <c r="AO311" s="9"/>
      <c r="AP311" s="9"/>
    </row>
    <row r="312" spans="1:42" x14ac:dyDescent="0.55000000000000004">
      <c r="A312" t="str">
        <f t="shared" si="4"/>
        <v/>
      </c>
      <c r="C312" s="103"/>
      <c r="D312" s="110"/>
      <c r="E312" s="110"/>
      <c r="F312" s="110"/>
      <c r="G312" s="110"/>
      <c r="H312" s="110"/>
      <c r="I312" s="110"/>
      <c r="J312" s="110"/>
      <c r="K312" s="110"/>
      <c r="L312" s="110"/>
      <c r="M312" s="110"/>
      <c r="N312" s="110"/>
      <c r="O312" s="110"/>
      <c r="P312" s="110"/>
      <c r="Q312" s="110"/>
      <c r="R312" s="110"/>
      <c r="S312" s="110"/>
      <c r="T312" s="110"/>
      <c r="U312" s="49"/>
      <c r="V312" s="49"/>
      <c r="W312" s="49"/>
      <c r="X312" s="49"/>
      <c r="Y312" s="49"/>
      <c r="Z312" s="49"/>
      <c r="AA312" s="49"/>
      <c r="AB312" s="49"/>
      <c r="AC312" s="49"/>
      <c r="AD312" s="113"/>
      <c r="AE312" s="49"/>
      <c r="AF312" s="50"/>
      <c r="AG312" s="55"/>
      <c r="AH312" s="50"/>
      <c r="AI312" s="50"/>
      <c r="AJ312" s="50"/>
      <c r="AK312" s="50"/>
      <c r="AL312" s="50"/>
      <c r="AM312" s="50"/>
      <c r="AN312" s="50"/>
      <c r="AO312" s="9"/>
      <c r="AP312" s="9"/>
    </row>
    <row r="313" spans="1:42" x14ac:dyDescent="0.55000000000000004">
      <c r="A313" t="str">
        <f t="shared" si="4"/>
        <v/>
      </c>
      <c r="C313" s="103"/>
      <c r="D313" s="110"/>
      <c r="E313" s="110"/>
      <c r="F313" s="110"/>
      <c r="G313" s="110"/>
      <c r="H313" s="110"/>
      <c r="I313" s="110"/>
      <c r="J313" s="110"/>
      <c r="K313" s="110"/>
      <c r="L313" s="110"/>
      <c r="M313" s="110"/>
      <c r="N313" s="110"/>
      <c r="O313" s="110"/>
      <c r="P313" s="110"/>
      <c r="Q313" s="110"/>
      <c r="R313" s="110"/>
      <c r="S313" s="110"/>
      <c r="T313" s="110"/>
      <c r="U313" s="49"/>
      <c r="V313" s="49"/>
      <c r="W313" s="49"/>
      <c r="X313" s="49"/>
      <c r="Y313" s="49"/>
      <c r="Z313" s="49"/>
      <c r="AA313" s="49"/>
      <c r="AB313" s="49"/>
      <c r="AC313" s="49"/>
      <c r="AD313" s="113"/>
      <c r="AE313" s="49"/>
      <c r="AF313" s="50"/>
      <c r="AG313" s="55"/>
      <c r="AH313" s="50"/>
      <c r="AI313" s="50"/>
      <c r="AJ313" s="50"/>
      <c r="AK313" s="50"/>
      <c r="AL313" s="50"/>
      <c r="AM313" s="50"/>
      <c r="AN313" s="50"/>
      <c r="AO313" s="9"/>
      <c r="AP313" s="9"/>
    </row>
    <row r="314" spans="1:42" x14ac:dyDescent="0.55000000000000004">
      <c r="A314" t="str">
        <f t="shared" si="4"/>
        <v/>
      </c>
      <c r="C314" s="103"/>
      <c r="D314" s="110"/>
      <c r="E314" s="110"/>
      <c r="F314" s="110"/>
      <c r="G314" s="110"/>
      <c r="H314" s="110"/>
      <c r="I314" s="110"/>
      <c r="J314" s="110"/>
      <c r="K314" s="110"/>
      <c r="L314" s="110"/>
      <c r="M314" s="110"/>
      <c r="N314" s="110"/>
      <c r="O314" s="110"/>
      <c r="P314" s="110"/>
      <c r="Q314" s="110"/>
      <c r="R314" s="110"/>
      <c r="S314" s="110"/>
      <c r="T314" s="110"/>
      <c r="U314" s="49"/>
      <c r="V314" s="49"/>
      <c r="W314" s="49"/>
      <c r="X314" s="49"/>
      <c r="Y314" s="49"/>
      <c r="Z314" s="49"/>
      <c r="AA314" s="49"/>
      <c r="AB314" s="49"/>
      <c r="AC314" s="49"/>
      <c r="AD314" s="113"/>
      <c r="AE314" s="49"/>
      <c r="AF314" s="50"/>
      <c r="AG314" s="55"/>
      <c r="AH314" s="50"/>
      <c r="AI314" s="50"/>
      <c r="AJ314" s="50"/>
      <c r="AK314" s="50"/>
      <c r="AL314" s="50"/>
      <c r="AM314" s="50"/>
      <c r="AN314" s="50"/>
      <c r="AO314" s="9"/>
      <c r="AP314" s="9"/>
    </row>
    <row r="315" spans="1:42" x14ac:dyDescent="0.55000000000000004">
      <c r="A315" t="str">
        <f t="shared" si="4"/>
        <v/>
      </c>
      <c r="C315" s="103"/>
      <c r="D315" s="110"/>
      <c r="E315" s="110"/>
      <c r="F315" s="110"/>
      <c r="G315" s="110"/>
      <c r="H315" s="110"/>
      <c r="I315" s="110"/>
      <c r="J315" s="110"/>
      <c r="K315" s="110"/>
      <c r="L315" s="110"/>
      <c r="M315" s="110"/>
      <c r="N315" s="110"/>
      <c r="O315" s="110"/>
      <c r="P315" s="110"/>
      <c r="Q315" s="110"/>
      <c r="R315" s="110"/>
      <c r="S315" s="110"/>
      <c r="T315" s="110"/>
      <c r="U315" s="49"/>
      <c r="V315" s="49"/>
      <c r="W315" s="49"/>
      <c r="X315" s="49"/>
      <c r="Y315" s="49"/>
      <c r="Z315" s="49"/>
      <c r="AA315" s="49"/>
      <c r="AB315" s="49"/>
      <c r="AC315" s="49"/>
      <c r="AD315" s="113"/>
      <c r="AE315" s="49"/>
      <c r="AF315" s="50"/>
      <c r="AG315" s="55"/>
      <c r="AH315" s="50"/>
      <c r="AI315" s="50"/>
      <c r="AJ315" s="50"/>
      <c r="AK315" s="50"/>
      <c r="AL315" s="50"/>
      <c r="AM315" s="50"/>
      <c r="AN315" s="50"/>
      <c r="AO315" s="9"/>
      <c r="AP315" s="9"/>
    </row>
    <row r="316" spans="1:42" x14ac:dyDescent="0.55000000000000004">
      <c r="A316" t="str">
        <f t="shared" si="4"/>
        <v/>
      </c>
      <c r="C316" s="103"/>
      <c r="D316" s="110"/>
      <c r="E316" s="110"/>
      <c r="F316" s="110"/>
      <c r="G316" s="110"/>
      <c r="H316" s="110"/>
      <c r="I316" s="110"/>
      <c r="J316" s="110"/>
      <c r="K316" s="110"/>
      <c r="L316" s="110"/>
      <c r="M316" s="110"/>
      <c r="N316" s="110"/>
      <c r="O316" s="110"/>
      <c r="P316" s="110"/>
      <c r="Q316" s="110"/>
      <c r="R316" s="110"/>
      <c r="S316" s="110"/>
      <c r="T316" s="110"/>
      <c r="U316" s="49"/>
      <c r="V316" s="49"/>
      <c r="W316" s="49"/>
      <c r="X316" s="49"/>
      <c r="Y316" s="49"/>
      <c r="Z316" s="49"/>
      <c r="AA316" s="49"/>
      <c r="AB316" s="49"/>
      <c r="AC316" s="49"/>
      <c r="AD316" s="113"/>
      <c r="AE316" s="49"/>
      <c r="AF316" s="50"/>
      <c r="AG316" s="55"/>
      <c r="AH316" s="50"/>
      <c r="AI316" s="50"/>
      <c r="AJ316" s="50"/>
      <c r="AK316" s="50"/>
      <c r="AL316" s="50"/>
      <c r="AM316" s="50"/>
      <c r="AN316" s="50"/>
      <c r="AO316" s="9"/>
      <c r="AP316" s="9"/>
    </row>
    <row r="317" spans="1:42" x14ac:dyDescent="0.55000000000000004">
      <c r="A317" t="str">
        <f t="shared" si="4"/>
        <v/>
      </c>
      <c r="C317" s="103"/>
      <c r="D317" s="110"/>
      <c r="E317" s="110"/>
      <c r="F317" s="110"/>
      <c r="G317" s="110"/>
      <c r="H317" s="110"/>
      <c r="I317" s="110"/>
      <c r="J317" s="110"/>
      <c r="K317" s="110"/>
      <c r="L317" s="110"/>
      <c r="M317" s="110"/>
      <c r="N317" s="110"/>
      <c r="O317" s="110"/>
      <c r="P317" s="110"/>
      <c r="Q317" s="110"/>
      <c r="R317" s="110"/>
      <c r="S317" s="110"/>
      <c r="T317" s="110"/>
      <c r="U317" s="49"/>
      <c r="V317" s="49"/>
      <c r="W317" s="49"/>
      <c r="X317" s="49"/>
      <c r="Y317" s="49"/>
      <c r="Z317" s="49"/>
      <c r="AA317" s="49"/>
      <c r="AB317" s="49"/>
      <c r="AC317" s="49"/>
      <c r="AD317" s="113"/>
      <c r="AE317" s="49"/>
      <c r="AF317" s="50"/>
      <c r="AG317" s="55"/>
      <c r="AH317" s="50"/>
      <c r="AI317" s="50"/>
      <c r="AJ317" s="50"/>
      <c r="AK317" s="50"/>
      <c r="AL317" s="50"/>
      <c r="AM317" s="50"/>
      <c r="AN317" s="50"/>
      <c r="AO317" s="9"/>
      <c r="AP317" s="9"/>
    </row>
    <row r="318" spans="1:42" x14ac:dyDescent="0.55000000000000004">
      <c r="A318" t="str">
        <f t="shared" si="4"/>
        <v/>
      </c>
      <c r="C318" s="103"/>
      <c r="D318" s="110"/>
      <c r="E318" s="110"/>
      <c r="F318" s="110"/>
      <c r="G318" s="110"/>
      <c r="H318" s="110"/>
      <c r="I318" s="110"/>
      <c r="J318" s="110"/>
      <c r="K318" s="110"/>
      <c r="L318" s="110"/>
      <c r="M318" s="110"/>
      <c r="N318" s="110"/>
      <c r="O318" s="110"/>
      <c r="P318" s="110"/>
      <c r="Q318" s="110"/>
      <c r="R318" s="110"/>
      <c r="S318" s="110"/>
      <c r="T318" s="110"/>
      <c r="U318" s="49"/>
      <c r="V318" s="49"/>
      <c r="W318" s="49"/>
      <c r="X318" s="49"/>
      <c r="Y318" s="49"/>
      <c r="Z318" s="49"/>
      <c r="AA318" s="49"/>
      <c r="AB318" s="49"/>
      <c r="AC318" s="49"/>
      <c r="AD318" s="113"/>
      <c r="AE318" s="49"/>
      <c r="AF318" s="50"/>
      <c r="AG318" s="55"/>
      <c r="AH318" s="50"/>
      <c r="AI318" s="50"/>
      <c r="AJ318" s="50"/>
      <c r="AK318" s="50"/>
      <c r="AL318" s="50"/>
      <c r="AM318" s="50"/>
      <c r="AN318" s="50"/>
      <c r="AO318" s="9"/>
      <c r="AP318" s="9"/>
    </row>
    <row r="319" spans="1:42" x14ac:dyDescent="0.55000000000000004">
      <c r="A319" t="str">
        <f t="shared" si="4"/>
        <v/>
      </c>
      <c r="C319" s="103"/>
      <c r="D319" s="110"/>
      <c r="E319" s="110"/>
      <c r="F319" s="110"/>
      <c r="G319" s="110"/>
      <c r="H319" s="110"/>
      <c r="I319" s="110"/>
      <c r="J319" s="110"/>
      <c r="K319" s="110"/>
      <c r="L319" s="110"/>
      <c r="M319" s="110"/>
      <c r="N319" s="110"/>
      <c r="O319" s="110"/>
      <c r="P319" s="110"/>
      <c r="Q319" s="110"/>
      <c r="R319" s="110"/>
      <c r="S319" s="110"/>
      <c r="T319" s="110"/>
      <c r="U319" s="49"/>
      <c r="V319" s="49"/>
      <c r="W319" s="49"/>
      <c r="X319" s="49"/>
      <c r="Y319" s="49"/>
      <c r="Z319" s="49"/>
      <c r="AA319" s="49"/>
      <c r="AB319" s="49"/>
      <c r="AC319" s="49"/>
      <c r="AD319" s="113"/>
      <c r="AE319" s="49"/>
      <c r="AF319" s="50"/>
      <c r="AG319" s="55"/>
      <c r="AH319" s="50"/>
      <c r="AI319" s="50"/>
      <c r="AJ319" s="50"/>
      <c r="AK319" s="50"/>
      <c r="AL319" s="50"/>
      <c r="AM319" s="50"/>
      <c r="AN319" s="50"/>
      <c r="AO319" s="9"/>
      <c r="AP319" s="9"/>
    </row>
    <row r="320" spans="1:42" x14ac:dyDescent="0.55000000000000004">
      <c r="A320" t="str">
        <f t="shared" si="4"/>
        <v/>
      </c>
      <c r="C320" s="103"/>
      <c r="D320" s="110"/>
      <c r="E320" s="110"/>
      <c r="F320" s="110"/>
      <c r="G320" s="110"/>
      <c r="H320" s="110"/>
      <c r="I320" s="110"/>
      <c r="J320" s="110"/>
      <c r="K320" s="110"/>
      <c r="L320" s="110"/>
      <c r="M320" s="110"/>
      <c r="N320" s="110"/>
      <c r="O320" s="110"/>
      <c r="P320" s="110"/>
      <c r="Q320" s="110"/>
      <c r="R320" s="110"/>
      <c r="S320" s="110"/>
      <c r="T320" s="110"/>
      <c r="U320" s="49"/>
      <c r="V320" s="49"/>
      <c r="W320" s="49"/>
      <c r="X320" s="49"/>
      <c r="Y320" s="49"/>
      <c r="Z320" s="49"/>
      <c r="AA320" s="49"/>
      <c r="AB320" s="49"/>
      <c r="AC320" s="49"/>
      <c r="AD320" s="113"/>
      <c r="AE320" s="49"/>
      <c r="AF320" s="50"/>
      <c r="AG320" s="55"/>
      <c r="AH320" s="50"/>
      <c r="AI320" s="50"/>
      <c r="AJ320" s="50"/>
      <c r="AK320" s="50"/>
      <c r="AL320" s="50"/>
      <c r="AM320" s="50"/>
      <c r="AN320" s="50"/>
      <c r="AO320" s="9"/>
      <c r="AP320" s="9"/>
    </row>
    <row r="321" spans="1:42" x14ac:dyDescent="0.55000000000000004">
      <c r="A321" t="str">
        <f t="shared" si="4"/>
        <v/>
      </c>
      <c r="C321" s="103"/>
      <c r="D321" s="110"/>
      <c r="E321" s="110"/>
      <c r="F321" s="110"/>
      <c r="G321" s="110"/>
      <c r="H321" s="110"/>
      <c r="I321" s="110"/>
      <c r="J321" s="110"/>
      <c r="K321" s="110"/>
      <c r="L321" s="110"/>
      <c r="M321" s="110"/>
      <c r="N321" s="110"/>
      <c r="O321" s="110"/>
      <c r="P321" s="110"/>
      <c r="Q321" s="110"/>
      <c r="R321" s="110"/>
      <c r="S321" s="110"/>
      <c r="T321" s="110"/>
      <c r="U321" s="49"/>
      <c r="V321" s="49"/>
      <c r="W321" s="49"/>
      <c r="X321" s="49"/>
      <c r="Y321" s="49"/>
      <c r="Z321" s="49"/>
      <c r="AA321" s="49"/>
      <c r="AB321" s="49"/>
      <c r="AC321" s="49"/>
      <c r="AD321" s="113"/>
      <c r="AE321" s="49"/>
      <c r="AF321" s="50"/>
      <c r="AG321" s="55"/>
      <c r="AH321" s="50"/>
      <c r="AI321" s="50"/>
      <c r="AJ321" s="50"/>
      <c r="AK321" s="50"/>
      <c r="AL321" s="50"/>
      <c r="AM321" s="50"/>
      <c r="AN321" s="50"/>
      <c r="AO321" s="9"/>
      <c r="AP321" s="9"/>
    </row>
    <row r="322" spans="1:42" x14ac:dyDescent="0.55000000000000004">
      <c r="A322" t="str">
        <f t="shared" si="4"/>
        <v/>
      </c>
      <c r="C322" s="103"/>
      <c r="D322" s="110"/>
      <c r="E322" s="110"/>
      <c r="F322" s="110"/>
      <c r="G322" s="110"/>
      <c r="H322" s="110"/>
      <c r="I322" s="110"/>
      <c r="J322" s="110"/>
      <c r="K322" s="110"/>
      <c r="L322" s="110"/>
      <c r="M322" s="110"/>
      <c r="N322" s="110"/>
      <c r="O322" s="110"/>
      <c r="P322" s="110"/>
      <c r="Q322" s="110"/>
      <c r="R322" s="110"/>
      <c r="S322" s="110"/>
      <c r="T322" s="110"/>
      <c r="U322" s="49"/>
      <c r="V322" s="49"/>
      <c r="W322" s="49"/>
      <c r="X322" s="49"/>
      <c r="Y322" s="49"/>
      <c r="Z322" s="49"/>
      <c r="AA322" s="49"/>
      <c r="AB322" s="49"/>
      <c r="AC322" s="49"/>
      <c r="AD322" s="113"/>
      <c r="AE322" s="49"/>
      <c r="AF322" s="50"/>
      <c r="AG322" s="55"/>
      <c r="AH322" s="50"/>
      <c r="AI322" s="50"/>
      <c r="AJ322" s="50"/>
      <c r="AK322" s="50"/>
      <c r="AL322" s="50"/>
      <c r="AM322" s="50"/>
      <c r="AN322" s="50"/>
      <c r="AO322" s="9"/>
      <c r="AP322" s="9"/>
    </row>
    <row r="323" spans="1:42" x14ac:dyDescent="0.55000000000000004">
      <c r="A323" t="str">
        <f t="shared" ref="A323:A386" si="5">H323&amp;I323&amp;J323</f>
        <v/>
      </c>
      <c r="C323" s="103"/>
      <c r="D323" s="110"/>
      <c r="E323" s="110"/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49"/>
      <c r="V323" s="49"/>
      <c r="W323" s="49"/>
      <c r="X323" s="49"/>
      <c r="Y323" s="49"/>
      <c r="Z323" s="49"/>
      <c r="AA323" s="49"/>
      <c r="AB323" s="49"/>
      <c r="AC323" s="49"/>
      <c r="AD323" s="113"/>
      <c r="AE323" s="49"/>
      <c r="AF323" s="50"/>
      <c r="AG323" s="55"/>
      <c r="AH323" s="50"/>
      <c r="AI323" s="50"/>
      <c r="AJ323" s="50"/>
      <c r="AK323" s="50"/>
      <c r="AL323" s="50"/>
      <c r="AM323" s="50"/>
      <c r="AN323" s="50"/>
      <c r="AO323" s="9"/>
      <c r="AP323" s="9"/>
    </row>
    <row r="324" spans="1:42" x14ac:dyDescent="0.55000000000000004">
      <c r="A324" t="str">
        <f t="shared" si="5"/>
        <v/>
      </c>
      <c r="C324" s="103"/>
      <c r="D324" s="110"/>
      <c r="E324" s="110"/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10"/>
      <c r="Q324" s="110"/>
      <c r="R324" s="110"/>
      <c r="S324" s="110"/>
      <c r="T324" s="110"/>
      <c r="U324" s="49"/>
      <c r="V324" s="49"/>
      <c r="W324" s="49"/>
      <c r="X324" s="49"/>
      <c r="Y324" s="49"/>
      <c r="Z324" s="49"/>
      <c r="AA324" s="49"/>
      <c r="AB324" s="49"/>
      <c r="AC324" s="49"/>
      <c r="AD324" s="113"/>
      <c r="AE324" s="49"/>
      <c r="AF324" s="50"/>
      <c r="AG324" s="55"/>
      <c r="AH324" s="50"/>
      <c r="AI324" s="50"/>
      <c r="AJ324" s="50"/>
      <c r="AK324" s="50"/>
      <c r="AL324" s="50"/>
      <c r="AM324" s="50"/>
      <c r="AN324" s="50"/>
      <c r="AO324" s="9"/>
      <c r="AP324" s="9"/>
    </row>
    <row r="325" spans="1:42" x14ac:dyDescent="0.55000000000000004">
      <c r="A325" t="str">
        <f t="shared" si="5"/>
        <v/>
      </c>
      <c r="C325" s="103"/>
      <c r="D325" s="110"/>
      <c r="E325" s="110"/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10"/>
      <c r="Q325" s="110"/>
      <c r="R325" s="110"/>
      <c r="S325" s="110"/>
      <c r="T325" s="110"/>
      <c r="U325" s="49"/>
      <c r="V325" s="49"/>
      <c r="W325" s="49"/>
      <c r="X325" s="49"/>
      <c r="Y325" s="49"/>
      <c r="Z325" s="49"/>
      <c r="AA325" s="49"/>
      <c r="AB325" s="49"/>
      <c r="AC325" s="49"/>
      <c r="AD325" s="113"/>
      <c r="AE325" s="49"/>
      <c r="AF325" s="50"/>
      <c r="AG325" s="55"/>
      <c r="AH325" s="50"/>
      <c r="AI325" s="50"/>
      <c r="AJ325" s="50"/>
      <c r="AK325" s="50"/>
      <c r="AL325" s="50"/>
      <c r="AM325" s="50"/>
      <c r="AN325" s="50"/>
      <c r="AO325" s="9"/>
      <c r="AP325" s="9"/>
    </row>
    <row r="326" spans="1:42" x14ac:dyDescent="0.55000000000000004">
      <c r="A326" t="str">
        <f t="shared" si="5"/>
        <v/>
      </c>
      <c r="C326" s="103"/>
      <c r="D326" s="110"/>
      <c r="E326" s="110"/>
      <c r="F326" s="110"/>
      <c r="G326" s="110"/>
      <c r="H326" s="110"/>
      <c r="I326" s="110"/>
      <c r="J326" s="110"/>
      <c r="K326" s="110"/>
      <c r="L326" s="110"/>
      <c r="M326" s="110"/>
      <c r="N326" s="110"/>
      <c r="O326" s="110"/>
      <c r="P326" s="110"/>
      <c r="Q326" s="110"/>
      <c r="R326" s="110"/>
      <c r="S326" s="110"/>
      <c r="T326" s="110"/>
      <c r="U326" s="49"/>
      <c r="V326" s="49"/>
      <c r="W326" s="49"/>
      <c r="X326" s="49"/>
      <c r="Y326" s="49"/>
      <c r="Z326" s="49"/>
      <c r="AA326" s="49"/>
      <c r="AB326" s="49"/>
      <c r="AC326" s="49"/>
      <c r="AD326" s="113"/>
      <c r="AE326" s="49"/>
      <c r="AF326" s="50"/>
      <c r="AG326" s="55"/>
      <c r="AH326" s="50"/>
      <c r="AI326" s="50"/>
      <c r="AJ326" s="50"/>
      <c r="AK326" s="50"/>
      <c r="AL326" s="50"/>
      <c r="AM326" s="50"/>
      <c r="AN326" s="50"/>
      <c r="AO326" s="9"/>
      <c r="AP326" s="9"/>
    </row>
    <row r="327" spans="1:42" x14ac:dyDescent="0.55000000000000004">
      <c r="A327" t="str">
        <f t="shared" si="5"/>
        <v/>
      </c>
      <c r="C327" s="103"/>
      <c r="D327" s="110"/>
      <c r="E327" s="110"/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10"/>
      <c r="Q327" s="110"/>
      <c r="R327" s="110"/>
      <c r="S327" s="110"/>
      <c r="T327" s="110"/>
      <c r="U327" s="49"/>
      <c r="V327" s="49"/>
      <c r="W327" s="49"/>
      <c r="X327" s="49"/>
      <c r="Y327" s="49"/>
      <c r="Z327" s="49"/>
      <c r="AA327" s="49"/>
      <c r="AB327" s="49"/>
      <c r="AC327" s="49"/>
      <c r="AD327" s="113"/>
      <c r="AE327" s="49"/>
      <c r="AF327" s="50"/>
      <c r="AG327" s="55"/>
      <c r="AH327" s="50"/>
      <c r="AI327" s="50"/>
      <c r="AJ327" s="50"/>
      <c r="AK327" s="50"/>
      <c r="AL327" s="50"/>
      <c r="AM327" s="50"/>
      <c r="AN327" s="50"/>
      <c r="AO327" s="9"/>
      <c r="AP327" s="9"/>
    </row>
    <row r="328" spans="1:42" x14ac:dyDescent="0.55000000000000004">
      <c r="A328" t="str">
        <f t="shared" si="5"/>
        <v/>
      </c>
      <c r="C328" s="103"/>
      <c r="D328" s="110"/>
      <c r="E328" s="110"/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10"/>
      <c r="Q328" s="110"/>
      <c r="R328" s="110"/>
      <c r="S328" s="110"/>
      <c r="T328" s="110"/>
      <c r="U328" s="49"/>
      <c r="V328" s="49"/>
      <c r="W328" s="49"/>
      <c r="X328" s="49"/>
      <c r="Y328" s="49"/>
      <c r="Z328" s="49"/>
      <c r="AA328" s="49"/>
      <c r="AB328" s="49"/>
      <c r="AC328" s="49"/>
      <c r="AD328" s="113"/>
      <c r="AE328" s="49"/>
      <c r="AF328" s="50"/>
      <c r="AG328" s="55"/>
      <c r="AH328" s="50"/>
      <c r="AI328" s="50"/>
      <c r="AJ328" s="50"/>
      <c r="AK328" s="50"/>
      <c r="AL328" s="50"/>
      <c r="AM328" s="50"/>
      <c r="AN328" s="50"/>
      <c r="AO328" s="9"/>
      <c r="AP328" s="9"/>
    </row>
    <row r="329" spans="1:42" x14ac:dyDescent="0.55000000000000004">
      <c r="A329" t="str">
        <f t="shared" si="5"/>
        <v/>
      </c>
      <c r="C329" s="103"/>
      <c r="D329" s="110"/>
      <c r="E329" s="110"/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10"/>
      <c r="Q329" s="110"/>
      <c r="R329" s="110"/>
      <c r="S329" s="110"/>
      <c r="T329" s="110"/>
      <c r="U329" s="49"/>
      <c r="V329" s="49"/>
      <c r="W329" s="49"/>
      <c r="X329" s="49"/>
      <c r="Y329" s="49"/>
      <c r="Z329" s="49"/>
      <c r="AA329" s="49"/>
      <c r="AB329" s="49"/>
      <c r="AC329" s="49"/>
      <c r="AD329" s="113"/>
      <c r="AE329" s="49"/>
      <c r="AF329" s="50"/>
      <c r="AG329" s="55"/>
      <c r="AH329" s="50"/>
      <c r="AI329" s="50"/>
      <c r="AJ329" s="50"/>
      <c r="AK329" s="50"/>
      <c r="AL329" s="50"/>
      <c r="AM329" s="50"/>
      <c r="AN329" s="50"/>
      <c r="AO329" s="9"/>
      <c r="AP329" s="9"/>
    </row>
    <row r="330" spans="1:42" x14ac:dyDescent="0.55000000000000004">
      <c r="A330" t="str">
        <f t="shared" si="5"/>
        <v/>
      </c>
      <c r="C330" s="103"/>
      <c r="D330" s="110"/>
      <c r="E330" s="110"/>
      <c r="F330" s="110"/>
      <c r="G330" s="110"/>
      <c r="H330" s="110"/>
      <c r="I330" s="110"/>
      <c r="J330" s="110"/>
      <c r="K330" s="110"/>
      <c r="L330" s="110"/>
      <c r="M330" s="110"/>
      <c r="N330" s="110"/>
      <c r="O330" s="110"/>
      <c r="P330" s="110"/>
      <c r="Q330" s="110"/>
      <c r="R330" s="110"/>
      <c r="S330" s="110"/>
      <c r="T330" s="110"/>
      <c r="U330" s="49"/>
      <c r="V330" s="49"/>
      <c r="W330" s="49"/>
      <c r="X330" s="49"/>
      <c r="Y330" s="49"/>
      <c r="Z330" s="49"/>
      <c r="AA330" s="49"/>
      <c r="AB330" s="49"/>
      <c r="AC330" s="49"/>
      <c r="AD330" s="113"/>
      <c r="AE330" s="49"/>
      <c r="AF330" s="50"/>
      <c r="AG330" s="55"/>
      <c r="AH330" s="50"/>
      <c r="AI330" s="50"/>
      <c r="AJ330" s="50"/>
      <c r="AK330" s="50"/>
      <c r="AL330" s="50"/>
      <c r="AM330" s="50"/>
      <c r="AN330" s="50"/>
      <c r="AO330" s="9"/>
      <c r="AP330" s="9"/>
    </row>
    <row r="331" spans="1:42" x14ac:dyDescent="0.55000000000000004">
      <c r="A331" t="str">
        <f t="shared" si="5"/>
        <v/>
      </c>
      <c r="C331" s="103"/>
      <c r="D331" s="110"/>
      <c r="E331" s="110"/>
      <c r="F331" s="110"/>
      <c r="G331" s="110"/>
      <c r="H331" s="110"/>
      <c r="I331" s="110"/>
      <c r="J331" s="110"/>
      <c r="K331" s="110"/>
      <c r="L331" s="110"/>
      <c r="M331" s="110"/>
      <c r="N331" s="110"/>
      <c r="O331" s="110"/>
      <c r="P331" s="110"/>
      <c r="Q331" s="110"/>
      <c r="R331" s="110"/>
      <c r="S331" s="110"/>
      <c r="T331" s="110"/>
      <c r="U331" s="49"/>
      <c r="V331" s="49"/>
      <c r="W331" s="49"/>
      <c r="X331" s="49"/>
      <c r="Y331" s="49"/>
      <c r="Z331" s="49"/>
      <c r="AA331" s="49"/>
      <c r="AB331" s="49"/>
      <c r="AC331" s="49"/>
      <c r="AD331" s="113"/>
      <c r="AE331" s="49"/>
      <c r="AF331" s="50"/>
      <c r="AG331" s="55"/>
      <c r="AH331" s="50"/>
      <c r="AI331" s="50"/>
      <c r="AJ331" s="50"/>
      <c r="AK331" s="50"/>
      <c r="AL331" s="50"/>
      <c r="AM331" s="50"/>
      <c r="AN331" s="50"/>
      <c r="AO331" s="9"/>
      <c r="AP331" s="9"/>
    </row>
    <row r="332" spans="1:42" x14ac:dyDescent="0.55000000000000004">
      <c r="A332" t="str">
        <f t="shared" si="5"/>
        <v/>
      </c>
      <c r="C332" s="103"/>
      <c r="D332" s="110"/>
      <c r="E332" s="110"/>
      <c r="F332" s="110"/>
      <c r="G332" s="110"/>
      <c r="H332" s="110"/>
      <c r="I332" s="110"/>
      <c r="J332" s="110"/>
      <c r="K332" s="110"/>
      <c r="L332" s="110"/>
      <c r="M332" s="110"/>
      <c r="N332" s="110"/>
      <c r="O332" s="110"/>
      <c r="P332" s="110"/>
      <c r="Q332" s="110"/>
      <c r="R332" s="110"/>
      <c r="S332" s="110"/>
      <c r="T332" s="110"/>
      <c r="U332" s="49"/>
      <c r="V332" s="49"/>
      <c r="W332" s="49"/>
      <c r="X332" s="49"/>
      <c r="Y332" s="49"/>
      <c r="Z332" s="49"/>
      <c r="AA332" s="49"/>
      <c r="AB332" s="49"/>
      <c r="AC332" s="49"/>
      <c r="AD332" s="113"/>
      <c r="AE332" s="49"/>
      <c r="AF332" s="50"/>
      <c r="AG332" s="55"/>
      <c r="AH332" s="50"/>
      <c r="AI332" s="50"/>
      <c r="AJ332" s="50"/>
      <c r="AK332" s="50"/>
      <c r="AL332" s="50"/>
      <c r="AM332" s="50"/>
      <c r="AN332" s="50"/>
      <c r="AO332" s="9"/>
      <c r="AP332" s="9"/>
    </row>
    <row r="333" spans="1:42" x14ac:dyDescent="0.55000000000000004">
      <c r="A333" t="str">
        <f t="shared" si="5"/>
        <v/>
      </c>
      <c r="C333" s="103"/>
      <c r="D333" s="110"/>
      <c r="E333" s="110"/>
      <c r="F333" s="110"/>
      <c r="G333" s="110"/>
      <c r="H333" s="110"/>
      <c r="I333" s="110"/>
      <c r="J333" s="110"/>
      <c r="K333" s="110"/>
      <c r="L333" s="110"/>
      <c r="M333" s="110"/>
      <c r="N333" s="110"/>
      <c r="O333" s="110"/>
      <c r="P333" s="110"/>
      <c r="Q333" s="110"/>
      <c r="R333" s="110"/>
      <c r="S333" s="110"/>
      <c r="T333" s="110"/>
      <c r="U333" s="49"/>
      <c r="V333" s="49"/>
      <c r="W333" s="49"/>
      <c r="X333" s="49"/>
      <c r="Y333" s="49"/>
      <c r="Z333" s="49"/>
      <c r="AA333" s="49"/>
      <c r="AB333" s="49"/>
      <c r="AC333" s="49"/>
      <c r="AD333" s="113"/>
      <c r="AE333" s="49"/>
      <c r="AF333" s="50"/>
      <c r="AG333" s="55"/>
      <c r="AH333" s="50"/>
      <c r="AI333" s="50"/>
      <c r="AJ333" s="50"/>
      <c r="AK333" s="50"/>
      <c r="AL333" s="50"/>
      <c r="AM333" s="50"/>
      <c r="AN333" s="50"/>
      <c r="AO333" s="9"/>
      <c r="AP333" s="9"/>
    </row>
    <row r="334" spans="1:42" x14ac:dyDescent="0.55000000000000004">
      <c r="A334" t="str">
        <f t="shared" si="5"/>
        <v/>
      </c>
      <c r="C334" s="103"/>
      <c r="D334" s="110"/>
      <c r="E334" s="110"/>
      <c r="F334" s="110"/>
      <c r="G334" s="110"/>
      <c r="H334" s="110"/>
      <c r="I334" s="110"/>
      <c r="J334" s="110"/>
      <c r="K334" s="110"/>
      <c r="L334" s="110"/>
      <c r="M334" s="110"/>
      <c r="N334" s="110"/>
      <c r="O334" s="110"/>
      <c r="P334" s="110"/>
      <c r="Q334" s="110"/>
      <c r="R334" s="110"/>
      <c r="S334" s="110"/>
      <c r="T334" s="110"/>
      <c r="U334" s="49"/>
      <c r="V334" s="49"/>
      <c r="W334" s="49"/>
      <c r="X334" s="49"/>
      <c r="Y334" s="49"/>
      <c r="Z334" s="49"/>
      <c r="AA334" s="49"/>
      <c r="AB334" s="49"/>
      <c r="AC334" s="49"/>
      <c r="AD334" s="113"/>
      <c r="AE334" s="49"/>
      <c r="AF334" s="50"/>
      <c r="AG334" s="55"/>
      <c r="AH334" s="50"/>
      <c r="AI334" s="50"/>
      <c r="AJ334" s="50"/>
      <c r="AK334" s="50"/>
      <c r="AL334" s="50"/>
      <c r="AM334" s="50"/>
      <c r="AN334" s="50"/>
      <c r="AO334" s="9"/>
      <c r="AP334" s="9"/>
    </row>
    <row r="335" spans="1:42" x14ac:dyDescent="0.55000000000000004">
      <c r="A335" t="str">
        <f t="shared" si="5"/>
        <v/>
      </c>
      <c r="C335" s="103"/>
      <c r="D335" s="110"/>
      <c r="E335" s="110"/>
      <c r="F335" s="110"/>
      <c r="G335" s="110"/>
      <c r="H335" s="110"/>
      <c r="I335" s="110"/>
      <c r="J335" s="110"/>
      <c r="K335" s="110"/>
      <c r="L335" s="110"/>
      <c r="M335" s="110"/>
      <c r="N335" s="110"/>
      <c r="O335" s="110"/>
      <c r="P335" s="110"/>
      <c r="Q335" s="110"/>
      <c r="R335" s="110"/>
      <c r="S335" s="110"/>
      <c r="T335" s="110"/>
      <c r="U335" s="49"/>
      <c r="V335" s="49"/>
      <c r="W335" s="49"/>
      <c r="X335" s="49"/>
      <c r="Y335" s="49"/>
      <c r="Z335" s="49"/>
      <c r="AA335" s="49"/>
      <c r="AB335" s="49"/>
      <c r="AC335" s="49"/>
      <c r="AD335" s="113"/>
      <c r="AE335" s="49"/>
      <c r="AF335" s="50"/>
      <c r="AG335" s="55"/>
      <c r="AH335" s="50"/>
      <c r="AI335" s="50"/>
      <c r="AJ335" s="50"/>
      <c r="AK335" s="50"/>
      <c r="AL335" s="50"/>
      <c r="AM335" s="50"/>
      <c r="AN335" s="50"/>
      <c r="AO335" s="9"/>
      <c r="AP335" s="9"/>
    </row>
    <row r="336" spans="1:42" x14ac:dyDescent="0.55000000000000004">
      <c r="A336" t="str">
        <f t="shared" si="5"/>
        <v/>
      </c>
      <c r="C336" s="103"/>
      <c r="D336" s="110"/>
      <c r="E336" s="110"/>
      <c r="F336" s="110"/>
      <c r="G336" s="110"/>
      <c r="H336" s="110"/>
      <c r="I336" s="110"/>
      <c r="J336" s="110"/>
      <c r="K336" s="110"/>
      <c r="L336" s="110"/>
      <c r="M336" s="110"/>
      <c r="N336" s="110"/>
      <c r="O336" s="110"/>
      <c r="P336" s="110"/>
      <c r="Q336" s="110"/>
      <c r="R336" s="110"/>
      <c r="S336" s="110"/>
      <c r="T336" s="110"/>
      <c r="U336" s="49"/>
      <c r="V336" s="49"/>
      <c r="W336" s="49"/>
      <c r="X336" s="49"/>
      <c r="Y336" s="49"/>
      <c r="Z336" s="49"/>
      <c r="AA336" s="49"/>
      <c r="AB336" s="49"/>
      <c r="AC336" s="49"/>
      <c r="AD336" s="113"/>
      <c r="AE336" s="49"/>
      <c r="AF336" s="50"/>
      <c r="AG336" s="55"/>
      <c r="AH336" s="50"/>
      <c r="AI336" s="50"/>
      <c r="AJ336" s="50"/>
      <c r="AK336" s="50"/>
      <c r="AL336" s="50"/>
      <c r="AM336" s="50"/>
      <c r="AN336" s="50"/>
      <c r="AO336" s="9"/>
      <c r="AP336" s="9"/>
    </row>
    <row r="337" spans="1:42" x14ac:dyDescent="0.55000000000000004">
      <c r="A337" t="str">
        <f t="shared" si="5"/>
        <v/>
      </c>
      <c r="C337" s="103"/>
      <c r="D337" s="110"/>
      <c r="E337" s="110"/>
      <c r="F337" s="110"/>
      <c r="G337" s="110"/>
      <c r="H337" s="110"/>
      <c r="I337" s="110"/>
      <c r="J337" s="110"/>
      <c r="K337" s="110"/>
      <c r="L337" s="110"/>
      <c r="M337" s="110"/>
      <c r="N337" s="110"/>
      <c r="O337" s="110"/>
      <c r="P337" s="110"/>
      <c r="Q337" s="110"/>
      <c r="R337" s="110"/>
      <c r="S337" s="110"/>
      <c r="T337" s="110"/>
      <c r="U337" s="49"/>
      <c r="V337" s="49"/>
      <c r="W337" s="49"/>
      <c r="X337" s="49"/>
      <c r="Y337" s="49"/>
      <c r="Z337" s="49"/>
      <c r="AA337" s="49"/>
      <c r="AB337" s="49"/>
      <c r="AC337" s="49"/>
      <c r="AD337" s="113"/>
      <c r="AE337" s="49"/>
      <c r="AF337" s="50"/>
      <c r="AG337" s="55"/>
      <c r="AH337" s="50"/>
      <c r="AI337" s="50"/>
      <c r="AJ337" s="50"/>
      <c r="AK337" s="50"/>
      <c r="AL337" s="50"/>
      <c r="AM337" s="50"/>
      <c r="AN337" s="50"/>
      <c r="AO337" s="9"/>
      <c r="AP337" s="9"/>
    </row>
    <row r="338" spans="1:42" x14ac:dyDescent="0.55000000000000004">
      <c r="A338" t="str">
        <f t="shared" si="5"/>
        <v/>
      </c>
      <c r="C338" s="103"/>
      <c r="D338" s="110"/>
      <c r="E338" s="110"/>
      <c r="F338" s="110"/>
      <c r="G338" s="110"/>
      <c r="H338" s="110"/>
      <c r="I338" s="110"/>
      <c r="J338" s="110"/>
      <c r="K338" s="110"/>
      <c r="L338" s="110"/>
      <c r="M338" s="110"/>
      <c r="N338" s="110"/>
      <c r="O338" s="110"/>
      <c r="P338" s="110"/>
      <c r="Q338" s="110"/>
      <c r="R338" s="110"/>
      <c r="S338" s="110"/>
      <c r="T338" s="110"/>
      <c r="U338" s="49"/>
      <c r="V338" s="49"/>
      <c r="W338" s="49"/>
      <c r="X338" s="49"/>
      <c r="Y338" s="49"/>
      <c r="Z338" s="49"/>
      <c r="AA338" s="49"/>
      <c r="AB338" s="49"/>
      <c r="AC338" s="49"/>
      <c r="AD338" s="113"/>
      <c r="AE338" s="49"/>
      <c r="AF338" s="50"/>
      <c r="AG338" s="55"/>
      <c r="AH338" s="50"/>
      <c r="AI338" s="50"/>
      <c r="AJ338" s="50"/>
      <c r="AK338" s="50"/>
      <c r="AL338" s="50"/>
      <c r="AM338" s="50"/>
      <c r="AN338" s="50"/>
      <c r="AO338" s="9"/>
      <c r="AP338" s="9"/>
    </row>
    <row r="339" spans="1:42" x14ac:dyDescent="0.55000000000000004">
      <c r="A339" t="str">
        <f t="shared" si="5"/>
        <v/>
      </c>
      <c r="C339" s="103"/>
      <c r="D339" s="110"/>
      <c r="E339" s="110"/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49"/>
      <c r="V339" s="49"/>
      <c r="W339" s="49"/>
      <c r="X339" s="49"/>
      <c r="Y339" s="49"/>
      <c r="Z339" s="49"/>
      <c r="AA339" s="49"/>
      <c r="AB339" s="49"/>
      <c r="AC339" s="49"/>
      <c r="AD339" s="113"/>
      <c r="AE339" s="49"/>
      <c r="AF339" s="50"/>
      <c r="AG339" s="55"/>
      <c r="AH339" s="50"/>
      <c r="AI339" s="50"/>
      <c r="AJ339" s="50"/>
      <c r="AK339" s="50"/>
      <c r="AL339" s="50"/>
      <c r="AM339" s="50"/>
      <c r="AN339" s="50"/>
      <c r="AO339" s="9"/>
      <c r="AP339" s="9"/>
    </row>
    <row r="340" spans="1:42" x14ac:dyDescent="0.55000000000000004">
      <c r="A340" t="str">
        <f t="shared" si="5"/>
        <v/>
      </c>
      <c r="C340" s="103"/>
      <c r="D340" s="110"/>
      <c r="E340" s="110"/>
      <c r="F340" s="110"/>
      <c r="G340" s="110"/>
      <c r="H340" s="110"/>
      <c r="I340" s="110"/>
      <c r="J340" s="110"/>
      <c r="K340" s="110"/>
      <c r="L340" s="110"/>
      <c r="M340" s="110"/>
      <c r="N340" s="110"/>
      <c r="O340" s="110"/>
      <c r="P340" s="110"/>
      <c r="Q340" s="110"/>
      <c r="R340" s="110"/>
      <c r="S340" s="110"/>
      <c r="T340" s="110"/>
      <c r="U340" s="49"/>
      <c r="V340" s="49"/>
      <c r="W340" s="49"/>
      <c r="X340" s="49"/>
      <c r="Y340" s="49"/>
      <c r="Z340" s="49"/>
      <c r="AA340" s="49"/>
      <c r="AB340" s="49"/>
      <c r="AC340" s="49"/>
      <c r="AD340" s="113"/>
      <c r="AE340" s="49"/>
      <c r="AF340" s="50"/>
      <c r="AG340" s="55"/>
      <c r="AH340" s="50"/>
      <c r="AI340" s="50"/>
      <c r="AJ340" s="50"/>
      <c r="AK340" s="50"/>
      <c r="AL340" s="50"/>
      <c r="AM340" s="50"/>
      <c r="AN340" s="50"/>
      <c r="AO340" s="9"/>
      <c r="AP340" s="9"/>
    </row>
    <row r="341" spans="1:42" x14ac:dyDescent="0.55000000000000004">
      <c r="A341" t="str">
        <f t="shared" si="5"/>
        <v/>
      </c>
      <c r="C341" s="103"/>
      <c r="D341" s="110"/>
      <c r="E341" s="110"/>
      <c r="F341" s="110"/>
      <c r="G341" s="110"/>
      <c r="H341" s="110"/>
      <c r="I341" s="110"/>
      <c r="J341" s="110"/>
      <c r="K341" s="110"/>
      <c r="L341" s="110"/>
      <c r="M341" s="110"/>
      <c r="N341" s="110"/>
      <c r="O341" s="110"/>
      <c r="P341" s="110"/>
      <c r="Q341" s="110"/>
      <c r="R341" s="110"/>
      <c r="S341" s="110"/>
      <c r="T341" s="110"/>
      <c r="U341" s="49"/>
      <c r="V341" s="49"/>
      <c r="W341" s="49"/>
      <c r="X341" s="49"/>
      <c r="Y341" s="49"/>
      <c r="Z341" s="49"/>
      <c r="AA341" s="49"/>
      <c r="AB341" s="49"/>
      <c r="AC341" s="49"/>
      <c r="AD341" s="113"/>
      <c r="AE341" s="49"/>
      <c r="AF341" s="50"/>
      <c r="AG341" s="55"/>
      <c r="AH341" s="50"/>
      <c r="AI341" s="50"/>
      <c r="AJ341" s="50"/>
      <c r="AK341" s="50"/>
      <c r="AL341" s="50"/>
      <c r="AM341" s="50"/>
      <c r="AN341" s="50"/>
      <c r="AO341" s="9"/>
      <c r="AP341" s="9"/>
    </row>
    <row r="342" spans="1:42" x14ac:dyDescent="0.55000000000000004">
      <c r="A342" t="str">
        <f t="shared" si="5"/>
        <v/>
      </c>
      <c r="C342" s="103"/>
      <c r="D342" s="110"/>
      <c r="E342" s="110"/>
      <c r="F342" s="110"/>
      <c r="G342" s="110"/>
      <c r="H342" s="110"/>
      <c r="I342" s="110"/>
      <c r="J342" s="110"/>
      <c r="K342" s="110"/>
      <c r="L342" s="110"/>
      <c r="M342" s="110"/>
      <c r="N342" s="110"/>
      <c r="O342" s="110"/>
      <c r="P342" s="110"/>
      <c r="Q342" s="110"/>
      <c r="R342" s="110"/>
      <c r="S342" s="110"/>
      <c r="T342" s="110"/>
      <c r="U342" s="49"/>
      <c r="V342" s="49"/>
      <c r="W342" s="49"/>
      <c r="X342" s="49"/>
      <c r="Y342" s="49"/>
      <c r="Z342" s="49"/>
      <c r="AA342" s="49"/>
      <c r="AB342" s="49"/>
      <c r="AC342" s="49"/>
      <c r="AD342" s="113"/>
      <c r="AE342" s="49"/>
      <c r="AF342" s="50"/>
      <c r="AG342" s="55"/>
      <c r="AH342" s="50"/>
      <c r="AI342" s="50"/>
      <c r="AJ342" s="50"/>
      <c r="AK342" s="50"/>
      <c r="AL342" s="50"/>
      <c r="AM342" s="50"/>
      <c r="AN342" s="50"/>
      <c r="AO342" s="9"/>
      <c r="AP342" s="9"/>
    </row>
    <row r="343" spans="1:42" x14ac:dyDescent="0.55000000000000004">
      <c r="A343" t="str">
        <f t="shared" si="5"/>
        <v/>
      </c>
      <c r="C343" s="103"/>
      <c r="D343" s="110"/>
      <c r="E343" s="110"/>
      <c r="F343" s="110"/>
      <c r="G343" s="110"/>
      <c r="H343" s="110"/>
      <c r="I343" s="110"/>
      <c r="J343" s="110"/>
      <c r="K343" s="110"/>
      <c r="L343" s="110"/>
      <c r="M343" s="110"/>
      <c r="N343" s="110"/>
      <c r="O343" s="110"/>
      <c r="P343" s="110"/>
      <c r="Q343" s="110"/>
      <c r="R343" s="110"/>
      <c r="S343" s="110"/>
      <c r="T343" s="110"/>
      <c r="U343" s="49"/>
      <c r="V343" s="49"/>
      <c r="W343" s="49"/>
      <c r="X343" s="49"/>
      <c r="Y343" s="49"/>
      <c r="Z343" s="49"/>
      <c r="AA343" s="49"/>
      <c r="AB343" s="49"/>
      <c r="AC343" s="49"/>
      <c r="AD343" s="113"/>
      <c r="AE343" s="49"/>
      <c r="AF343" s="50"/>
      <c r="AG343" s="55"/>
      <c r="AH343" s="50"/>
      <c r="AI343" s="50"/>
      <c r="AJ343" s="50"/>
      <c r="AK343" s="50"/>
      <c r="AL343" s="50"/>
      <c r="AM343" s="50"/>
      <c r="AN343" s="50"/>
      <c r="AO343" s="9"/>
      <c r="AP343" s="9"/>
    </row>
    <row r="344" spans="1:42" x14ac:dyDescent="0.55000000000000004">
      <c r="A344" t="str">
        <f t="shared" si="5"/>
        <v/>
      </c>
      <c r="C344" s="103"/>
      <c r="D344" s="110"/>
      <c r="E344" s="110"/>
      <c r="F344" s="110"/>
      <c r="G344" s="110"/>
      <c r="H344" s="110"/>
      <c r="I344" s="110"/>
      <c r="J344" s="110"/>
      <c r="K344" s="110"/>
      <c r="L344" s="110"/>
      <c r="M344" s="110"/>
      <c r="N344" s="110"/>
      <c r="O344" s="110"/>
      <c r="P344" s="110"/>
      <c r="Q344" s="110"/>
      <c r="R344" s="110"/>
      <c r="S344" s="110"/>
      <c r="T344" s="110"/>
      <c r="U344" s="49"/>
      <c r="V344" s="49"/>
      <c r="W344" s="49"/>
      <c r="X344" s="49"/>
      <c r="Y344" s="49"/>
      <c r="Z344" s="49"/>
      <c r="AA344" s="49"/>
      <c r="AB344" s="49"/>
      <c r="AC344" s="49"/>
      <c r="AD344" s="113"/>
      <c r="AE344" s="49"/>
      <c r="AF344" s="50"/>
      <c r="AG344" s="55"/>
      <c r="AH344" s="50"/>
      <c r="AI344" s="50"/>
      <c r="AJ344" s="50"/>
      <c r="AK344" s="50"/>
      <c r="AL344" s="50"/>
      <c r="AM344" s="50"/>
      <c r="AN344" s="50"/>
      <c r="AO344" s="9"/>
      <c r="AP344" s="9"/>
    </row>
    <row r="345" spans="1:42" x14ac:dyDescent="0.55000000000000004">
      <c r="A345" t="str">
        <f t="shared" si="5"/>
        <v/>
      </c>
      <c r="C345" s="103"/>
      <c r="D345" s="110"/>
      <c r="E345" s="110"/>
      <c r="F345" s="110"/>
      <c r="G345" s="110"/>
      <c r="H345" s="110"/>
      <c r="I345" s="110"/>
      <c r="J345" s="110"/>
      <c r="K345" s="110"/>
      <c r="L345" s="110"/>
      <c r="M345" s="110"/>
      <c r="N345" s="110"/>
      <c r="O345" s="110"/>
      <c r="P345" s="110"/>
      <c r="Q345" s="110"/>
      <c r="R345" s="110"/>
      <c r="S345" s="110"/>
      <c r="T345" s="110"/>
      <c r="U345" s="49"/>
      <c r="V345" s="49"/>
      <c r="W345" s="49"/>
      <c r="X345" s="49"/>
      <c r="Y345" s="49"/>
      <c r="Z345" s="49"/>
      <c r="AA345" s="49"/>
      <c r="AB345" s="49"/>
      <c r="AC345" s="49"/>
      <c r="AD345" s="113"/>
      <c r="AE345" s="49"/>
      <c r="AF345" s="50"/>
      <c r="AG345" s="55"/>
      <c r="AH345" s="50"/>
      <c r="AI345" s="50"/>
      <c r="AJ345" s="50"/>
      <c r="AK345" s="50"/>
      <c r="AL345" s="50"/>
      <c r="AM345" s="50"/>
      <c r="AN345" s="50"/>
      <c r="AO345" s="9"/>
      <c r="AP345" s="9"/>
    </row>
    <row r="346" spans="1:42" x14ac:dyDescent="0.55000000000000004">
      <c r="A346" t="str">
        <f t="shared" si="5"/>
        <v/>
      </c>
      <c r="C346" s="103"/>
      <c r="D346" s="110"/>
      <c r="E346" s="110"/>
      <c r="F346" s="110"/>
      <c r="G346" s="110"/>
      <c r="H346" s="110"/>
      <c r="I346" s="110"/>
      <c r="J346" s="110"/>
      <c r="K346" s="110"/>
      <c r="L346" s="110"/>
      <c r="M346" s="110"/>
      <c r="N346" s="110"/>
      <c r="O346" s="110"/>
      <c r="P346" s="110"/>
      <c r="Q346" s="110"/>
      <c r="R346" s="110"/>
      <c r="S346" s="110"/>
      <c r="T346" s="110"/>
      <c r="U346" s="49"/>
      <c r="V346" s="49"/>
      <c r="W346" s="49"/>
      <c r="X346" s="49"/>
      <c r="Y346" s="49"/>
      <c r="Z346" s="49"/>
      <c r="AA346" s="49"/>
      <c r="AB346" s="49"/>
      <c r="AC346" s="49"/>
      <c r="AD346" s="113"/>
      <c r="AE346" s="49"/>
      <c r="AF346" s="50"/>
      <c r="AG346" s="55"/>
      <c r="AH346" s="50"/>
      <c r="AI346" s="50"/>
      <c r="AJ346" s="50"/>
      <c r="AK346" s="50"/>
      <c r="AL346" s="50"/>
      <c r="AM346" s="50"/>
      <c r="AN346" s="50"/>
      <c r="AO346" s="9"/>
      <c r="AP346" s="9"/>
    </row>
    <row r="347" spans="1:42" x14ac:dyDescent="0.55000000000000004">
      <c r="A347" t="str">
        <f t="shared" si="5"/>
        <v/>
      </c>
      <c r="C347" s="103"/>
      <c r="D347" s="110"/>
      <c r="E347" s="110"/>
      <c r="F347" s="110"/>
      <c r="G347" s="110"/>
      <c r="H347" s="110"/>
      <c r="I347" s="110"/>
      <c r="J347" s="110"/>
      <c r="K347" s="110"/>
      <c r="L347" s="110"/>
      <c r="M347" s="110"/>
      <c r="N347" s="110"/>
      <c r="O347" s="110"/>
      <c r="P347" s="110"/>
      <c r="Q347" s="110"/>
      <c r="R347" s="110"/>
      <c r="S347" s="110"/>
      <c r="T347" s="110"/>
      <c r="U347" s="49"/>
      <c r="V347" s="49"/>
      <c r="W347" s="49"/>
      <c r="X347" s="49"/>
      <c r="Y347" s="49"/>
      <c r="Z347" s="49"/>
      <c r="AA347" s="49"/>
      <c r="AB347" s="49"/>
      <c r="AC347" s="49"/>
      <c r="AD347" s="113"/>
      <c r="AE347" s="49"/>
      <c r="AF347" s="50"/>
      <c r="AG347" s="55"/>
      <c r="AH347" s="50"/>
      <c r="AI347" s="50"/>
      <c r="AJ347" s="50"/>
      <c r="AK347" s="50"/>
      <c r="AL347" s="50"/>
      <c r="AM347" s="50"/>
      <c r="AN347" s="50"/>
      <c r="AO347" s="9"/>
      <c r="AP347" s="9"/>
    </row>
    <row r="348" spans="1:42" x14ac:dyDescent="0.55000000000000004">
      <c r="A348" t="str">
        <f t="shared" si="5"/>
        <v/>
      </c>
      <c r="C348" s="103"/>
      <c r="D348" s="110"/>
      <c r="E348" s="110"/>
      <c r="F348" s="110"/>
      <c r="G348" s="110"/>
      <c r="H348" s="110"/>
      <c r="I348" s="110"/>
      <c r="J348" s="110"/>
      <c r="K348" s="110"/>
      <c r="L348" s="110"/>
      <c r="M348" s="110"/>
      <c r="N348" s="110"/>
      <c r="O348" s="110"/>
      <c r="P348" s="110"/>
      <c r="Q348" s="110"/>
      <c r="R348" s="110"/>
      <c r="S348" s="110"/>
      <c r="T348" s="110"/>
      <c r="U348" s="49"/>
      <c r="V348" s="49"/>
      <c r="W348" s="49"/>
      <c r="X348" s="49"/>
      <c r="Y348" s="49"/>
      <c r="Z348" s="49"/>
      <c r="AA348" s="49"/>
      <c r="AB348" s="49"/>
      <c r="AC348" s="49"/>
      <c r="AD348" s="113"/>
      <c r="AE348" s="49"/>
      <c r="AF348" s="50"/>
      <c r="AG348" s="55"/>
      <c r="AH348" s="50"/>
      <c r="AI348" s="50"/>
      <c r="AJ348" s="50"/>
      <c r="AK348" s="50"/>
      <c r="AL348" s="50"/>
      <c r="AM348" s="50"/>
      <c r="AN348" s="50"/>
      <c r="AO348" s="9"/>
      <c r="AP348" s="9"/>
    </row>
    <row r="349" spans="1:42" x14ac:dyDescent="0.55000000000000004">
      <c r="A349" t="str">
        <f t="shared" si="5"/>
        <v/>
      </c>
      <c r="C349" s="103"/>
      <c r="D349" s="110"/>
      <c r="E349" s="110"/>
      <c r="F349" s="110"/>
      <c r="G349" s="110"/>
      <c r="H349" s="110"/>
      <c r="I349" s="110"/>
      <c r="J349" s="110"/>
      <c r="K349" s="110"/>
      <c r="L349" s="110"/>
      <c r="M349" s="110"/>
      <c r="N349" s="110"/>
      <c r="O349" s="110"/>
      <c r="P349" s="110"/>
      <c r="Q349" s="110"/>
      <c r="R349" s="110"/>
      <c r="S349" s="110"/>
      <c r="T349" s="110"/>
      <c r="U349" s="49"/>
      <c r="V349" s="49"/>
      <c r="W349" s="49"/>
      <c r="X349" s="49"/>
      <c r="Y349" s="49"/>
      <c r="Z349" s="49"/>
      <c r="AA349" s="49"/>
      <c r="AB349" s="49"/>
      <c r="AC349" s="49"/>
      <c r="AD349" s="113"/>
      <c r="AE349" s="49"/>
      <c r="AF349" s="50"/>
      <c r="AG349" s="55"/>
      <c r="AH349" s="50"/>
      <c r="AI349" s="50"/>
      <c r="AJ349" s="50"/>
      <c r="AK349" s="50"/>
      <c r="AL349" s="50"/>
      <c r="AM349" s="50"/>
      <c r="AN349" s="50"/>
      <c r="AO349" s="9"/>
      <c r="AP349" s="9"/>
    </row>
    <row r="350" spans="1:42" x14ac:dyDescent="0.55000000000000004">
      <c r="A350" t="str">
        <f t="shared" si="5"/>
        <v/>
      </c>
      <c r="C350" s="103"/>
      <c r="D350" s="110"/>
      <c r="E350" s="110"/>
      <c r="F350" s="110"/>
      <c r="G350" s="110"/>
      <c r="H350" s="110"/>
      <c r="I350" s="110"/>
      <c r="J350" s="110"/>
      <c r="K350" s="110"/>
      <c r="L350" s="110"/>
      <c r="M350" s="110"/>
      <c r="N350" s="110"/>
      <c r="O350" s="110"/>
      <c r="P350" s="110"/>
      <c r="Q350" s="110"/>
      <c r="R350" s="110"/>
      <c r="S350" s="110"/>
      <c r="T350" s="110"/>
      <c r="U350" s="49"/>
      <c r="V350" s="49"/>
      <c r="W350" s="49"/>
      <c r="X350" s="49"/>
      <c r="Y350" s="49"/>
      <c r="Z350" s="49"/>
      <c r="AA350" s="49"/>
      <c r="AB350" s="49"/>
      <c r="AC350" s="49"/>
      <c r="AD350" s="113"/>
      <c r="AE350" s="49"/>
      <c r="AF350" s="50"/>
      <c r="AG350" s="55"/>
      <c r="AH350" s="50"/>
      <c r="AI350" s="50"/>
      <c r="AJ350" s="50"/>
      <c r="AK350" s="50"/>
      <c r="AL350" s="50"/>
      <c r="AM350" s="50"/>
      <c r="AN350" s="50"/>
      <c r="AO350" s="9"/>
      <c r="AP350" s="9"/>
    </row>
    <row r="351" spans="1:42" x14ac:dyDescent="0.55000000000000004">
      <c r="A351" t="str">
        <f t="shared" si="5"/>
        <v/>
      </c>
      <c r="C351" s="103"/>
      <c r="D351" s="110"/>
      <c r="E351" s="110"/>
      <c r="F351" s="110"/>
      <c r="G351" s="110"/>
      <c r="H351" s="110"/>
      <c r="I351" s="110"/>
      <c r="J351" s="110"/>
      <c r="K351" s="110"/>
      <c r="L351" s="110"/>
      <c r="M351" s="110"/>
      <c r="N351" s="110"/>
      <c r="O351" s="110"/>
      <c r="P351" s="110"/>
      <c r="Q351" s="110"/>
      <c r="R351" s="110"/>
      <c r="S351" s="110"/>
      <c r="T351" s="110"/>
      <c r="U351" s="49"/>
      <c r="V351" s="49"/>
      <c r="W351" s="49"/>
      <c r="X351" s="49"/>
      <c r="Y351" s="49"/>
      <c r="Z351" s="49"/>
      <c r="AA351" s="49"/>
      <c r="AB351" s="49"/>
      <c r="AC351" s="49"/>
      <c r="AD351" s="113"/>
      <c r="AE351" s="49"/>
      <c r="AF351" s="50"/>
      <c r="AG351" s="55"/>
      <c r="AH351" s="50"/>
      <c r="AI351" s="50"/>
      <c r="AJ351" s="50"/>
      <c r="AK351" s="50"/>
      <c r="AL351" s="50"/>
      <c r="AM351" s="50"/>
      <c r="AN351" s="50"/>
      <c r="AO351" s="9"/>
      <c r="AP351" s="9"/>
    </row>
    <row r="352" spans="1:42" x14ac:dyDescent="0.55000000000000004">
      <c r="A352" t="str">
        <f t="shared" si="5"/>
        <v/>
      </c>
      <c r="C352" s="103"/>
      <c r="D352" s="110"/>
      <c r="E352" s="110"/>
      <c r="F352" s="110"/>
      <c r="G352" s="110"/>
      <c r="H352" s="110"/>
      <c r="I352" s="110"/>
      <c r="J352" s="110"/>
      <c r="K352" s="110"/>
      <c r="L352" s="110"/>
      <c r="M352" s="110"/>
      <c r="N352" s="110"/>
      <c r="O352" s="110"/>
      <c r="P352" s="110"/>
      <c r="Q352" s="110"/>
      <c r="R352" s="110"/>
      <c r="S352" s="110"/>
      <c r="T352" s="110"/>
      <c r="U352" s="49"/>
      <c r="V352" s="49"/>
      <c r="W352" s="49"/>
      <c r="X352" s="49"/>
      <c r="Y352" s="49"/>
      <c r="Z352" s="49"/>
      <c r="AA352" s="49"/>
      <c r="AB352" s="49"/>
      <c r="AC352" s="49"/>
      <c r="AD352" s="113"/>
      <c r="AE352" s="49"/>
      <c r="AF352" s="50"/>
      <c r="AG352" s="55"/>
      <c r="AH352" s="50"/>
      <c r="AI352" s="50"/>
      <c r="AJ352" s="50"/>
      <c r="AK352" s="50"/>
      <c r="AL352" s="50"/>
      <c r="AM352" s="50"/>
      <c r="AN352" s="50"/>
      <c r="AO352" s="9"/>
      <c r="AP352" s="9"/>
    </row>
    <row r="353" spans="1:42" x14ac:dyDescent="0.55000000000000004">
      <c r="A353" t="str">
        <f t="shared" si="5"/>
        <v/>
      </c>
      <c r="C353" s="103"/>
      <c r="D353" s="110"/>
      <c r="E353" s="110"/>
      <c r="F353" s="110"/>
      <c r="G353" s="110"/>
      <c r="H353" s="110"/>
      <c r="I353" s="110"/>
      <c r="J353" s="110"/>
      <c r="K353" s="110"/>
      <c r="L353" s="110"/>
      <c r="M353" s="110"/>
      <c r="N353" s="110"/>
      <c r="O353" s="110"/>
      <c r="P353" s="110"/>
      <c r="Q353" s="110"/>
      <c r="R353" s="110"/>
      <c r="S353" s="110"/>
      <c r="T353" s="110"/>
      <c r="U353" s="49"/>
      <c r="V353" s="49"/>
      <c r="W353" s="49"/>
      <c r="X353" s="49"/>
      <c r="Y353" s="49"/>
      <c r="Z353" s="49"/>
      <c r="AA353" s="49"/>
      <c r="AB353" s="49"/>
      <c r="AC353" s="49"/>
      <c r="AD353" s="113"/>
      <c r="AE353" s="49"/>
      <c r="AF353" s="50"/>
      <c r="AG353" s="55"/>
      <c r="AH353" s="50"/>
      <c r="AI353" s="50"/>
      <c r="AJ353" s="50"/>
      <c r="AK353" s="50"/>
      <c r="AL353" s="50"/>
      <c r="AM353" s="50"/>
      <c r="AN353" s="50"/>
      <c r="AO353" s="9"/>
      <c r="AP353" s="9"/>
    </row>
    <row r="354" spans="1:42" x14ac:dyDescent="0.55000000000000004">
      <c r="A354" t="str">
        <f t="shared" si="5"/>
        <v/>
      </c>
      <c r="C354" s="103"/>
      <c r="D354" s="110"/>
      <c r="E354" s="110"/>
      <c r="F354" s="110"/>
      <c r="G354" s="110"/>
      <c r="H354" s="110"/>
      <c r="I354" s="110"/>
      <c r="J354" s="110"/>
      <c r="K354" s="110"/>
      <c r="L354" s="110"/>
      <c r="M354" s="110"/>
      <c r="N354" s="110"/>
      <c r="O354" s="110"/>
      <c r="P354" s="110"/>
      <c r="Q354" s="110"/>
      <c r="R354" s="110"/>
      <c r="S354" s="110"/>
      <c r="T354" s="110"/>
      <c r="U354" s="49"/>
      <c r="V354" s="49"/>
      <c r="W354" s="49"/>
      <c r="X354" s="49"/>
      <c r="Y354" s="49"/>
      <c r="Z354" s="49"/>
      <c r="AA354" s="49"/>
      <c r="AB354" s="49"/>
      <c r="AC354" s="49"/>
      <c r="AD354" s="113"/>
      <c r="AE354" s="49"/>
      <c r="AF354" s="50"/>
      <c r="AG354" s="55"/>
      <c r="AH354" s="50"/>
      <c r="AI354" s="50"/>
      <c r="AJ354" s="50"/>
      <c r="AK354" s="50"/>
      <c r="AL354" s="50"/>
      <c r="AM354" s="50"/>
      <c r="AN354" s="50"/>
      <c r="AO354" s="9"/>
      <c r="AP354" s="9"/>
    </row>
    <row r="355" spans="1:42" x14ac:dyDescent="0.55000000000000004">
      <c r="A355" t="str">
        <f t="shared" si="5"/>
        <v/>
      </c>
      <c r="C355" s="103"/>
      <c r="D355" s="110"/>
      <c r="E355" s="110"/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49"/>
      <c r="V355" s="49"/>
      <c r="W355" s="49"/>
      <c r="X355" s="49"/>
      <c r="Y355" s="49"/>
      <c r="Z355" s="49"/>
      <c r="AA355" s="49"/>
      <c r="AB355" s="49"/>
      <c r="AC355" s="49"/>
      <c r="AD355" s="113"/>
      <c r="AE355" s="49"/>
      <c r="AF355" s="50"/>
      <c r="AG355" s="55"/>
      <c r="AH355" s="50"/>
      <c r="AI355" s="50"/>
      <c r="AJ355" s="50"/>
      <c r="AK355" s="50"/>
      <c r="AL355" s="50"/>
      <c r="AM355" s="50"/>
      <c r="AN355" s="50"/>
      <c r="AO355" s="9"/>
      <c r="AP355" s="9"/>
    </row>
    <row r="356" spans="1:42" x14ac:dyDescent="0.55000000000000004">
      <c r="A356" t="str">
        <f t="shared" si="5"/>
        <v/>
      </c>
      <c r="C356" s="103"/>
      <c r="D356" s="110"/>
      <c r="E356" s="110"/>
      <c r="F356" s="110"/>
      <c r="G356" s="110"/>
      <c r="H356" s="110"/>
      <c r="I356" s="110"/>
      <c r="J356" s="110"/>
      <c r="K356" s="110"/>
      <c r="L356" s="110"/>
      <c r="M356" s="110"/>
      <c r="N356" s="110"/>
      <c r="O356" s="110"/>
      <c r="P356" s="110"/>
      <c r="Q356" s="110"/>
      <c r="R356" s="110"/>
      <c r="S356" s="110"/>
      <c r="T356" s="110"/>
      <c r="U356" s="49"/>
      <c r="V356" s="49"/>
      <c r="W356" s="49"/>
      <c r="X356" s="49"/>
      <c r="Y356" s="49"/>
      <c r="Z356" s="49"/>
      <c r="AA356" s="49"/>
      <c r="AB356" s="49"/>
      <c r="AC356" s="49"/>
      <c r="AD356" s="113"/>
      <c r="AE356" s="49"/>
      <c r="AF356" s="50"/>
      <c r="AG356" s="55"/>
      <c r="AH356" s="50"/>
      <c r="AI356" s="50"/>
      <c r="AJ356" s="50"/>
      <c r="AK356" s="50"/>
      <c r="AL356" s="50"/>
      <c r="AM356" s="50"/>
      <c r="AN356" s="50"/>
      <c r="AO356" s="9"/>
      <c r="AP356" s="9"/>
    </row>
    <row r="357" spans="1:42" x14ac:dyDescent="0.55000000000000004">
      <c r="A357" t="str">
        <f t="shared" si="5"/>
        <v/>
      </c>
      <c r="C357" s="103"/>
      <c r="D357" s="110"/>
      <c r="E357" s="110"/>
      <c r="F357" s="110"/>
      <c r="G357" s="110"/>
      <c r="H357" s="110"/>
      <c r="I357" s="110"/>
      <c r="J357" s="110"/>
      <c r="K357" s="110"/>
      <c r="L357" s="110"/>
      <c r="M357" s="110"/>
      <c r="N357" s="110"/>
      <c r="O357" s="110"/>
      <c r="P357" s="110"/>
      <c r="Q357" s="110"/>
      <c r="R357" s="110"/>
      <c r="S357" s="110"/>
      <c r="T357" s="110"/>
      <c r="U357" s="49"/>
      <c r="V357" s="49"/>
      <c r="W357" s="49"/>
      <c r="X357" s="49"/>
      <c r="Y357" s="49"/>
      <c r="Z357" s="49"/>
      <c r="AA357" s="49"/>
      <c r="AB357" s="49"/>
      <c r="AC357" s="49"/>
      <c r="AD357" s="113"/>
      <c r="AE357" s="49"/>
      <c r="AF357" s="50"/>
      <c r="AG357" s="50"/>
      <c r="AH357" s="50"/>
      <c r="AI357" s="50"/>
      <c r="AJ357" s="50"/>
      <c r="AK357" s="50"/>
      <c r="AL357" s="50"/>
      <c r="AM357" s="50"/>
      <c r="AN357" s="50"/>
      <c r="AO357" s="9"/>
      <c r="AP357" s="9"/>
    </row>
    <row r="358" spans="1:42" x14ac:dyDescent="0.55000000000000004">
      <c r="A358" t="str">
        <f t="shared" si="5"/>
        <v/>
      </c>
      <c r="C358" s="103"/>
      <c r="D358" s="110"/>
      <c r="E358" s="110"/>
      <c r="F358" s="110"/>
      <c r="G358" s="110"/>
      <c r="H358" s="110"/>
      <c r="I358" s="110"/>
      <c r="J358" s="110"/>
      <c r="K358" s="110"/>
      <c r="L358" s="110"/>
      <c r="M358" s="110"/>
      <c r="N358" s="110"/>
      <c r="O358" s="110"/>
      <c r="P358" s="110"/>
      <c r="Q358" s="110"/>
      <c r="R358" s="110"/>
      <c r="S358" s="110"/>
      <c r="T358" s="110"/>
      <c r="U358" s="49"/>
      <c r="V358" s="49"/>
      <c r="W358" s="49"/>
      <c r="X358" s="49"/>
      <c r="Y358" s="49"/>
      <c r="Z358" s="49"/>
      <c r="AA358" s="49"/>
      <c r="AB358" s="49"/>
      <c r="AC358" s="49"/>
      <c r="AD358" s="113"/>
      <c r="AE358" s="49"/>
      <c r="AF358" s="50"/>
      <c r="AG358" s="50"/>
      <c r="AH358" s="50"/>
      <c r="AI358" s="50"/>
      <c r="AJ358" s="50"/>
      <c r="AK358" s="50"/>
      <c r="AL358" s="50"/>
      <c r="AM358" s="50"/>
      <c r="AN358" s="50"/>
      <c r="AO358" s="9"/>
      <c r="AP358" s="9"/>
    </row>
    <row r="359" spans="1:42" x14ac:dyDescent="0.55000000000000004">
      <c r="A359" t="str">
        <f t="shared" si="5"/>
        <v/>
      </c>
      <c r="C359" s="103"/>
      <c r="D359" s="110"/>
      <c r="E359" s="110"/>
      <c r="F359" s="110"/>
      <c r="G359" s="110"/>
      <c r="H359" s="110"/>
      <c r="I359" s="110"/>
      <c r="J359" s="110"/>
      <c r="K359" s="110"/>
      <c r="L359" s="110"/>
      <c r="M359" s="110"/>
      <c r="N359" s="110"/>
      <c r="O359" s="110"/>
      <c r="P359" s="110"/>
      <c r="Q359" s="110"/>
      <c r="R359" s="110"/>
      <c r="S359" s="110"/>
      <c r="T359" s="110"/>
      <c r="U359" s="49"/>
      <c r="V359" s="49"/>
      <c r="W359" s="49"/>
      <c r="X359" s="49"/>
      <c r="Y359" s="49"/>
      <c r="Z359" s="49"/>
      <c r="AA359" s="49"/>
      <c r="AB359" s="49"/>
      <c r="AC359" s="49"/>
      <c r="AD359" s="113"/>
      <c r="AE359" s="49"/>
      <c r="AF359" s="50"/>
      <c r="AG359" s="50"/>
      <c r="AH359" s="50"/>
      <c r="AI359" s="50"/>
      <c r="AJ359" s="50"/>
      <c r="AK359" s="50"/>
      <c r="AL359" s="50"/>
      <c r="AM359" s="50"/>
      <c r="AN359" s="50"/>
      <c r="AO359" s="9"/>
      <c r="AP359" s="9"/>
    </row>
    <row r="360" spans="1:42" x14ac:dyDescent="0.55000000000000004">
      <c r="A360" t="str">
        <f t="shared" si="5"/>
        <v/>
      </c>
      <c r="C360" s="103"/>
      <c r="D360" s="110"/>
      <c r="E360" s="110"/>
      <c r="F360" s="110"/>
      <c r="G360" s="110"/>
      <c r="H360" s="110"/>
      <c r="I360" s="110"/>
      <c r="J360" s="110"/>
      <c r="K360" s="110"/>
      <c r="L360" s="110"/>
      <c r="M360" s="110"/>
      <c r="N360" s="110"/>
      <c r="O360" s="110"/>
      <c r="P360" s="110"/>
      <c r="Q360" s="110"/>
      <c r="R360" s="110"/>
      <c r="S360" s="110"/>
      <c r="T360" s="110"/>
      <c r="U360" s="49"/>
      <c r="V360" s="49"/>
      <c r="W360" s="49"/>
      <c r="X360" s="49"/>
      <c r="Y360" s="49"/>
      <c r="Z360" s="49"/>
      <c r="AA360" s="49"/>
      <c r="AB360" s="49"/>
      <c r="AC360" s="49"/>
      <c r="AD360" s="113"/>
      <c r="AE360" s="49"/>
      <c r="AF360" s="50"/>
      <c r="AG360" s="50"/>
      <c r="AH360" s="50"/>
      <c r="AI360" s="50"/>
      <c r="AJ360" s="50"/>
      <c r="AK360" s="50"/>
      <c r="AL360" s="50"/>
      <c r="AM360" s="50"/>
      <c r="AN360" s="50"/>
      <c r="AO360" s="9"/>
      <c r="AP360" s="9"/>
    </row>
    <row r="361" spans="1:42" x14ac:dyDescent="0.55000000000000004">
      <c r="A361" t="str">
        <f t="shared" si="5"/>
        <v/>
      </c>
      <c r="C361" s="103"/>
      <c r="D361" s="110"/>
      <c r="E361" s="110"/>
      <c r="F361" s="110"/>
      <c r="G361" s="110"/>
      <c r="H361" s="110"/>
      <c r="I361" s="110"/>
      <c r="J361" s="110"/>
      <c r="K361" s="110"/>
      <c r="L361" s="110"/>
      <c r="M361" s="110"/>
      <c r="N361" s="110"/>
      <c r="O361" s="110"/>
      <c r="P361" s="110"/>
      <c r="Q361" s="110"/>
      <c r="R361" s="110"/>
      <c r="S361" s="110"/>
      <c r="T361" s="110"/>
      <c r="U361" s="49"/>
      <c r="V361" s="49"/>
      <c r="W361" s="49"/>
      <c r="X361" s="49"/>
      <c r="Y361" s="49"/>
      <c r="Z361" s="49"/>
      <c r="AA361" s="49"/>
      <c r="AB361" s="49"/>
      <c r="AC361" s="49"/>
      <c r="AD361" s="113"/>
      <c r="AE361" s="49"/>
      <c r="AF361" s="50"/>
      <c r="AG361" s="50"/>
      <c r="AH361" s="50"/>
      <c r="AI361" s="50"/>
      <c r="AJ361" s="50"/>
      <c r="AK361" s="50"/>
      <c r="AL361" s="50"/>
      <c r="AM361" s="50"/>
      <c r="AN361" s="50"/>
      <c r="AO361" s="9"/>
      <c r="AP361" s="9"/>
    </row>
    <row r="362" spans="1:42" x14ac:dyDescent="0.55000000000000004">
      <c r="A362" t="str">
        <f t="shared" si="5"/>
        <v/>
      </c>
      <c r="C362" s="103"/>
      <c r="D362" s="110"/>
      <c r="E362" s="110"/>
      <c r="F362" s="110"/>
      <c r="G362" s="110"/>
      <c r="H362" s="110"/>
      <c r="I362" s="110"/>
      <c r="J362" s="110"/>
      <c r="K362" s="110"/>
      <c r="L362" s="110"/>
      <c r="M362" s="110"/>
      <c r="N362" s="110"/>
      <c r="O362" s="110"/>
      <c r="P362" s="110"/>
      <c r="Q362" s="110"/>
      <c r="R362" s="110"/>
      <c r="S362" s="110"/>
      <c r="T362" s="110"/>
      <c r="U362" s="49"/>
      <c r="V362" s="49"/>
      <c r="W362" s="49"/>
      <c r="X362" s="49"/>
      <c r="Y362" s="49"/>
      <c r="Z362" s="49"/>
      <c r="AA362" s="49"/>
      <c r="AB362" s="49"/>
      <c r="AC362" s="49"/>
      <c r="AD362" s="113"/>
      <c r="AE362" s="49"/>
      <c r="AF362" s="50"/>
      <c r="AG362" s="50"/>
      <c r="AH362" s="50"/>
      <c r="AI362" s="50"/>
      <c r="AJ362" s="50"/>
      <c r="AK362" s="50"/>
      <c r="AL362" s="50"/>
      <c r="AM362" s="50"/>
      <c r="AN362" s="50"/>
      <c r="AO362" s="9"/>
      <c r="AP362" s="9"/>
    </row>
    <row r="363" spans="1:42" x14ac:dyDescent="0.55000000000000004">
      <c r="A363" t="str">
        <f t="shared" si="5"/>
        <v/>
      </c>
      <c r="C363" s="103"/>
      <c r="D363" s="110"/>
      <c r="E363" s="110"/>
      <c r="F363" s="110"/>
      <c r="G363" s="110"/>
      <c r="H363" s="110"/>
      <c r="I363" s="110"/>
      <c r="J363" s="110"/>
      <c r="K363" s="110"/>
      <c r="L363" s="110"/>
      <c r="M363" s="110"/>
      <c r="N363" s="110"/>
      <c r="O363" s="110"/>
      <c r="P363" s="110"/>
      <c r="Q363" s="110"/>
      <c r="R363" s="110"/>
      <c r="S363" s="110"/>
      <c r="T363" s="110"/>
      <c r="U363" s="49"/>
      <c r="V363" s="49"/>
      <c r="W363" s="49"/>
      <c r="X363" s="49"/>
      <c r="Y363" s="49"/>
      <c r="Z363" s="49"/>
      <c r="AA363" s="49"/>
      <c r="AB363" s="49"/>
      <c r="AC363" s="49"/>
      <c r="AD363" s="113"/>
      <c r="AE363" s="49"/>
      <c r="AF363" s="50"/>
      <c r="AG363" s="50"/>
      <c r="AH363" s="50"/>
      <c r="AI363" s="50"/>
      <c r="AJ363" s="50"/>
      <c r="AK363" s="50"/>
      <c r="AL363" s="50"/>
      <c r="AM363" s="50"/>
      <c r="AN363" s="50"/>
      <c r="AO363" s="9"/>
      <c r="AP363" s="9"/>
    </row>
    <row r="364" spans="1:42" x14ac:dyDescent="0.55000000000000004">
      <c r="A364" t="str">
        <f t="shared" si="5"/>
        <v/>
      </c>
      <c r="C364" s="103"/>
      <c r="D364" s="110"/>
      <c r="E364" s="110"/>
      <c r="F364" s="110"/>
      <c r="G364" s="110"/>
      <c r="H364" s="110"/>
      <c r="I364" s="110"/>
      <c r="J364" s="110"/>
      <c r="K364" s="110"/>
      <c r="L364" s="110"/>
      <c r="M364" s="110"/>
      <c r="N364" s="110"/>
      <c r="O364" s="110"/>
      <c r="P364" s="110"/>
      <c r="Q364" s="110"/>
      <c r="R364" s="110"/>
      <c r="S364" s="110"/>
      <c r="T364" s="110"/>
      <c r="U364" s="49"/>
      <c r="V364" s="49"/>
      <c r="W364" s="49"/>
      <c r="X364" s="49"/>
      <c r="Y364" s="49"/>
      <c r="Z364" s="49"/>
      <c r="AA364" s="49"/>
      <c r="AB364" s="49"/>
      <c r="AC364" s="49"/>
      <c r="AD364" s="113"/>
      <c r="AE364" s="49"/>
      <c r="AF364" s="50"/>
      <c r="AG364" s="50"/>
      <c r="AH364" s="50"/>
      <c r="AI364" s="50"/>
      <c r="AJ364" s="50"/>
      <c r="AK364" s="50"/>
      <c r="AL364" s="50"/>
      <c r="AM364" s="50"/>
      <c r="AN364" s="50"/>
      <c r="AO364" s="9"/>
      <c r="AP364" s="9"/>
    </row>
    <row r="365" spans="1:42" x14ac:dyDescent="0.55000000000000004">
      <c r="A365" t="str">
        <f t="shared" si="5"/>
        <v/>
      </c>
      <c r="C365" s="103"/>
      <c r="D365" s="110"/>
      <c r="E365" s="110"/>
      <c r="F365" s="110"/>
      <c r="G365" s="110"/>
      <c r="H365" s="110"/>
      <c r="I365" s="110"/>
      <c r="J365" s="110"/>
      <c r="K365" s="110"/>
      <c r="L365" s="110"/>
      <c r="M365" s="110"/>
      <c r="N365" s="110"/>
      <c r="O365" s="110"/>
      <c r="P365" s="110"/>
      <c r="Q365" s="110"/>
      <c r="R365" s="110"/>
      <c r="S365" s="110"/>
      <c r="T365" s="110"/>
      <c r="U365" s="49"/>
      <c r="V365" s="49"/>
      <c r="W365" s="49"/>
      <c r="X365" s="49"/>
      <c r="Y365" s="49"/>
      <c r="Z365" s="49"/>
      <c r="AA365" s="49"/>
      <c r="AB365" s="49"/>
      <c r="AC365" s="49"/>
      <c r="AD365" s="113"/>
      <c r="AE365" s="49"/>
      <c r="AF365" s="50"/>
      <c r="AG365" s="50"/>
      <c r="AH365" s="50"/>
      <c r="AI365" s="50"/>
      <c r="AJ365" s="50"/>
      <c r="AK365" s="50"/>
      <c r="AL365" s="50"/>
      <c r="AM365" s="50"/>
      <c r="AN365" s="50"/>
      <c r="AO365" s="9"/>
      <c r="AP365" s="9"/>
    </row>
    <row r="366" spans="1:42" x14ac:dyDescent="0.55000000000000004">
      <c r="A366" t="str">
        <f t="shared" si="5"/>
        <v/>
      </c>
      <c r="C366" s="103"/>
      <c r="D366" s="110"/>
      <c r="E366" s="110"/>
      <c r="F366" s="110"/>
      <c r="G366" s="110"/>
      <c r="H366" s="110"/>
      <c r="I366" s="110"/>
      <c r="J366" s="110"/>
      <c r="K366" s="110"/>
      <c r="L366" s="110"/>
      <c r="M366" s="110"/>
      <c r="N366" s="110"/>
      <c r="O366" s="110"/>
      <c r="P366" s="110"/>
      <c r="Q366" s="110"/>
      <c r="R366" s="110"/>
      <c r="S366" s="110"/>
      <c r="T366" s="110"/>
      <c r="U366" s="49"/>
      <c r="V366" s="49"/>
      <c r="W366" s="49"/>
      <c r="X366" s="49"/>
      <c r="Y366" s="49"/>
      <c r="Z366" s="49"/>
      <c r="AA366" s="49"/>
      <c r="AB366" s="49"/>
      <c r="AC366" s="49"/>
      <c r="AD366" s="113"/>
      <c r="AE366" s="49"/>
      <c r="AF366" s="50"/>
      <c r="AG366" s="50"/>
      <c r="AH366" s="50"/>
      <c r="AI366" s="50"/>
      <c r="AJ366" s="50"/>
      <c r="AK366" s="50"/>
      <c r="AL366" s="50"/>
      <c r="AM366" s="50"/>
      <c r="AN366" s="50"/>
      <c r="AO366" s="9"/>
      <c r="AP366" s="9"/>
    </row>
    <row r="367" spans="1:42" x14ac:dyDescent="0.55000000000000004">
      <c r="A367" t="str">
        <f t="shared" si="5"/>
        <v/>
      </c>
      <c r="C367" s="103"/>
      <c r="D367" s="110"/>
      <c r="E367" s="110"/>
      <c r="F367" s="110"/>
      <c r="G367" s="110"/>
      <c r="H367" s="110"/>
      <c r="I367" s="110"/>
      <c r="J367" s="110"/>
      <c r="K367" s="110"/>
      <c r="L367" s="110"/>
      <c r="M367" s="110"/>
      <c r="N367" s="110"/>
      <c r="O367" s="110"/>
      <c r="P367" s="110"/>
      <c r="Q367" s="110"/>
      <c r="R367" s="110"/>
      <c r="S367" s="110"/>
      <c r="T367" s="110"/>
      <c r="U367" s="49"/>
      <c r="V367" s="49"/>
      <c r="W367" s="49"/>
      <c r="X367" s="49"/>
      <c r="Y367" s="49"/>
      <c r="Z367" s="49"/>
      <c r="AA367" s="49"/>
      <c r="AB367" s="49"/>
      <c r="AC367" s="49"/>
      <c r="AD367" s="113"/>
      <c r="AE367" s="49"/>
      <c r="AF367" s="50"/>
      <c r="AG367" s="50"/>
      <c r="AH367" s="50"/>
      <c r="AI367" s="50"/>
      <c r="AJ367" s="50"/>
      <c r="AK367" s="50"/>
      <c r="AL367" s="50"/>
      <c r="AM367" s="50"/>
      <c r="AN367" s="50"/>
      <c r="AO367" s="9"/>
      <c r="AP367" s="9"/>
    </row>
    <row r="368" spans="1:42" x14ac:dyDescent="0.55000000000000004">
      <c r="A368" t="str">
        <f t="shared" si="5"/>
        <v/>
      </c>
      <c r="C368" s="103"/>
      <c r="D368" s="110"/>
      <c r="E368" s="112"/>
      <c r="F368" s="110"/>
      <c r="G368" s="112"/>
      <c r="H368" s="110"/>
      <c r="I368" s="110"/>
      <c r="J368" s="110"/>
      <c r="K368" s="110"/>
      <c r="L368" s="110"/>
      <c r="M368" s="110"/>
      <c r="N368" s="110"/>
      <c r="O368" s="110"/>
      <c r="P368" s="110"/>
      <c r="Q368" s="110"/>
      <c r="R368" s="110"/>
      <c r="S368" s="110"/>
      <c r="T368" s="110"/>
      <c r="U368" s="49"/>
      <c r="V368" s="49"/>
      <c r="W368" s="49"/>
      <c r="X368" s="49"/>
      <c r="Y368" s="49"/>
      <c r="Z368" s="49"/>
      <c r="AA368" s="49"/>
      <c r="AB368" s="49"/>
      <c r="AC368" s="49"/>
      <c r="AD368" s="113"/>
      <c r="AE368" s="49"/>
      <c r="AF368" s="50"/>
      <c r="AG368" s="50"/>
      <c r="AH368" s="50"/>
      <c r="AI368" s="50"/>
      <c r="AJ368" s="50"/>
      <c r="AK368" s="50"/>
      <c r="AL368" s="50"/>
      <c r="AM368" s="50"/>
      <c r="AN368" s="50"/>
      <c r="AO368" s="9"/>
      <c r="AP368" s="9"/>
    </row>
    <row r="369" spans="1:42" x14ac:dyDescent="0.55000000000000004">
      <c r="A369" t="str">
        <f t="shared" si="5"/>
        <v/>
      </c>
      <c r="C369" s="103"/>
      <c r="D369" s="110"/>
      <c r="E369" s="112"/>
      <c r="F369" s="110"/>
      <c r="G369" s="112"/>
      <c r="H369" s="110"/>
      <c r="I369" s="110"/>
      <c r="J369" s="110"/>
      <c r="K369" s="110"/>
      <c r="L369" s="110"/>
      <c r="M369" s="110"/>
      <c r="N369" s="110"/>
      <c r="O369" s="110"/>
      <c r="P369" s="110"/>
      <c r="Q369" s="110"/>
      <c r="R369" s="110"/>
      <c r="S369" s="110"/>
      <c r="T369" s="110"/>
      <c r="U369" s="49"/>
      <c r="V369" s="49"/>
      <c r="W369" s="49"/>
      <c r="X369" s="49"/>
      <c r="Y369" s="49"/>
      <c r="Z369" s="49"/>
      <c r="AA369" s="49"/>
      <c r="AB369" s="49"/>
      <c r="AC369" s="49"/>
      <c r="AD369" s="113"/>
      <c r="AE369" s="49"/>
      <c r="AF369" s="60"/>
      <c r="AG369" s="60"/>
      <c r="AH369" s="60"/>
      <c r="AI369" s="60"/>
      <c r="AJ369" s="60"/>
      <c r="AK369" s="50"/>
      <c r="AL369" s="50"/>
      <c r="AM369" s="50"/>
      <c r="AN369" s="50"/>
      <c r="AO369" s="9"/>
      <c r="AP369" s="9"/>
    </row>
    <row r="370" spans="1:42" x14ac:dyDescent="0.55000000000000004">
      <c r="A370" t="str">
        <f t="shared" si="5"/>
        <v/>
      </c>
      <c r="C370" s="103"/>
      <c r="D370" s="110"/>
      <c r="E370" s="110"/>
      <c r="F370" s="110"/>
      <c r="G370" s="110"/>
      <c r="H370" s="110"/>
      <c r="I370" s="110"/>
      <c r="J370" s="110"/>
      <c r="K370" s="110"/>
      <c r="L370" s="110"/>
      <c r="M370" s="110"/>
      <c r="N370" s="110"/>
      <c r="O370" s="110"/>
      <c r="P370" s="110"/>
      <c r="Q370" s="110"/>
      <c r="R370" s="110"/>
      <c r="S370" s="110"/>
      <c r="T370" s="110"/>
      <c r="U370" s="49"/>
      <c r="V370" s="49"/>
      <c r="W370" s="49"/>
      <c r="X370" s="49"/>
      <c r="Y370" s="49"/>
      <c r="Z370" s="49"/>
      <c r="AA370" s="49"/>
      <c r="AB370" s="49"/>
      <c r="AC370" s="49"/>
      <c r="AD370" s="113"/>
      <c r="AE370" s="49"/>
      <c r="AF370" s="60"/>
      <c r="AG370" s="60"/>
      <c r="AH370" s="60"/>
      <c r="AI370" s="60"/>
      <c r="AJ370" s="60"/>
      <c r="AK370" s="50"/>
      <c r="AL370" s="50"/>
      <c r="AM370" s="50"/>
      <c r="AN370" s="50"/>
      <c r="AO370" s="9"/>
      <c r="AP370" s="9"/>
    </row>
    <row r="371" spans="1:42" x14ac:dyDescent="0.55000000000000004">
      <c r="A371" t="str">
        <f t="shared" si="5"/>
        <v/>
      </c>
      <c r="C371" s="103"/>
      <c r="D371" s="110"/>
      <c r="E371" s="110"/>
      <c r="F371" s="110"/>
      <c r="G371" s="110"/>
      <c r="H371" s="110"/>
      <c r="I371" s="110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49"/>
      <c r="V371" s="49"/>
      <c r="W371" s="49"/>
      <c r="X371" s="49"/>
      <c r="Y371" s="49"/>
      <c r="Z371" s="49"/>
      <c r="AA371" s="49"/>
      <c r="AB371" s="49"/>
      <c r="AC371" s="49"/>
      <c r="AD371" s="113"/>
      <c r="AE371" s="49"/>
      <c r="AF371" s="52"/>
      <c r="AG371" s="52"/>
      <c r="AH371" s="52"/>
      <c r="AI371" s="52"/>
      <c r="AJ371" s="52"/>
      <c r="AK371" s="50"/>
      <c r="AL371" s="50"/>
      <c r="AM371" s="50"/>
      <c r="AN371" s="50"/>
      <c r="AO371" s="9"/>
      <c r="AP371" s="9"/>
    </row>
    <row r="372" spans="1:42" x14ac:dyDescent="0.55000000000000004">
      <c r="A372" t="str">
        <f t="shared" si="5"/>
        <v/>
      </c>
      <c r="C372" s="103"/>
      <c r="D372" s="110"/>
      <c r="E372" s="110"/>
      <c r="F372" s="110"/>
      <c r="G372" s="110"/>
      <c r="H372" s="110"/>
      <c r="I372" s="110"/>
      <c r="J372" s="110"/>
      <c r="K372" s="110"/>
      <c r="L372" s="110"/>
      <c r="M372" s="110"/>
      <c r="N372" s="110"/>
      <c r="O372" s="110"/>
      <c r="P372" s="110"/>
      <c r="Q372" s="110"/>
      <c r="R372" s="110"/>
      <c r="S372" s="110"/>
      <c r="T372" s="110"/>
      <c r="U372" s="49"/>
      <c r="V372" s="49"/>
      <c r="W372" s="49"/>
      <c r="X372" s="49"/>
      <c r="Y372" s="49"/>
      <c r="Z372" s="49"/>
      <c r="AA372" s="49"/>
      <c r="AB372" s="49"/>
      <c r="AC372" s="49"/>
      <c r="AD372" s="113"/>
      <c r="AE372" s="49"/>
      <c r="AF372" s="50"/>
      <c r="AG372" s="50"/>
      <c r="AH372" s="50"/>
      <c r="AI372" s="50"/>
      <c r="AJ372" s="50"/>
      <c r="AK372" s="50"/>
      <c r="AL372" s="50"/>
      <c r="AM372" s="50"/>
      <c r="AN372" s="50"/>
      <c r="AO372" s="9"/>
      <c r="AP372" s="9"/>
    </row>
    <row r="373" spans="1:42" x14ac:dyDescent="0.55000000000000004">
      <c r="A373" t="str">
        <f t="shared" si="5"/>
        <v/>
      </c>
      <c r="C373" s="103"/>
      <c r="D373" s="110"/>
      <c r="E373" s="110"/>
      <c r="F373" s="110"/>
      <c r="G373" s="110"/>
      <c r="H373" s="110"/>
      <c r="I373" s="110"/>
      <c r="J373" s="110"/>
      <c r="K373" s="110"/>
      <c r="L373" s="110"/>
      <c r="M373" s="110"/>
      <c r="N373" s="110"/>
      <c r="O373" s="110"/>
      <c r="P373" s="110"/>
      <c r="Q373" s="110"/>
      <c r="R373" s="110"/>
      <c r="S373" s="110"/>
      <c r="T373" s="110"/>
      <c r="U373" s="49"/>
      <c r="V373" s="49"/>
      <c r="W373" s="49"/>
      <c r="X373" s="49"/>
      <c r="Y373" s="49"/>
      <c r="Z373" s="49"/>
      <c r="AA373" s="49"/>
      <c r="AB373" s="49"/>
      <c r="AC373" s="49"/>
      <c r="AD373" s="113"/>
      <c r="AE373" s="49"/>
      <c r="AF373" s="50"/>
      <c r="AG373" s="50"/>
      <c r="AH373" s="50"/>
      <c r="AI373" s="50"/>
      <c r="AJ373" s="50"/>
      <c r="AK373" s="50"/>
      <c r="AL373" s="50"/>
      <c r="AM373" s="50"/>
      <c r="AN373" s="50"/>
      <c r="AO373" s="9"/>
      <c r="AP373" s="9"/>
    </row>
    <row r="374" spans="1:42" x14ac:dyDescent="0.55000000000000004">
      <c r="A374" t="str">
        <f t="shared" si="5"/>
        <v/>
      </c>
      <c r="C374" s="103"/>
      <c r="D374" s="110"/>
      <c r="E374" s="110"/>
      <c r="F374" s="110"/>
      <c r="G374" s="110"/>
      <c r="H374" s="110"/>
      <c r="I374" s="110"/>
      <c r="J374" s="110"/>
      <c r="K374" s="110"/>
      <c r="L374" s="110"/>
      <c r="M374" s="110"/>
      <c r="N374" s="110"/>
      <c r="O374" s="110"/>
      <c r="P374" s="110"/>
      <c r="Q374" s="110"/>
      <c r="R374" s="110"/>
      <c r="S374" s="110"/>
      <c r="T374" s="110"/>
      <c r="U374" s="49"/>
      <c r="V374" s="49"/>
      <c r="W374" s="49"/>
      <c r="X374" s="49"/>
      <c r="Y374" s="49"/>
      <c r="Z374" s="49"/>
      <c r="AA374" s="49"/>
      <c r="AB374" s="49"/>
      <c r="AC374" s="49"/>
      <c r="AD374" s="113"/>
      <c r="AE374" s="49"/>
      <c r="AF374" s="51"/>
      <c r="AG374" s="51"/>
      <c r="AH374" s="51"/>
      <c r="AI374" s="51"/>
      <c r="AJ374" s="51"/>
      <c r="AK374" s="50"/>
      <c r="AL374" s="50"/>
      <c r="AM374" s="50"/>
      <c r="AN374" s="50"/>
      <c r="AO374" s="9"/>
      <c r="AP374" s="9"/>
    </row>
    <row r="375" spans="1:42" x14ac:dyDescent="0.55000000000000004">
      <c r="A375" t="str">
        <f t="shared" si="5"/>
        <v/>
      </c>
      <c r="C375" s="103"/>
      <c r="D375" s="110"/>
      <c r="E375" s="110"/>
      <c r="F375" s="110"/>
      <c r="G375" s="110"/>
      <c r="H375" s="110"/>
      <c r="I375" s="110"/>
      <c r="J375" s="110"/>
      <c r="K375" s="110"/>
      <c r="L375" s="110"/>
      <c r="M375" s="110"/>
      <c r="N375" s="110"/>
      <c r="O375" s="110"/>
      <c r="P375" s="110"/>
      <c r="Q375" s="110"/>
      <c r="R375" s="110"/>
      <c r="S375" s="110"/>
      <c r="T375" s="110"/>
      <c r="U375" s="49"/>
      <c r="V375" s="49"/>
      <c r="W375" s="49"/>
      <c r="X375" s="49"/>
      <c r="Y375" s="49"/>
      <c r="Z375" s="49"/>
      <c r="AA375" s="49"/>
      <c r="AB375" s="49"/>
      <c r="AC375" s="49"/>
      <c r="AD375" s="113"/>
      <c r="AE375" s="49"/>
      <c r="AF375" s="51"/>
      <c r="AG375" s="51"/>
      <c r="AH375" s="51"/>
      <c r="AI375" s="51"/>
      <c r="AJ375" s="51"/>
      <c r="AK375" s="50"/>
      <c r="AL375" s="50"/>
      <c r="AM375" s="50"/>
      <c r="AN375" s="50"/>
      <c r="AO375" s="9"/>
      <c r="AP375" s="9"/>
    </row>
    <row r="376" spans="1:42" x14ac:dyDescent="0.55000000000000004">
      <c r="A376" t="str">
        <f t="shared" si="5"/>
        <v/>
      </c>
      <c r="C376" s="103"/>
      <c r="D376" s="110"/>
      <c r="E376" s="110"/>
      <c r="F376" s="110"/>
      <c r="G376" s="110"/>
      <c r="H376" s="110"/>
      <c r="I376" s="110"/>
      <c r="J376" s="110"/>
      <c r="K376" s="110"/>
      <c r="L376" s="110"/>
      <c r="M376" s="110"/>
      <c r="N376" s="110"/>
      <c r="O376" s="110"/>
      <c r="P376" s="110"/>
      <c r="Q376" s="110"/>
      <c r="R376" s="110"/>
      <c r="S376" s="110"/>
      <c r="T376" s="110"/>
      <c r="U376" s="49"/>
      <c r="V376" s="49"/>
      <c r="W376" s="49"/>
      <c r="X376" s="49"/>
      <c r="Y376" s="49"/>
      <c r="Z376" s="49"/>
      <c r="AA376" s="49"/>
      <c r="AB376" s="49"/>
      <c r="AC376" s="49"/>
      <c r="AD376" s="113"/>
      <c r="AE376" s="49"/>
      <c r="AF376" s="50"/>
      <c r="AG376" s="50"/>
      <c r="AH376" s="50"/>
      <c r="AI376" s="50"/>
      <c r="AJ376" s="50"/>
      <c r="AK376" s="50"/>
      <c r="AL376" s="50"/>
      <c r="AM376" s="50"/>
      <c r="AN376" s="50"/>
      <c r="AO376" s="9"/>
      <c r="AP376" s="9"/>
    </row>
    <row r="377" spans="1:42" x14ac:dyDescent="0.55000000000000004">
      <c r="A377" t="str">
        <f t="shared" si="5"/>
        <v/>
      </c>
      <c r="C377" s="103"/>
      <c r="D377" s="110"/>
      <c r="E377" s="110"/>
      <c r="F377" s="110"/>
      <c r="G377" s="110"/>
      <c r="H377" s="110"/>
      <c r="I377" s="110"/>
      <c r="J377" s="110"/>
      <c r="K377" s="110"/>
      <c r="L377" s="110"/>
      <c r="M377" s="110"/>
      <c r="N377" s="110"/>
      <c r="O377" s="110"/>
      <c r="P377" s="110"/>
      <c r="Q377" s="110"/>
      <c r="R377" s="110"/>
      <c r="S377" s="110"/>
      <c r="T377" s="110"/>
      <c r="U377" s="49"/>
      <c r="V377" s="49"/>
      <c r="W377" s="49"/>
      <c r="X377" s="49"/>
      <c r="Y377" s="49"/>
      <c r="Z377" s="49"/>
      <c r="AA377" s="49"/>
      <c r="AB377" s="49"/>
      <c r="AC377" s="49"/>
      <c r="AD377" s="113"/>
      <c r="AE377" s="49"/>
      <c r="AF377" s="50"/>
      <c r="AG377" s="50"/>
      <c r="AH377" s="50"/>
      <c r="AI377" s="50"/>
      <c r="AJ377" s="50"/>
      <c r="AK377" s="50"/>
      <c r="AL377" s="50"/>
      <c r="AM377" s="50"/>
      <c r="AN377" s="50"/>
      <c r="AO377" s="9"/>
      <c r="AP377" s="9"/>
    </row>
    <row r="378" spans="1:42" x14ac:dyDescent="0.55000000000000004">
      <c r="A378" t="str">
        <f t="shared" si="5"/>
        <v/>
      </c>
      <c r="C378" s="103"/>
      <c r="D378" s="110"/>
      <c r="E378" s="110"/>
      <c r="F378" s="110"/>
      <c r="G378" s="110"/>
      <c r="H378" s="110"/>
      <c r="I378" s="110"/>
      <c r="J378" s="110"/>
      <c r="K378" s="110"/>
      <c r="L378" s="110"/>
      <c r="M378" s="110"/>
      <c r="N378" s="110"/>
      <c r="O378" s="110"/>
      <c r="P378" s="110"/>
      <c r="Q378" s="110"/>
      <c r="R378" s="110"/>
      <c r="S378" s="110"/>
      <c r="T378" s="110"/>
      <c r="U378" s="49"/>
      <c r="V378" s="49"/>
      <c r="W378" s="49"/>
      <c r="X378" s="49"/>
      <c r="Y378" s="49"/>
      <c r="Z378" s="49"/>
      <c r="AA378" s="49"/>
      <c r="AB378" s="49"/>
      <c r="AC378" s="49"/>
      <c r="AD378" s="113"/>
      <c r="AE378" s="49"/>
      <c r="AF378" s="51"/>
      <c r="AG378" s="51"/>
      <c r="AH378" s="51"/>
      <c r="AI378" s="51"/>
      <c r="AJ378" s="51"/>
      <c r="AK378" s="50"/>
      <c r="AL378" s="50"/>
      <c r="AM378" s="50"/>
      <c r="AN378" s="50"/>
      <c r="AO378" s="9"/>
      <c r="AP378" s="9"/>
    </row>
    <row r="379" spans="1:42" x14ac:dyDescent="0.55000000000000004">
      <c r="A379" t="str">
        <f t="shared" si="5"/>
        <v/>
      </c>
      <c r="C379" s="103"/>
      <c r="D379" s="110"/>
      <c r="E379" s="110"/>
      <c r="F379" s="110"/>
      <c r="G379" s="110"/>
      <c r="H379" s="110"/>
      <c r="I379" s="110"/>
      <c r="J379" s="110"/>
      <c r="K379" s="110"/>
      <c r="L379" s="110"/>
      <c r="M379" s="110"/>
      <c r="N379" s="110"/>
      <c r="O379" s="110"/>
      <c r="P379" s="110"/>
      <c r="Q379" s="110"/>
      <c r="R379" s="110"/>
      <c r="S379" s="110"/>
      <c r="T379" s="110"/>
      <c r="U379" s="49"/>
      <c r="V379" s="49"/>
      <c r="W379" s="49"/>
      <c r="X379" s="49"/>
      <c r="Y379" s="49"/>
      <c r="Z379" s="49"/>
      <c r="AA379" s="49"/>
      <c r="AB379" s="49"/>
      <c r="AC379" s="49"/>
      <c r="AD379" s="113"/>
      <c r="AE379" s="49"/>
      <c r="AF379" s="51"/>
      <c r="AG379" s="51"/>
      <c r="AH379" s="51"/>
      <c r="AI379" s="51"/>
      <c r="AJ379" s="51"/>
      <c r="AK379" s="50"/>
      <c r="AL379" s="50"/>
      <c r="AM379" s="50"/>
      <c r="AN379" s="50"/>
      <c r="AO379" s="9"/>
      <c r="AP379" s="9"/>
    </row>
    <row r="380" spans="1:42" x14ac:dyDescent="0.55000000000000004">
      <c r="A380" t="str">
        <f t="shared" si="5"/>
        <v/>
      </c>
      <c r="C380" s="103"/>
      <c r="D380" s="110"/>
      <c r="E380" s="110"/>
      <c r="F380" s="110"/>
      <c r="G380" s="110"/>
      <c r="H380" s="110"/>
      <c r="I380" s="110"/>
      <c r="J380" s="110"/>
      <c r="K380" s="110"/>
      <c r="L380" s="110"/>
      <c r="M380" s="110"/>
      <c r="N380" s="110"/>
      <c r="O380" s="110"/>
      <c r="P380" s="110"/>
      <c r="Q380" s="110"/>
      <c r="R380" s="110"/>
      <c r="S380" s="110"/>
      <c r="T380" s="110"/>
      <c r="U380" s="49"/>
      <c r="V380" s="49"/>
      <c r="W380" s="49"/>
      <c r="X380" s="49"/>
      <c r="Y380" s="49"/>
      <c r="Z380" s="49"/>
      <c r="AA380" s="49"/>
      <c r="AB380" s="49"/>
      <c r="AC380" s="49"/>
      <c r="AD380" s="113"/>
      <c r="AE380" s="49"/>
      <c r="AF380" s="50"/>
      <c r="AG380" s="50"/>
      <c r="AH380" s="50"/>
      <c r="AI380" s="50"/>
      <c r="AJ380" s="50"/>
      <c r="AK380" s="50"/>
      <c r="AL380" s="50"/>
      <c r="AM380" s="50"/>
      <c r="AN380" s="50"/>
      <c r="AO380" s="9"/>
      <c r="AP380" s="9"/>
    </row>
    <row r="381" spans="1:42" x14ac:dyDescent="0.55000000000000004">
      <c r="A381" t="str">
        <f t="shared" si="5"/>
        <v/>
      </c>
      <c r="C381" s="103"/>
      <c r="D381" s="110"/>
      <c r="E381" s="110"/>
      <c r="F381" s="110"/>
      <c r="G381" s="110"/>
      <c r="H381" s="110"/>
      <c r="I381" s="110"/>
      <c r="J381" s="110"/>
      <c r="K381" s="110"/>
      <c r="L381" s="110"/>
      <c r="M381" s="110"/>
      <c r="N381" s="110"/>
      <c r="O381" s="110"/>
      <c r="P381" s="110"/>
      <c r="Q381" s="110"/>
      <c r="R381" s="110"/>
      <c r="S381" s="110"/>
      <c r="T381" s="110"/>
      <c r="U381" s="49"/>
      <c r="V381" s="49"/>
      <c r="W381" s="49"/>
      <c r="X381" s="49"/>
      <c r="Y381" s="49"/>
      <c r="Z381" s="49"/>
      <c r="AA381" s="49"/>
      <c r="AB381" s="49"/>
      <c r="AC381" s="49"/>
      <c r="AD381" s="113"/>
      <c r="AE381" s="49"/>
      <c r="AF381" s="50"/>
      <c r="AG381" s="50"/>
      <c r="AH381" s="50"/>
      <c r="AI381" s="50"/>
      <c r="AJ381" s="50"/>
      <c r="AK381" s="50"/>
      <c r="AL381" s="50"/>
      <c r="AM381" s="50"/>
      <c r="AN381" s="50"/>
      <c r="AO381" s="9"/>
      <c r="AP381" s="9"/>
    </row>
    <row r="382" spans="1:42" x14ac:dyDescent="0.55000000000000004">
      <c r="A382" t="str">
        <f t="shared" si="5"/>
        <v/>
      </c>
      <c r="C382" s="103"/>
      <c r="D382" s="110"/>
      <c r="E382" s="110"/>
      <c r="F382" s="110"/>
      <c r="G382" s="110"/>
      <c r="H382" s="110"/>
      <c r="I382" s="110"/>
      <c r="J382" s="110"/>
      <c r="K382" s="110"/>
      <c r="L382" s="110"/>
      <c r="M382" s="110"/>
      <c r="N382" s="110"/>
      <c r="O382" s="110"/>
      <c r="P382" s="110"/>
      <c r="Q382" s="110"/>
      <c r="R382" s="110"/>
      <c r="S382" s="110"/>
      <c r="T382" s="110"/>
      <c r="U382" s="49"/>
      <c r="V382" s="49"/>
      <c r="W382" s="49"/>
      <c r="X382" s="49"/>
      <c r="Y382" s="49"/>
      <c r="Z382" s="49"/>
      <c r="AA382" s="49"/>
      <c r="AB382" s="49"/>
      <c r="AC382" s="49"/>
      <c r="AD382" s="113"/>
      <c r="AE382" s="49"/>
      <c r="AF382" s="51"/>
      <c r="AG382" s="51"/>
      <c r="AH382" s="51"/>
      <c r="AI382" s="51"/>
      <c r="AJ382" s="51"/>
      <c r="AK382" s="50"/>
      <c r="AL382" s="50"/>
      <c r="AM382" s="50"/>
      <c r="AN382" s="50"/>
      <c r="AO382" s="9"/>
      <c r="AP382" s="9"/>
    </row>
    <row r="383" spans="1:42" x14ac:dyDescent="0.55000000000000004">
      <c r="A383" t="str">
        <f t="shared" si="5"/>
        <v/>
      </c>
      <c r="C383" s="103"/>
      <c r="D383" s="110"/>
      <c r="E383" s="110"/>
      <c r="F383" s="110"/>
      <c r="G383" s="110"/>
      <c r="H383" s="110"/>
      <c r="I383" s="110"/>
      <c r="J383" s="110"/>
      <c r="K383" s="110"/>
      <c r="L383" s="110"/>
      <c r="M383" s="110"/>
      <c r="N383" s="110"/>
      <c r="O383" s="110"/>
      <c r="P383" s="110"/>
      <c r="Q383" s="110"/>
      <c r="R383" s="110"/>
      <c r="S383" s="110"/>
      <c r="T383" s="110"/>
      <c r="U383" s="49"/>
      <c r="V383" s="49"/>
      <c r="W383" s="49"/>
      <c r="X383" s="49"/>
      <c r="Y383" s="49"/>
      <c r="Z383" s="49"/>
      <c r="AA383" s="49"/>
      <c r="AB383" s="49"/>
      <c r="AC383" s="49"/>
      <c r="AD383" s="113"/>
      <c r="AE383" s="49"/>
      <c r="AF383" s="50"/>
      <c r="AG383" s="50"/>
      <c r="AH383" s="50"/>
      <c r="AI383" s="50"/>
      <c r="AJ383" s="50"/>
      <c r="AK383" s="50"/>
      <c r="AL383" s="50"/>
      <c r="AM383" s="50"/>
      <c r="AN383" s="50"/>
      <c r="AO383" s="9"/>
      <c r="AP383" s="9"/>
    </row>
    <row r="384" spans="1:42" x14ac:dyDescent="0.55000000000000004">
      <c r="A384" t="str">
        <f t="shared" si="5"/>
        <v/>
      </c>
      <c r="C384" s="103"/>
      <c r="D384" s="110"/>
      <c r="E384" s="110"/>
      <c r="F384" s="110"/>
      <c r="G384" s="110"/>
      <c r="H384" s="110"/>
      <c r="I384" s="110"/>
      <c r="J384" s="110"/>
      <c r="K384" s="110"/>
      <c r="L384" s="110"/>
      <c r="M384" s="110"/>
      <c r="N384" s="110"/>
      <c r="O384" s="110"/>
      <c r="P384" s="110"/>
      <c r="Q384" s="110"/>
      <c r="R384" s="110"/>
      <c r="S384" s="110"/>
      <c r="T384" s="110"/>
      <c r="U384" s="49"/>
      <c r="V384" s="49"/>
      <c r="W384" s="49"/>
      <c r="X384" s="49"/>
      <c r="Y384" s="49"/>
      <c r="Z384" s="49"/>
      <c r="AA384" s="49"/>
      <c r="AB384" s="49"/>
      <c r="AC384" s="49"/>
      <c r="AD384" s="113"/>
      <c r="AE384" s="49"/>
      <c r="AF384" s="50"/>
      <c r="AG384" s="50"/>
      <c r="AH384" s="50"/>
      <c r="AI384" s="50"/>
      <c r="AJ384" s="50"/>
      <c r="AK384" s="50"/>
      <c r="AL384" s="50"/>
      <c r="AM384" s="50"/>
      <c r="AN384" s="50"/>
      <c r="AO384" s="9"/>
      <c r="AP384" s="9"/>
    </row>
    <row r="385" spans="1:42" x14ac:dyDescent="0.55000000000000004">
      <c r="A385" t="str">
        <f t="shared" si="5"/>
        <v/>
      </c>
      <c r="C385" s="103"/>
      <c r="D385" s="110"/>
      <c r="E385" s="110"/>
      <c r="F385" s="110"/>
      <c r="G385" s="110"/>
      <c r="H385" s="110"/>
      <c r="I385" s="110"/>
      <c r="J385" s="110"/>
      <c r="K385" s="110"/>
      <c r="L385" s="110"/>
      <c r="M385" s="110"/>
      <c r="N385" s="110"/>
      <c r="O385" s="110"/>
      <c r="P385" s="110"/>
      <c r="Q385" s="110"/>
      <c r="R385" s="110"/>
      <c r="S385" s="110"/>
      <c r="T385" s="110"/>
      <c r="U385" s="49"/>
      <c r="V385" s="49"/>
      <c r="W385" s="49"/>
      <c r="X385" s="49"/>
      <c r="Y385" s="49"/>
      <c r="Z385" s="49"/>
      <c r="AA385" s="49"/>
      <c r="AB385" s="49"/>
      <c r="AC385" s="49"/>
      <c r="AD385" s="113"/>
      <c r="AE385" s="49"/>
      <c r="AF385" s="50"/>
      <c r="AG385" s="50"/>
      <c r="AH385" s="50"/>
      <c r="AI385" s="50"/>
      <c r="AJ385" s="50"/>
      <c r="AK385" s="50"/>
      <c r="AL385" s="50"/>
      <c r="AM385" s="50"/>
      <c r="AN385" s="50"/>
      <c r="AO385" s="9"/>
      <c r="AP385" s="9"/>
    </row>
    <row r="386" spans="1:42" x14ac:dyDescent="0.55000000000000004">
      <c r="A386" t="str">
        <f t="shared" si="5"/>
        <v/>
      </c>
      <c r="C386" s="103"/>
      <c r="D386" s="110"/>
      <c r="E386" s="110"/>
      <c r="F386" s="110"/>
      <c r="G386" s="110"/>
      <c r="H386" s="110"/>
      <c r="I386" s="110"/>
      <c r="J386" s="110"/>
      <c r="K386" s="110"/>
      <c r="L386" s="110"/>
      <c r="M386" s="110"/>
      <c r="N386" s="110"/>
      <c r="O386" s="110"/>
      <c r="P386" s="110"/>
      <c r="Q386" s="110"/>
      <c r="R386" s="110"/>
      <c r="S386" s="110"/>
      <c r="T386" s="110"/>
      <c r="U386" s="49"/>
      <c r="V386" s="49"/>
      <c r="W386" s="49"/>
      <c r="X386" s="49"/>
      <c r="Y386" s="49"/>
      <c r="Z386" s="49"/>
      <c r="AA386" s="49"/>
      <c r="AB386" s="49"/>
      <c r="AC386" s="49"/>
      <c r="AD386" s="113"/>
      <c r="AE386" s="49"/>
      <c r="AF386" s="50"/>
      <c r="AG386" s="50"/>
      <c r="AH386" s="50"/>
      <c r="AI386" s="50"/>
      <c r="AJ386" s="50"/>
      <c r="AK386" s="50"/>
      <c r="AL386" s="50"/>
      <c r="AM386" s="50"/>
      <c r="AN386" s="50"/>
      <c r="AO386" s="9"/>
      <c r="AP386" s="9"/>
    </row>
    <row r="387" spans="1:42" x14ac:dyDescent="0.55000000000000004">
      <c r="A387" t="str">
        <f t="shared" ref="A387:A450" si="6">H387&amp;I387&amp;J387</f>
        <v/>
      </c>
      <c r="C387" s="103"/>
      <c r="D387" s="110"/>
      <c r="E387" s="110"/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49"/>
      <c r="V387" s="49"/>
      <c r="W387" s="49"/>
      <c r="X387" s="49"/>
      <c r="Y387" s="49"/>
      <c r="Z387" s="49"/>
      <c r="AA387" s="49"/>
      <c r="AB387" s="49"/>
      <c r="AC387" s="49"/>
      <c r="AD387" s="113"/>
      <c r="AE387" s="49"/>
      <c r="AF387" s="50"/>
      <c r="AG387" s="50"/>
      <c r="AH387" s="50"/>
      <c r="AI387" s="50"/>
      <c r="AJ387" s="50"/>
      <c r="AK387" s="50"/>
      <c r="AL387" s="50"/>
      <c r="AM387" s="50"/>
      <c r="AN387" s="50"/>
      <c r="AO387" s="9"/>
      <c r="AP387" s="9"/>
    </row>
    <row r="388" spans="1:42" x14ac:dyDescent="0.55000000000000004">
      <c r="A388" t="str">
        <f t="shared" si="6"/>
        <v/>
      </c>
      <c r="C388" s="103"/>
      <c r="D388" s="110"/>
      <c r="E388" s="110"/>
      <c r="F388" s="110"/>
      <c r="G388" s="110"/>
      <c r="H388" s="110"/>
      <c r="I388" s="110"/>
      <c r="J388" s="110"/>
      <c r="K388" s="110"/>
      <c r="L388" s="110"/>
      <c r="M388" s="110"/>
      <c r="N388" s="110"/>
      <c r="O388" s="110"/>
      <c r="P388" s="110"/>
      <c r="Q388" s="110"/>
      <c r="R388" s="110"/>
      <c r="S388" s="110"/>
      <c r="T388" s="110"/>
      <c r="U388" s="49"/>
      <c r="V388" s="49"/>
      <c r="W388" s="49"/>
      <c r="X388" s="49"/>
      <c r="Y388" s="49"/>
      <c r="Z388" s="49"/>
      <c r="AA388" s="49"/>
      <c r="AB388" s="49"/>
      <c r="AC388" s="49"/>
      <c r="AD388" s="113"/>
      <c r="AE388" s="49"/>
      <c r="AF388" s="51"/>
      <c r="AG388" s="51"/>
      <c r="AH388" s="51"/>
      <c r="AI388" s="51"/>
      <c r="AJ388" s="51"/>
      <c r="AK388" s="50"/>
      <c r="AL388" s="50"/>
      <c r="AM388" s="50"/>
      <c r="AN388" s="50"/>
      <c r="AO388" s="9"/>
      <c r="AP388" s="9"/>
    </row>
    <row r="389" spans="1:42" x14ac:dyDescent="0.55000000000000004">
      <c r="A389" t="str">
        <f t="shared" si="6"/>
        <v/>
      </c>
      <c r="C389" s="103"/>
      <c r="D389" s="110"/>
      <c r="E389" s="110"/>
      <c r="F389" s="110"/>
      <c r="G389" s="110"/>
      <c r="H389" s="110"/>
      <c r="I389" s="110"/>
      <c r="J389" s="110"/>
      <c r="K389" s="110"/>
      <c r="L389" s="110"/>
      <c r="M389" s="110"/>
      <c r="N389" s="110"/>
      <c r="O389" s="110"/>
      <c r="P389" s="110"/>
      <c r="Q389" s="110"/>
      <c r="R389" s="110"/>
      <c r="S389" s="110"/>
      <c r="T389" s="110"/>
      <c r="U389" s="49"/>
      <c r="V389" s="49"/>
      <c r="W389" s="49"/>
      <c r="X389" s="49"/>
      <c r="Y389" s="49"/>
      <c r="Z389" s="49"/>
      <c r="AA389" s="49"/>
      <c r="AB389" s="49"/>
      <c r="AC389" s="49"/>
      <c r="AD389" s="113"/>
      <c r="AE389" s="49"/>
      <c r="AF389" s="51"/>
      <c r="AG389" s="51"/>
      <c r="AH389" s="51"/>
      <c r="AI389" s="51"/>
      <c r="AJ389" s="51"/>
      <c r="AK389" s="50"/>
      <c r="AL389" s="50"/>
      <c r="AM389" s="50"/>
      <c r="AN389" s="50"/>
      <c r="AO389" s="9"/>
      <c r="AP389" s="9"/>
    </row>
    <row r="390" spans="1:42" x14ac:dyDescent="0.55000000000000004">
      <c r="A390" t="str">
        <f t="shared" si="6"/>
        <v/>
      </c>
      <c r="C390" s="103"/>
      <c r="D390" s="110"/>
      <c r="E390" s="110"/>
      <c r="F390" s="110"/>
      <c r="G390" s="110"/>
      <c r="H390" s="110"/>
      <c r="I390" s="110"/>
      <c r="J390" s="110"/>
      <c r="K390" s="110"/>
      <c r="L390" s="110"/>
      <c r="M390" s="110"/>
      <c r="N390" s="110"/>
      <c r="O390" s="110"/>
      <c r="P390" s="110"/>
      <c r="Q390" s="110"/>
      <c r="R390" s="110"/>
      <c r="S390" s="110"/>
      <c r="T390" s="110"/>
      <c r="U390" s="49"/>
      <c r="V390" s="49"/>
      <c r="W390" s="49"/>
      <c r="X390" s="49"/>
      <c r="Y390" s="49"/>
      <c r="Z390" s="49"/>
      <c r="AA390" s="49"/>
      <c r="AB390" s="49"/>
      <c r="AC390" s="49"/>
      <c r="AD390" s="113"/>
      <c r="AE390" s="49"/>
      <c r="AF390" s="51"/>
      <c r="AG390" s="51"/>
      <c r="AH390" s="51"/>
      <c r="AI390" s="51"/>
      <c r="AJ390" s="51"/>
      <c r="AK390" s="50"/>
      <c r="AL390" s="50"/>
      <c r="AM390" s="50"/>
      <c r="AN390" s="50"/>
      <c r="AO390" s="9"/>
      <c r="AP390" s="9"/>
    </row>
    <row r="391" spans="1:42" x14ac:dyDescent="0.55000000000000004">
      <c r="A391" t="str">
        <f t="shared" si="6"/>
        <v/>
      </c>
      <c r="C391" s="103"/>
      <c r="D391" s="110"/>
      <c r="E391" s="110"/>
      <c r="F391" s="110"/>
      <c r="G391" s="110"/>
      <c r="H391" s="110"/>
      <c r="I391" s="110"/>
      <c r="J391" s="110"/>
      <c r="K391" s="110"/>
      <c r="L391" s="110"/>
      <c r="M391" s="110"/>
      <c r="N391" s="110"/>
      <c r="O391" s="110"/>
      <c r="P391" s="110"/>
      <c r="Q391" s="110"/>
      <c r="R391" s="110"/>
      <c r="S391" s="110"/>
      <c r="T391" s="110"/>
      <c r="U391" s="49"/>
      <c r="V391" s="49"/>
      <c r="W391" s="49"/>
      <c r="X391" s="49"/>
      <c r="Y391" s="49"/>
      <c r="Z391" s="49"/>
      <c r="AA391" s="49"/>
      <c r="AB391" s="49"/>
      <c r="AC391" s="49"/>
      <c r="AD391" s="113"/>
      <c r="AE391" s="49"/>
      <c r="AF391" s="50"/>
      <c r="AG391" s="50"/>
      <c r="AH391" s="50"/>
      <c r="AI391" s="50"/>
      <c r="AJ391" s="50"/>
      <c r="AK391" s="50"/>
      <c r="AL391" s="50"/>
      <c r="AM391" s="50"/>
      <c r="AN391" s="50"/>
      <c r="AO391" s="9"/>
      <c r="AP391" s="9"/>
    </row>
    <row r="392" spans="1:42" x14ac:dyDescent="0.55000000000000004">
      <c r="A392" t="str">
        <f t="shared" si="6"/>
        <v/>
      </c>
      <c r="C392" s="103"/>
      <c r="D392" s="110"/>
      <c r="E392" s="110"/>
      <c r="F392" s="110"/>
      <c r="G392" s="110"/>
      <c r="H392" s="110"/>
      <c r="I392" s="110"/>
      <c r="J392" s="110"/>
      <c r="K392" s="110"/>
      <c r="L392" s="110"/>
      <c r="M392" s="110"/>
      <c r="N392" s="110"/>
      <c r="O392" s="110"/>
      <c r="P392" s="110"/>
      <c r="Q392" s="110"/>
      <c r="R392" s="110"/>
      <c r="S392" s="110"/>
      <c r="T392" s="110"/>
      <c r="U392" s="49"/>
      <c r="V392" s="49"/>
      <c r="W392" s="49"/>
      <c r="X392" s="49"/>
      <c r="Y392" s="49"/>
      <c r="Z392" s="49"/>
      <c r="AA392" s="49"/>
      <c r="AB392" s="49"/>
      <c r="AC392" s="49"/>
      <c r="AD392" s="113"/>
      <c r="AE392" s="49"/>
      <c r="AF392" s="50"/>
      <c r="AG392" s="50"/>
      <c r="AH392" s="50"/>
      <c r="AI392" s="50"/>
      <c r="AJ392" s="50"/>
      <c r="AK392" s="50"/>
      <c r="AL392" s="50"/>
      <c r="AM392" s="50"/>
      <c r="AN392" s="50"/>
      <c r="AO392" s="9"/>
      <c r="AP392" s="9"/>
    </row>
    <row r="393" spans="1:42" x14ac:dyDescent="0.55000000000000004">
      <c r="A393" t="str">
        <f t="shared" si="6"/>
        <v/>
      </c>
      <c r="C393" s="103"/>
      <c r="D393" s="110"/>
      <c r="E393" s="110"/>
      <c r="F393" s="110"/>
      <c r="G393" s="110"/>
      <c r="H393" s="110"/>
      <c r="I393" s="110"/>
      <c r="J393" s="110"/>
      <c r="K393" s="110"/>
      <c r="L393" s="110"/>
      <c r="M393" s="110"/>
      <c r="N393" s="110"/>
      <c r="O393" s="110"/>
      <c r="P393" s="110"/>
      <c r="Q393" s="110"/>
      <c r="R393" s="110"/>
      <c r="S393" s="110"/>
      <c r="T393" s="110"/>
      <c r="U393" s="49"/>
      <c r="V393" s="49"/>
      <c r="W393" s="49"/>
      <c r="X393" s="49"/>
      <c r="Y393" s="49"/>
      <c r="Z393" s="49"/>
      <c r="AA393" s="49"/>
      <c r="AB393" s="49"/>
      <c r="AC393" s="49"/>
      <c r="AD393" s="113"/>
      <c r="AE393" s="49"/>
      <c r="AF393" s="51"/>
      <c r="AG393" s="51"/>
      <c r="AH393" s="51"/>
      <c r="AI393" s="51"/>
      <c r="AJ393" s="51"/>
      <c r="AK393" s="50"/>
      <c r="AL393" s="50"/>
      <c r="AM393" s="50"/>
      <c r="AN393" s="50"/>
      <c r="AO393" s="9"/>
      <c r="AP393" s="9"/>
    </row>
    <row r="394" spans="1:42" x14ac:dyDescent="0.55000000000000004">
      <c r="A394" t="str">
        <f t="shared" si="6"/>
        <v/>
      </c>
      <c r="C394" s="103"/>
      <c r="D394" s="110"/>
      <c r="E394" s="110"/>
      <c r="F394" s="110"/>
      <c r="G394" s="110"/>
      <c r="H394" s="110"/>
      <c r="I394" s="110"/>
      <c r="J394" s="110"/>
      <c r="K394" s="110"/>
      <c r="L394" s="110"/>
      <c r="M394" s="110"/>
      <c r="N394" s="110"/>
      <c r="O394" s="110"/>
      <c r="P394" s="110"/>
      <c r="Q394" s="110"/>
      <c r="R394" s="110"/>
      <c r="S394" s="110"/>
      <c r="T394" s="110"/>
      <c r="U394" s="49"/>
      <c r="V394" s="49"/>
      <c r="W394" s="49"/>
      <c r="X394" s="49"/>
      <c r="Y394" s="49"/>
      <c r="Z394" s="49"/>
      <c r="AA394" s="49"/>
      <c r="AB394" s="49"/>
      <c r="AC394" s="49"/>
      <c r="AD394" s="113"/>
      <c r="AE394" s="49"/>
      <c r="AF394" s="50"/>
      <c r="AG394" s="50"/>
      <c r="AH394" s="50"/>
      <c r="AI394" s="50"/>
      <c r="AJ394" s="50"/>
      <c r="AK394" s="50"/>
      <c r="AL394" s="50"/>
      <c r="AM394" s="50"/>
      <c r="AN394" s="50"/>
      <c r="AO394" s="9"/>
      <c r="AP394" s="9"/>
    </row>
    <row r="395" spans="1:42" x14ac:dyDescent="0.55000000000000004">
      <c r="A395" t="str">
        <f t="shared" si="6"/>
        <v/>
      </c>
      <c r="C395" s="103"/>
      <c r="D395" s="110"/>
      <c r="E395" s="110"/>
      <c r="F395" s="110"/>
      <c r="G395" s="110"/>
      <c r="H395" s="110"/>
      <c r="I395" s="110"/>
      <c r="J395" s="110"/>
      <c r="K395" s="110"/>
      <c r="L395" s="110"/>
      <c r="M395" s="110"/>
      <c r="N395" s="110"/>
      <c r="O395" s="110"/>
      <c r="P395" s="110"/>
      <c r="Q395" s="110"/>
      <c r="R395" s="110"/>
      <c r="S395" s="110"/>
      <c r="T395" s="110"/>
      <c r="U395" s="49"/>
      <c r="V395" s="49"/>
      <c r="W395" s="49"/>
      <c r="X395" s="49"/>
      <c r="Y395" s="49"/>
      <c r="Z395" s="49"/>
      <c r="AA395" s="49"/>
      <c r="AB395" s="49"/>
      <c r="AC395" s="49"/>
      <c r="AD395" s="113"/>
      <c r="AE395" s="49"/>
      <c r="AF395" s="50"/>
      <c r="AG395" s="50"/>
      <c r="AH395" s="50"/>
      <c r="AI395" s="50"/>
      <c r="AJ395" s="50"/>
      <c r="AK395" s="50"/>
      <c r="AL395" s="50"/>
      <c r="AM395" s="50"/>
      <c r="AN395" s="50"/>
      <c r="AO395" s="9"/>
      <c r="AP395" s="9"/>
    </row>
    <row r="396" spans="1:42" x14ac:dyDescent="0.55000000000000004">
      <c r="A396" t="str">
        <f t="shared" si="6"/>
        <v/>
      </c>
      <c r="C396" s="103"/>
      <c r="D396" s="110"/>
      <c r="E396" s="110"/>
      <c r="F396" s="110"/>
      <c r="G396" s="110"/>
      <c r="H396" s="110"/>
      <c r="I396" s="110"/>
      <c r="J396" s="110"/>
      <c r="K396" s="110"/>
      <c r="L396" s="110"/>
      <c r="M396" s="110"/>
      <c r="N396" s="110"/>
      <c r="O396" s="110"/>
      <c r="P396" s="110"/>
      <c r="Q396" s="110"/>
      <c r="R396" s="110"/>
      <c r="S396" s="110"/>
      <c r="T396" s="110"/>
      <c r="U396" s="49"/>
      <c r="V396" s="49"/>
      <c r="W396" s="49"/>
      <c r="X396" s="49"/>
      <c r="Y396" s="49"/>
      <c r="Z396" s="49"/>
      <c r="AA396" s="49"/>
      <c r="AB396" s="49"/>
      <c r="AC396" s="49"/>
      <c r="AD396" s="113"/>
      <c r="AE396" s="49"/>
      <c r="AF396" s="50"/>
      <c r="AG396" s="50"/>
      <c r="AH396" s="50"/>
      <c r="AI396" s="50"/>
      <c r="AJ396" s="50"/>
      <c r="AK396" s="50"/>
      <c r="AL396" s="50"/>
      <c r="AM396" s="50"/>
      <c r="AN396" s="50"/>
      <c r="AO396" s="9"/>
      <c r="AP396" s="9"/>
    </row>
    <row r="397" spans="1:42" x14ac:dyDescent="0.55000000000000004">
      <c r="A397" t="str">
        <f t="shared" si="6"/>
        <v/>
      </c>
      <c r="C397" s="103"/>
      <c r="D397" s="110"/>
      <c r="E397" s="112"/>
      <c r="F397" s="110"/>
      <c r="G397" s="112"/>
      <c r="H397" s="110"/>
      <c r="I397" s="110"/>
      <c r="J397" s="110"/>
      <c r="K397" s="110"/>
      <c r="L397" s="110"/>
      <c r="M397" s="110"/>
      <c r="N397" s="110"/>
      <c r="O397" s="110"/>
      <c r="P397" s="110"/>
      <c r="Q397" s="110"/>
      <c r="R397" s="110"/>
      <c r="S397" s="110"/>
      <c r="T397" s="110"/>
      <c r="U397" s="49"/>
      <c r="V397" s="49"/>
      <c r="W397" s="49"/>
      <c r="X397" s="49"/>
      <c r="Y397" s="49"/>
      <c r="Z397" s="49"/>
      <c r="AA397" s="49"/>
      <c r="AB397" s="49"/>
      <c r="AC397" s="49"/>
      <c r="AD397" s="113"/>
      <c r="AE397" s="49"/>
      <c r="AF397" s="51"/>
      <c r="AG397" s="51"/>
      <c r="AH397" s="51"/>
      <c r="AI397" s="51"/>
      <c r="AJ397" s="51"/>
      <c r="AK397" s="50"/>
      <c r="AL397" s="50"/>
      <c r="AM397" s="50"/>
      <c r="AN397" s="50"/>
      <c r="AO397" s="9"/>
      <c r="AP397" s="9"/>
    </row>
    <row r="398" spans="1:42" x14ac:dyDescent="0.55000000000000004">
      <c r="A398" t="str">
        <f t="shared" si="6"/>
        <v/>
      </c>
      <c r="C398" s="103"/>
      <c r="D398" s="110"/>
      <c r="E398" s="110"/>
      <c r="F398" s="110"/>
      <c r="G398" s="110"/>
      <c r="H398" s="110"/>
      <c r="I398" s="110"/>
      <c r="J398" s="110"/>
      <c r="K398" s="110"/>
      <c r="L398" s="110"/>
      <c r="M398" s="110"/>
      <c r="N398" s="110"/>
      <c r="O398" s="110"/>
      <c r="P398" s="110"/>
      <c r="Q398" s="110"/>
      <c r="R398" s="110"/>
      <c r="S398" s="110"/>
      <c r="T398" s="110"/>
      <c r="U398" s="49"/>
      <c r="V398" s="49"/>
      <c r="W398" s="49"/>
      <c r="X398" s="49"/>
      <c r="Y398" s="49"/>
      <c r="Z398" s="49"/>
      <c r="AA398" s="49"/>
      <c r="AB398" s="49"/>
      <c r="AC398" s="49"/>
      <c r="AD398" s="113"/>
      <c r="AE398" s="49"/>
      <c r="AF398" s="50"/>
      <c r="AG398" s="50"/>
      <c r="AH398" s="50"/>
      <c r="AI398" s="50"/>
      <c r="AJ398" s="50"/>
      <c r="AK398" s="50"/>
      <c r="AL398" s="50"/>
      <c r="AM398" s="50"/>
      <c r="AN398" s="50"/>
      <c r="AO398" s="9"/>
      <c r="AP398" s="9"/>
    </row>
    <row r="399" spans="1:42" x14ac:dyDescent="0.55000000000000004">
      <c r="A399" t="str">
        <f t="shared" si="6"/>
        <v/>
      </c>
      <c r="C399" s="103"/>
      <c r="D399" s="110"/>
      <c r="E399" s="110"/>
      <c r="F399" s="110"/>
      <c r="G399" s="110"/>
      <c r="H399" s="110"/>
      <c r="I399" s="110"/>
      <c r="J399" s="110"/>
      <c r="K399" s="110"/>
      <c r="L399" s="110"/>
      <c r="M399" s="110"/>
      <c r="N399" s="110"/>
      <c r="O399" s="110"/>
      <c r="P399" s="110"/>
      <c r="Q399" s="110"/>
      <c r="R399" s="110"/>
      <c r="S399" s="110"/>
      <c r="T399" s="110"/>
      <c r="U399" s="49"/>
      <c r="V399" s="49"/>
      <c r="W399" s="49"/>
      <c r="X399" s="49"/>
      <c r="Y399" s="49"/>
      <c r="Z399" s="49"/>
      <c r="AA399" s="49"/>
      <c r="AB399" s="49"/>
      <c r="AC399" s="49"/>
      <c r="AD399" s="113"/>
      <c r="AE399" s="49"/>
      <c r="AF399" s="51"/>
      <c r="AG399" s="51"/>
      <c r="AH399" s="51"/>
      <c r="AI399" s="51"/>
      <c r="AJ399" s="51"/>
      <c r="AK399" s="50"/>
      <c r="AL399" s="50"/>
      <c r="AM399" s="50"/>
      <c r="AN399" s="50"/>
      <c r="AO399" s="9"/>
      <c r="AP399" s="9"/>
    </row>
    <row r="400" spans="1:42" x14ac:dyDescent="0.55000000000000004">
      <c r="A400" t="str">
        <f t="shared" si="6"/>
        <v/>
      </c>
      <c r="C400" s="103"/>
      <c r="D400" s="110"/>
      <c r="E400" s="110"/>
      <c r="F400" s="110"/>
      <c r="G400" s="110"/>
      <c r="H400" s="110"/>
      <c r="I400" s="110"/>
      <c r="J400" s="110"/>
      <c r="K400" s="110"/>
      <c r="L400" s="110"/>
      <c r="M400" s="110"/>
      <c r="N400" s="110"/>
      <c r="O400" s="110"/>
      <c r="P400" s="110"/>
      <c r="Q400" s="110"/>
      <c r="R400" s="110"/>
      <c r="S400" s="110"/>
      <c r="T400" s="110"/>
      <c r="U400" s="49"/>
      <c r="V400" s="49"/>
      <c r="W400" s="49"/>
      <c r="X400" s="49"/>
      <c r="Y400" s="49"/>
      <c r="Z400" s="49"/>
      <c r="AA400" s="49"/>
      <c r="AB400" s="49"/>
      <c r="AC400" s="49"/>
      <c r="AD400" s="113"/>
      <c r="AE400" s="49"/>
      <c r="AF400" s="51"/>
      <c r="AG400" s="51"/>
      <c r="AH400" s="51"/>
      <c r="AI400" s="51"/>
      <c r="AJ400" s="51"/>
      <c r="AK400" s="50"/>
      <c r="AL400" s="50"/>
      <c r="AM400" s="50"/>
      <c r="AN400" s="50"/>
      <c r="AO400" s="9"/>
      <c r="AP400" s="9"/>
    </row>
    <row r="401" spans="1:42" x14ac:dyDescent="0.55000000000000004">
      <c r="A401" t="str">
        <f t="shared" si="6"/>
        <v/>
      </c>
      <c r="C401" s="103"/>
      <c r="D401" s="110"/>
      <c r="E401" s="110"/>
      <c r="F401" s="110"/>
      <c r="G401" s="110"/>
      <c r="H401" s="110"/>
      <c r="I401" s="110"/>
      <c r="J401" s="110"/>
      <c r="K401" s="110"/>
      <c r="L401" s="110"/>
      <c r="M401" s="110"/>
      <c r="N401" s="110"/>
      <c r="O401" s="110"/>
      <c r="P401" s="110"/>
      <c r="Q401" s="110"/>
      <c r="R401" s="110"/>
      <c r="S401" s="110"/>
      <c r="T401" s="110"/>
      <c r="U401" s="49"/>
      <c r="V401" s="49"/>
      <c r="W401" s="49"/>
      <c r="X401" s="49"/>
      <c r="Y401" s="49"/>
      <c r="Z401" s="49"/>
      <c r="AA401" s="49"/>
      <c r="AB401" s="49"/>
      <c r="AC401" s="49"/>
      <c r="AD401" s="113"/>
      <c r="AE401" s="49"/>
      <c r="AF401" s="51"/>
      <c r="AG401" s="51"/>
      <c r="AH401" s="51"/>
      <c r="AI401" s="51"/>
      <c r="AJ401" s="51"/>
      <c r="AK401" s="50"/>
      <c r="AL401" s="50"/>
      <c r="AM401" s="50"/>
      <c r="AN401" s="50"/>
      <c r="AO401" s="9"/>
      <c r="AP401" s="9"/>
    </row>
    <row r="402" spans="1:42" x14ac:dyDescent="0.55000000000000004">
      <c r="A402" t="str">
        <f t="shared" si="6"/>
        <v/>
      </c>
      <c r="C402" s="103"/>
      <c r="D402" s="110"/>
      <c r="E402" s="110"/>
      <c r="F402" s="110"/>
      <c r="G402" s="110"/>
      <c r="H402" s="110"/>
      <c r="I402" s="110"/>
      <c r="J402" s="110"/>
      <c r="K402" s="110"/>
      <c r="L402" s="110"/>
      <c r="M402" s="110"/>
      <c r="N402" s="110"/>
      <c r="O402" s="110"/>
      <c r="P402" s="110"/>
      <c r="Q402" s="110"/>
      <c r="R402" s="110"/>
      <c r="S402" s="110"/>
      <c r="T402" s="110"/>
      <c r="U402" s="49"/>
      <c r="V402" s="49"/>
      <c r="W402" s="49"/>
      <c r="X402" s="49"/>
      <c r="Y402" s="49"/>
      <c r="Z402" s="49"/>
      <c r="AA402" s="49"/>
      <c r="AB402" s="49"/>
      <c r="AC402" s="49"/>
      <c r="AD402" s="113"/>
      <c r="AE402" s="49"/>
      <c r="AF402" s="51"/>
      <c r="AG402" s="51"/>
      <c r="AH402" s="51"/>
      <c r="AI402" s="51"/>
      <c r="AJ402" s="51"/>
      <c r="AK402" s="50"/>
      <c r="AL402" s="50"/>
      <c r="AM402" s="50"/>
      <c r="AN402" s="50"/>
      <c r="AO402" s="9"/>
      <c r="AP402" s="9"/>
    </row>
    <row r="403" spans="1:42" x14ac:dyDescent="0.55000000000000004">
      <c r="A403" t="str">
        <f t="shared" si="6"/>
        <v/>
      </c>
      <c r="C403" s="103"/>
      <c r="D403" s="110"/>
      <c r="E403" s="110"/>
      <c r="F403" s="110"/>
      <c r="G403" s="110"/>
      <c r="H403" s="110"/>
      <c r="I403" s="110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49"/>
      <c r="V403" s="49"/>
      <c r="W403" s="49"/>
      <c r="X403" s="49"/>
      <c r="Y403" s="49"/>
      <c r="Z403" s="49"/>
      <c r="AA403" s="49"/>
      <c r="AB403" s="49"/>
      <c r="AC403" s="49"/>
      <c r="AD403" s="113"/>
      <c r="AE403" s="49"/>
      <c r="AF403" s="50"/>
      <c r="AG403" s="50"/>
      <c r="AH403" s="50"/>
      <c r="AI403" s="50"/>
      <c r="AJ403" s="50"/>
      <c r="AK403" s="50"/>
      <c r="AL403" s="50"/>
      <c r="AM403" s="50"/>
      <c r="AN403" s="50"/>
      <c r="AO403" s="9"/>
      <c r="AP403" s="9"/>
    </row>
    <row r="404" spans="1:42" x14ac:dyDescent="0.55000000000000004">
      <c r="A404" t="str">
        <f t="shared" si="6"/>
        <v/>
      </c>
      <c r="C404" s="103"/>
      <c r="D404" s="110"/>
      <c r="E404" s="110"/>
      <c r="F404" s="110"/>
      <c r="G404" s="110"/>
      <c r="H404" s="110"/>
      <c r="I404" s="110"/>
      <c r="J404" s="110"/>
      <c r="K404" s="110"/>
      <c r="L404" s="110"/>
      <c r="M404" s="110"/>
      <c r="N404" s="110"/>
      <c r="O404" s="110"/>
      <c r="P404" s="110"/>
      <c r="Q404" s="110"/>
      <c r="R404" s="110"/>
      <c r="S404" s="110"/>
      <c r="T404" s="110"/>
      <c r="U404" s="49"/>
      <c r="V404" s="49"/>
      <c r="W404" s="49"/>
      <c r="X404" s="49"/>
      <c r="Y404" s="49"/>
      <c r="Z404" s="49"/>
      <c r="AA404" s="49"/>
      <c r="AB404" s="49"/>
      <c r="AC404" s="49"/>
      <c r="AD404" s="113"/>
      <c r="AE404" s="49"/>
      <c r="AF404" s="50"/>
      <c r="AG404" s="50"/>
      <c r="AH404" s="50"/>
      <c r="AI404" s="50"/>
      <c r="AJ404" s="50"/>
      <c r="AK404" s="50"/>
      <c r="AL404" s="50"/>
      <c r="AM404" s="50"/>
      <c r="AN404" s="50"/>
      <c r="AO404" s="9"/>
      <c r="AP404" s="9"/>
    </row>
    <row r="405" spans="1:42" x14ac:dyDescent="0.55000000000000004">
      <c r="A405" t="str">
        <f t="shared" si="6"/>
        <v/>
      </c>
      <c r="C405" s="103"/>
      <c r="D405" s="110"/>
      <c r="E405" s="110"/>
      <c r="F405" s="110"/>
      <c r="G405" s="110"/>
      <c r="H405" s="110"/>
      <c r="I405" s="110"/>
      <c r="J405" s="110"/>
      <c r="K405" s="110"/>
      <c r="L405" s="110"/>
      <c r="M405" s="110"/>
      <c r="N405" s="110"/>
      <c r="O405" s="110"/>
      <c r="P405" s="110"/>
      <c r="Q405" s="110"/>
      <c r="R405" s="110"/>
      <c r="S405" s="110"/>
      <c r="T405" s="110"/>
      <c r="U405" s="49"/>
      <c r="V405" s="49"/>
      <c r="W405" s="49"/>
      <c r="X405" s="49"/>
      <c r="Y405" s="49"/>
      <c r="Z405" s="49"/>
      <c r="AA405" s="49"/>
      <c r="AB405" s="49"/>
      <c r="AC405" s="49"/>
      <c r="AD405" s="113"/>
      <c r="AE405" s="49"/>
      <c r="AF405" s="50"/>
      <c r="AG405" s="50"/>
      <c r="AH405" s="50"/>
      <c r="AI405" s="50"/>
      <c r="AJ405" s="50"/>
      <c r="AK405" s="50"/>
      <c r="AL405" s="50"/>
      <c r="AM405" s="50"/>
      <c r="AN405" s="50"/>
      <c r="AO405" s="9"/>
      <c r="AP405" s="9"/>
    </row>
    <row r="406" spans="1:42" x14ac:dyDescent="0.55000000000000004">
      <c r="A406" t="str">
        <f t="shared" si="6"/>
        <v/>
      </c>
      <c r="C406" s="103"/>
      <c r="D406" s="110"/>
      <c r="E406" s="110"/>
      <c r="F406" s="110"/>
      <c r="G406" s="110"/>
      <c r="H406" s="110"/>
      <c r="I406" s="110"/>
      <c r="J406" s="110"/>
      <c r="K406" s="110"/>
      <c r="L406" s="110"/>
      <c r="M406" s="110"/>
      <c r="N406" s="110"/>
      <c r="O406" s="110"/>
      <c r="P406" s="110"/>
      <c r="Q406" s="110"/>
      <c r="R406" s="110"/>
      <c r="S406" s="110"/>
      <c r="T406" s="110"/>
      <c r="U406" s="49"/>
      <c r="V406" s="49"/>
      <c r="W406" s="49"/>
      <c r="X406" s="49"/>
      <c r="Y406" s="49"/>
      <c r="Z406" s="49"/>
      <c r="AA406" s="49"/>
      <c r="AB406" s="49"/>
      <c r="AC406" s="49"/>
      <c r="AD406" s="113"/>
      <c r="AE406" s="49"/>
      <c r="AF406" s="50"/>
      <c r="AG406" s="50"/>
      <c r="AH406" s="50"/>
      <c r="AI406" s="50"/>
      <c r="AJ406" s="50"/>
      <c r="AK406" s="50"/>
      <c r="AL406" s="50"/>
      <c r="AM406" s="50"/>
      <c r="AN406" s="50"/>
      <c r="AO406" s="9"/>
      <c r="AP406" s="9"/>
    </row>
    <row r="407" spans="1:42" x14ac:dyDescent="0.55000000000000004">
      <c r="A407" t="str">
        <f t="shared" si="6"/>
        <v/>
      </c>
      <c r="C407" s="103"/>
      <c r="D407" s="110"/>
      <c r="E407" s="110"/>
      <c r="F407" s="110"/>
      <c r="G407" s="110"/>
      <c r="H407" s="110"/>
      <c r="I407" s="110"/>
      <c r="J407" s="110"/>
      <c r="K407" s="110"/>
      <c r="L407" s="110"/>
      <c r="M407" s="110"/>
      <c r="N407" s="110"/>
      <c r="O407" s="110"/>
      <c r="P407" s="110"/>
      <c r="Q407" s="110"/>
      <c r="R407" s="110"/>
      <c r="S407" s="110"/>
      <c r="T407" s="110"/>
      <c r="U407" s="49"/>
      <c r="V407" s="49"/>
      <c r="W407" s="49"/>
      <c r="X407" s="49"/>
      <c r="Y407" s="49"/>
      <c r="Z407" s="49"/>
      <c r="AA407" s="49"/>
      <c r="AB407" s="49"/>
      <c r="AC407" s="49"/>
      <c r="AD407" s="113"/>
      <c r="AE407" s="49"/>
      <c r="AF407" s="50"/>
      <c r="AG407" s="50"/>
      <c r="AH407" s="50"/>
      <c r="AI407" s="50"/>
      <c r="AJ407" s="50"/>
      <c r="AK407" s="50"/>
      <c r="AL407" s="50"/>
      <c r="AM407" s="50"/>
      <c r="AN407" s="50"/>
      <c r="AO407" s="9"/>
      <c r="AP407" s="9"/>
    </row>
    <row r="408" spans="1:42" x14ac:dyDescent="0.55000000000000004">
      <c r="A408" t="str">
        <f t="shared" si="6"/>
        <v/>
      </c>
      <c r="C408" s="103"/>
      <c r="D408" s="110"/>
      <c r="E408" s="110"/>
      <c r="F408" s="110"/>
      <c r="G408" s="110"/>
      <c r="H408" s="110"/>
      <c r="I408" s="110"/>
      <c r="J408" s="110"/>
      <c r="K408" s="110"/>
      <c r="L408" s="110"/>
      <c r="M408" s="110"/>
      <c r="N408" s="110"/>
      <c r="O408" s="110"/>
      <c r="P408" s="110"/>
      <c r="Q408" s="110"/>
      <c r="R408" s="110"/>
      <c r="S408" s="110"/>
      <c r="T408" s="110"/>
      <c r="U408" s="49"/>
      <c r="V408" s="49"/>
      <c r="W408" s="49"/>
      <c r="X408" s="49"/>
      <c r="Y408" s="49"/>
      <c r="Z408" s="49"/>
      <c r="AA408" s="49"/>
      <c r="AB408" s="49"/>
      <c r="AC408" s="49"/>
      <c r="AD408" s="113"/>
      <c r="AE408" s="49"/>
      <c r="AF408" s="50"/>
      <c r="AG408" s="50"/>
      <c r="AH408" s="50"/>
      <c r="AI408" s="50"/>
      <c r="AJ408" s="50"/>
      <c r="AK408" s="50"/>
      <c r="AL408" s="50"/>
      <c r="AM408" s="50"/>
      <c r="AN408" s="50"/>
      <c r="AO408" s="9"/>
      <c r="AP408" s="9"/>
    </row>
    <row r="409" spans="1:42" x14ac:dyDescent="0.55000000000000004">
      <c r="A409" t="str">
        <f t="shared" si="6"/>
        <v/>
      </c>
      <c r="C409" s="103"/>
      <c r="D409" s="110"/>
      <c r="E409" s="110"/>
      <c r="F409" s="110"/>
      <c r="G409" s="110"/>
      <c r="H409" s="110"/>
      <c r="I409" s="110"/>
      <c r="J409" s="110"/>
      <c r="K409" s="110"/>
      <c r="L409" s="110"/>
      <c r="M409" s="110"/>
      <c r="N409" s="110"/>
      <c r="O409" s="110"/>
      <c r="P409" s="110"/>
      <c r="Q409" s="110"/>
      <c r="R409" s="110"/>
      <c r="S409" s="110"/>
      <c r="T409" s="110"/>
      <c r="U409" s="49"/>
      <c r="V409" s="49"/>
      <c r="W409" s="49"/>
      <c r="X409" s="49"/>
      <c r="Y409" s="49"/>
      <c r="Z409" s="49"/>
      <c r="AA409" s="49"/>
      <c r="AB409" s="49"/>
      <c r="AC409" s="49"/>
      <c r="AD409" s="113"/>
      <c r="AE409" s="49"/>
      <c r="AF409" s="50"/>
      <c r="AG409" s="50"/>
      <c r="AH409" s="50"/>
      <c r="AI409" s="50"/>
      <c r="AJ409" s="50"/>
      <c r="AK409" s="50"/>
      <c r="AL409" s="50"/>
      <c r="AM409" s="50"/>
      <c r="AN409" s="50"/>
      <c r="AO409" s="9"/>
      <c r="AP409" s="9"/>
    </row>
    <row r="410" spans="1:42" x14ac:dyDescent="0.55000000000000004">
      <c r="A410" t="str">
        <f t="shared" si="6"/>
        <v/>
      </c>
      <c r="C410" s="103"/>
      <c r="D410" s="110"/>
      <c r="E410" s="110"/>
      <c r="F410" s="110"/>
      <c r="G410" s="110"/>
      <c r="H410" s="110"/>
      <c r="I410" s="110"/>
      <c r="J410" s="110"/>
      <c r="K410" s="110"/>
      <c r="L410" s="110"/>
      <c r="M410" s="110"/>
      <c r="N410" s="110"/>
      <c r="O410" s="110"/>
      <c r="P410" s="110"/>
      <c r="Q410" s="110"/>
      <c r="R410" s="110"/>
      <c r="S410" s="110"/>
      <c r="T410" s="110"/>
      <c r="U410" s="49"/>
      <c r="V410" s="49"/>
      <c r="W410" s="49"/>
      <c r="X410" s="49"/>
      <c r="Y410" s="49"/>
      <c r="Z410" s="49"/>
      <c r="AA410" s="49"/>
      <c r="AB410" s="49"/>
      <c r="AC410" s="49"/>
      <c r="AD410" s="113"/>
      <c r="AE410" s="49"/>
      <c r="AF410" s="50"/>
      <c r="AG410" s="50"/>
      <c r="AH410" s="50"/>
      <c r="AI410" s="50"/>
      <c r="AJ410" s="50"/>
      <c r="AK410" s="50"/>
      <c r="AL410" s="50"/>
      <c r="AM410" s="50"/>
      <c r="AN410" s="50"/>
      <c r="AO410" s="9"/>
      <c r="AP410" s="9"/>
    </row>
    <row r="411" spans="1:42" x14ac:dyDescent="0.55000000000000004">
      <c r="A411" t="str">
        <f t="shared" si="6"/>
        <v/>
      </c>
      <c r="C411" s="103"/>
      <c r="D411" s="110"/>
      <c r="E411" s="110"/>
      <c r="F411" s="110"/>
      <c r="G411" s="110"/>
      <c r="H411" s="110"/>
      <c r="I411" s="110"/>
      <c r="J411" s="110"/>
      <c r="K411" s="110"/>
      <c r="L411" s="110"/>
      <c r="M411" s="110"/>
      <c r="N411" s="110"/>
      <c r="O411" s="110"/>
      <c r="P411" s="110"/>
      <c r="Q411" s="110"/>
      <c r="R411" s="110"/>
      <c r="S411" s="110"/>
      <c r="T411" s="110"/>
      <c r="U411" s="49"/>
      <c r="V411" s="49"/>
      <c r="W411" s="49"/>
      <c r="X411" s="49"/>
      <c r="Y411" s="49"/>
      <c r="Z411" s="49"/>
      <c r="AA411" s="49"/>
      <c r="AB411" s="49"/>
      <c r="AC411" s="49"/>
      <c r="AD411" s="113"/>
      <c r="AE411" s="49"/>
      <c r="AF411" s="50"/>
      <c r="AG411" s="50"/>
      <c r="AH411" s="50"/>
      <c r="AI411" s="50"/>
      <c r="AJ411" s="50"/>
      <c r="AK411" s="50"/>
      <c r="AL411" s="50"/>
      <c r="AM411" s="50"/>
      <c r="AN411" s="50"/>
      <c r="AO411" s="9"/>
      <c r="AP411" s="9"/>
    </row>
    <row r="412" spans="1:42" x14ac:dyDescent="0.55000000000000004">
      <c r="A412" t="str">
        <f t="shared" si="6"/>
        <v/>
      </c>
      <c r="C412" s="103"/>
      <c r="D412" s="110"/>
      <c r="E412" s="110"/>
      <c r="F412" s="110"/>
      <c r="G412" s="110"/>
      <c r="H412" s="110"/>
      <c r="I412" s="110"/>
      <c r="J412" s="110"/>
      <c r="K412" s="110"/>
      <c r="L412" s="110"/>
      <c r="M412" s="110"/>
      <c r="N412" s="110"/>
      <c r="O412" s="110"/>
      <c r="P412" s="110"/>
      <c r="Q412" s="110"/>
      <c r="R412" s="110"/>
      <c r="S412" s="110"/>
      <c r="T412" s="110"/>
      <c r="U412" s="49"/>
      <c r="V412" s="49"/>
      <c r="W412" s="49"/>
      <c r="X412" s="49"/>
      <c r="Y412" s="49"/>
      <c r="Z412" s="49"/>
      <c r="AA412" s="49"/>
      <c r="AB412" s="49"/>
      <c r="AC412" s="49"/>
      <c r="AD412" s="113"/>
      <c r="AE412" s="49"/>
      <c r="AF412" s="50"/>
      <c r="AG412" s="50"/>
      <c r="AH412" s="50"/>
      <c r="AI412" s="50"/>
      <c r="AJ412" s="50"/>
      <c r="AK412" s="50"/>
      <c r="AL412" s="50"/>
      <c r="AM412" s="50"/>
      <c r="AN412" s="50"/>
      <c r="AO412" s="9"/>
      <c r="AP412" s="9"/>
    </row>
    <row r="413" spans="1:42" x14ac:dyDescent="0.55000000000000004">
      <c r="A413" t="str">
        <f t="shared" si="6"/>
        <v/>
      </c>
      <c r="C413" s="103"/>
      <c r="D413" s="110"/>
      <c r="E413" s="110"/>
      <c r="F413" s="110"/>
      <c r="G413" s="110"/>
      <c r="H413" s="110"/>
      <c r="I413" s="110"/>
      <c r="J413" s="110"/>
      <c r="K413" s="110"/>
      <c r="L413" s="110"/>
      <c r="M413" s="110"/>
      <c r="N413" s="110"/>
      <c r="O413" s="110"/>
      <c r="P413" s="110"/>
      <c r="Q413" s="110"/>
      <c r="R413" s="110"/>
      <c r="S413" s="110"/>
      <c r="T413" s="110"/>
      <c r="U413" s="49"/>
      <c r="V413" s="49"/>
      <c r="W413" s="49"/>
      <c r="X413" s="49"/>
      <c r="Y413" s="49"/>
      <c r="Z413" s="49"/>
      <c r="AA413" s="49"/>
      <c r="AB413" s="49"/>
      <c r="AC413" s="49"/>
      <c r="AD413" s="113"/>
      <c r="AE413" s="49"/>
      <c r="AF413" s="50"/>
      <c r="AG413" s="50"/>
      <c r="AH413" s="50"/>
      <c r="AI413" s="50"/>
      <c r="AJ413" s="50"/>
      <c r="AK413" s="50"/>
      <c r="AL413" s="50"/>
      <c r="AM413" s="50"/>
      <c r="AN413" s="50"/>
      <c r="AO413" s="9"/>
      <c r="AP413" s="9"/>
    </row>
    <row r="414" spans="1:42" x14ac:dyDescent="0.55000000000000004">
      <c r="A414" t="str">
        <f t="shared" si="6"/>
        <v/>
      </c>
      <c r="C414" s="103"/>
      <c r="D414" s="110"/>
      <c r="E414" s="110"/>
      <c r="F414" s="110"/>
      <c r="G414" s="110"/>
      <c r="H414" s="110"/>
      <c r="I414" s="110"/>
      <c r="J414" s="110"/>
      <c r="K414" s="110"/>
      <c r="L414" s="110"/>
      <c r="M414" s="110"/>
      <c r="N414" s="110"/>
      <c r="O414" s="110"/>
      <c r="P414" s="110"/>
      <c r="Q414" s="110"/>
      <c r="R414" s="110"/>
      <c r="S414" s="110"/>
      <c r="T414" s="110"/>
      <c r="U414" s="49"/>
      <c r="V414" s="49"/>
      <c r="W414" s="49"/>
      <c r="X414" s="49"/>
      <c r="Y414" s="49"/>
      <c r="Z414" s="49"/>
      <c r="AA414" s="49"/>
      <c r="AB414" s="49"/>
      <c r="AC414" s="49"/>
      <c r="AD414" s="113"/>
      <c r="AE414" s="49"/>
      <c r="AF414" s="50"/>
      <c r="AG414" s="50"/>
      <c r="AH414" s="50"/>
      <c r="AI414" s="50"/>
      <c r="AJ414" s="50"/>
      <c r="AK414" s="50"/>
      <c r="AL414" s="50"/>
      <c r="AM414" s="50"/>
      <c r="AN414" s="50"/>
      <c r="AO414" s="9"/>
      <c r="AP414" s="9"/>
    </row>
    <row r="415" spans="1:42" x14ac:dyDescent="0.55000000000000004">
      <c r="A415" t="str">
        <f t="shared" si="6"/>
        <v/>
      </c>
      <c r="C415" s="103"/>
      <c r="D415" s="110"/>
      <c r="E415" s="110"/>
      <c r="F415" s="110"/>
      <c r="G415" s="110"/>
      <c r="H415" s="110"/>
      <c r="I415" s="110"/>
      <c r="J415" s="110"/>
      <c r="K415" s="110"/>
      <c r="L415" s="110"/>
      <c r="M415" s="110"/>
      <c r="N415" s="110"/>
      <c r="O415" s="110"/>
      <c r="P415" s="110"/>
      <c r="Q415" s="110"/>
      <c r="R415" s="110"/>
      <c r="S415" s="110"/>
      <c r="T415" s="110"/>
      <c r="U415" s="49"/>
      <c r="V415" s="49"/>
      <c r="W415" s="49"/>
      <c r="X415" s="49"/>
      <c r="Y415" s="49"/>
      <c r="Z415" s="49"/>
      <c r="AA415" s="49"/>
      <c r="AB415" s="49"/>
      <c r="AC415" s="49"/>
      <c r="AD415" s="113"/>
      <c r="AE415" s="49"/>
      <c r="AF415" s="50"/>
      <c r="AG415" s="50"/>
      <c r="AH415" s="50"/>
      <c r="AI415" s="50"/>
      <c r="AJ415" s="50"/>
      <c r="AK415" s="50"/>
      <c r="AL415" s="50"/>
      <c r="AM415" s="50"/>
      <c r="AN415" s="50"/>
      <c r="AO415" s="9"/>
      <c r="AP415" s="9"/>
    </row>
    <row r="416" spans="1:42" x14ac:dyDescent="0.55000000000000004">
      <c r="A416" t="str">
        <f t="shared" si="6"/>
        <v/>
      </c>
      <c r="C416" s="103"/>
      <c r="D416" s="110"/>
      <c r="E416" s="110"/>
      <c r="F416" s="110"/>
      <c r="G416" s="110"/>
      <c r="H416" s="110"/>
      <c r="I416" s="110"/>
      <c r="J416" s="110"/>
      <c r="K416" s="110"/>
      <c r="L416" s="110"/>
      <c r="M416" s="110"/>
      <c r="N416" s="110"/>
      <c r="O416" s="110"/>
      <c r="P416" s="110"/>
      <c r="Q416" s="110"/>
      <c r="R416" s="110"/>
      <c r="S416" s="110"/>
      <c r="T416" s="110"/>
      <c r="U416" s="49"/>
      <c r="V416" s="49"/>
      <c r="W416" s="49"/>
      <c r="X416" s="49"/>
      <c r="Y416" s="49"/>
      <c r="Z416" s="49"/>
      <c r="AA416" s="49"/>
      <c r="AB416" s="49"/>
      <c r="AC416" s="49"/>
      <c r="AD416" s="113"/>
      <c r="AE416" s="49"/>
      <c r="AF416" s="50"/>
      <c r="AG416" s="50"/>
      <c r="AH416" s="50"/>
      <c r="AI416" s="50"/>
      <c r="AJ416" s="50"/>
      <c r="AK416" s="50"/>
      <c r="AL416" s="50"/>
      <c r="AM416" s="50"/>
      <c r="AN416" s="50"/>
      <c r="AO416" s="9"/>
      <c r="AP416" s="9"/>
    </row>
    <row r="417" spans="1:42" x14ac:dyDescent="0.55000000000000004">
      <c r="A417" t="str">
        <f t="shared" si="6"/>
        <v/>
      </c>
      <c r="C417" s="103"/>
      <c r="D417" s="110"/>
      <c r="E417" s="110"/>
      <c r="F417" s="110"/>
      <c r="G417" s="110"/>
      <c r="H417" s="110"/>
      <c r="I417" s="110"/>
      <c r="J417" s="110"/>
      <c r="K417" s="110"/>
      <c r="L417" s="110"/>
      <c r="M417" s="110"/>
      <c r="N417" s="110"/>
      <c r="O417" s="110"/>
      <c r="P417" s="110"/>
      <c r="Q417" s="110"/>
      <c r="R417" s="110"/>
      <c r="S417" s="110"/>
      <c r="T417" s="110"/>
      <c r="U417" s="49"/>
      <c r="V417" s="49"/>
      <c r="W417" s="49"/>
      <c r="X417" s="49"/>
      <c r="Y417" s="49"/>
      <c r="Z417" s="49"/>
      <c r="AA417" s="49"/>
      <c r="AB417" s="49"/>
      <c r="AC417" s="49"/>
      <c r="AD417" s="113"/>
      <c r="AE417" s="49"/>
      <c r="AF417" s="50"/>
      <c r="AG417" s="50"/>
      <c r="AH417" s="50"/>
      <c r="AI417" s="50"/>
      <c r="AJ417" s="50"/>
      <c r="AK417" s="50"/>
      <c r="AL417" s="50"/>
      <c r="AM417" s="50"/>
      <c r="AN417" s="50"/>
      <c r="AO417" s="9"/>
      <c r="AP417" s="9"/>
    </row>
    <row r="418" spans="1:42" x14ac:dyDescent="0.55000000000000004">
      <c r="A418" t="str">
        <f t="shared" si="6"/>
        <v/>
      </c>
      <c r="C418" s="103"/>
      <c r="D418" s="110"/>
      <c r="E418" s="110"/>
      <c r="F418" s="110"/>
      <c r="G418" s="110"/>
      <c r="H418" s="110"/>
      <c r="I418" s="110"/>
      <c r="J418" s="110"/>
      <c r="K418" s="110"/>
      <c r="L418" s="110"/>
      <c r="M418" s="110"/>
      <c r="N418" s="110"/>
      <c r="O418" s="110"/>
      <c r="P418" s="110"/>
      <c r="Q418" s="110"/>
      <c r="R418" s="110"/>
      <c r="S418" s="110"/>
      <c r="T418" s="110"/>
      <c r="U418" s="49"/>
      <c r="V418" s="49"/>
      <c r="W418" s="49"/>
      <c r="X418" s="49"/>
      <c r="Y418" s="49"/>
      <c r="Z418" s="49"/>
      <c r="AA418" s="49"/>
      <c r="AB418" s="49"/>
      <c r="AC418" s="49"/>
      <c r="AD418" s="113"/>
      <c r="AE418" s="49"/>
      <c r="AF418" s="50"/>
      <c r="AG418" s="50"/>
      <c r="AH418" s="50"/>
      <c r="AI418" s="50"/>
      <c r="AJ418" s="50"/>
      <c r="AK418" s="50"/>
      <c r="AL418" s="50"/>
      <c r="AM418" s="50"/>
      <c r="AN418" s="50"/>
      <c r="AO418" s="9"/>
      <c r="AP418" s="9"/>
    </row>
    <row r="419" spans="1:42" x14ac:dyDescent="0.55000000000000004">
      <c r="A419" t="str">
        <f t="shared" si="6"/>
        <v/>
      </c>
      <c r="C419" s="103"/>
      <c r="D419" s="110"/>
      <c r="E419" s="110"/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49"/>
      <c r="V419" s="49"/>
      <c r="W419" s="49"/>
      <c r="X419" s="49"/>
      <c r="Y419" s="49"/>
      <c r="Z419" s="49"/>
      <c r="AA419" s="49"/>
      <c r="AB419" s="49"/>
      <c r="AC419" s="49"/>
      <c r="AD419" s="113"/>
      <c r="AE419" s="49"/>
      <c r="AF419" s="50"/>
      <c r="AG419" s="50"/>
      <c r="AH419" s="50"/>
      <c r="AI419" s="50"/>
      <c r="AJ419" s="50"/>
      <c r="AK419" s="50"/>
      <c r="AL419" s="50"/>
      <c r="AM419" s="50"/>
      <c r="AN419" s="50"/>
      <c r="AO419" s="9"/>
      <c r="AP419" s="9"/>
    </row>
    <row r="420" spans="1:42" x14ac:dyDescent="0.55000000000000004">
      <c r="A420" t="str">
        <f t="shared" si="6"/>
        <v/>
      </c>
      <c r="C420" s="103"/>
      <c r="D420" s="110"/>
      <c r="E420" s="110"/>
      <c r="F420" s="110"/>
      <c r="G420" s="110"/>
      <c r="H420" s="110"/>
      <c r="I420" s="110"/>
      <c r="J420" s="110"/>
      <c r="K420" s="110"/>
      <c r="L420" s="110"/>
      <c r="M420" s="110"/>
      <c r="N420" s="110"/>
      <c r="O420" s="110"/>
      <c r="P420" s="110"/>
      <c r="Q420" s="110"/>
      <c r="R420" s="110"/>
      <c r="S420" s="110"/>
      <c r="T420" s="110"/>
      <c r="U420" s="49"/>
      <c r="V420" s="49"/>
      <c r="W420" s="49"/>
      <c r="X420" s="49"/>
      <c r="Y420" s="49"/>
      <c r="Z420" s="49"/>
      <c r="AA420" s="49"/>
      <c r="AB420" s="49"/>
      <c r="AC420" s="49"/>
      <c r="AD420" s="113"/>
      <c r="AE420" s="49"/>
      <c r="AF420" s="50"/>
      <c r="AG420" s="50"/>
      <c r="AH420" s="50"/>
      <c r="AI420" s="50"/>
      <c r="AJ420" s="50"/>
      <c r="AK420" s="50"/>
      <c r="AL420" s="50"/>
      <c r="AM420" s="50"/>
      <c r="AN420" s="50"/>
      <c r="AO420" s="9"/>
      <c r="AP420" s="9"/>
    </row>
    <row r="421" spans="1:42" x14ac:dyDescent="0.55000000000000004">
      <c r="A421" t="str">
        <f t="shared" si="6"/>
        <v/>
      </c>
      <c r="C421" s="103"/>
      <c r="D421" s="110"/>
      <c r="E421" s="110"/>
      <c r="F421" s="110"/>
      <c r="G421" s="110"/>
      <c r="H421" s="110"/>
      <c r="I421" s="110"/>
      <c r="J421" s="110"/>
      <c r="K421" s="110"/>
      <c r="L421" s="110"/>
      <c r="M421" s="110"/>
      <c r="N421" s="110"/>
      <c r="O421" s="110"/>
      <c r="P421" s="110"/>
      <c r="Q421" s="110"/>
      <c r="R421" s="110"/>
      <c r="S421" s="110"/>
      <c r="T421" s="110"/>
      <c r="U421" s="49"/>
      <c r="V421" s="49"/>
      <c r="W421" s="49"/>
      <c r="X421" s="49"/>
      <c r="Y421" s="49"/>
      <c r="Z421" s="49"/>
      <c r="AA421" s="49"/>
      <c r="AB421" s="49"/>
      <c r="AC421" s="49"/>
      <c r="AD421" s="113"/>
      <c r="AE421" s="49"/>
      <c r="AF421" s="50"/>
      <c r="AG421" s="50"/>
      <c r="AH421" s="50"/>
      <c r="AI421" s="50"/>
      <c r="AJ421" s="50"/>
      <c r="AK421" s="50"/>
      <c r="AL421" s="50"/>
      <c r="AM421" s="50"/>
      <c r="AN421" s="50"/>
      <c r="AO421" s="9"/>
      <c r="AP421" s="9"/>
    </row>
    <row r="422" spans="1:42" x14ac:dyDescent="0.55000000000000004">
      <c r="A422" t="str">
        <f t="shared" si="6"/>
        <v/>
      </c>
      <c r="C422" s="103"/>
      <c r="D422" s="110"/>
      <c r="E422" s="110"/>
      <c r="F422" s="110"/>
      <c r="G422" s="110"/>
      <c r="H422" s="110"/>
      <c r="I422" s="110"/>
      <c r="J422" s="110"/>
      <c r="K422" s="110"/>
      <c r="L422" s="110"/>
      <c r="M422" s="110"/>
      <c r="N422" s="110"/>
      <c r="O422" s="110"/>
      <c r="P422" s="110"/>
      <c r="Q422" s="110"/>
      <c r="R422" s="110"/>
      <c r="S422" s="110"/>
      <c r="T422" s="110"/>
      <c r="U422" s="49"/>
      <c r="V422" s="49"/>
      <c r="W422" s="49"/>
      <c r="X422" s="49"/>
      <c r="Y422" s="49"/>
      <c r="Z422" s="49"/>
      <c r="AA422" s="49"/>
      <c r="AB422" s="49"/>
      <c r="AC422" s="49"/>
      <c r="AD422" s="113"/>
      <c r="AE422" s="49"/>
      <c r="AF422" s="50"/>
      <c r="AG422" s="50"/>
      <c r="AH422" s="50"/>
      <c r="AI422" s="50"/>
      <c r="AJ422" s="50"/>
      <c r="AK422" s="50"/>
      <c r="AL422" s="50"/>
      <c r="AM422" s="50"/>
      <c r="AN422" s="50"/>
      <c r="AO422" s="9"/>
      <c r="AP422" s="9"/>
    </row>
    <row r="423" spans="1:42" x14ac:dyDescent="0.55000000000000004">
      <c r="A423" t="str">
        <f t="shared" si="6"/>
        <v/>
      </c>
      <c r="C423" s="103"/>
      <c r="D423" s="110"/>
      <c r="E423" s="110"/>
      <c r="F423" s="110"/>
      <c r="G423" s="110"/>
      <c r="H423" s="110"/>
      <c r="I423" s="110"/>
      <c r="J423" s="110"/>
      <c r="K423" s="110"/>
      <c r="L423" s="110"/>
      <c r="M423" s="110"/>
      <c r="N423" s="110"/>
      <c r="O423" s="110"/>
      <c r="P423" s="110"/>
      <c r="Q423" s="110"/>
      <c r="R423" s="110"/>
      <c r="S423" s="110"/>
      <c r="T423" s="110"/>
      <c r="U423" s="49"/>
      <c r="V423" s="49"/>
      <c r="W423" s="49"/>
      <c r="X423" s="49"/>
      <c r="Y423" s="49"/>
      <c r="Z423" s="49"/>
      <c r="AA423" s="49"/>
      <c r="AB423" s="49"/>
      <c r="AC423" s="49"/>
      <c r="AD423" s="113"/>
      <c r="AE423" s="49"/>
      <c r="AF423" s="50"/>
      <c r="AG423" s="50"/>
      <c r="AH423" s="50"/>
      <c r="AI423" s="50"/>
      <c r="AJ423" s="50"/>
      <c r="AK423" s="50"/>
      <c r="AL423" s="50"/>
      <c r="AM423" s="50"/>
      <c r="AN423" s="50"/>
      <c r="AO423" s="9"/>
      <c r="AP423" s="9"/>
    </row>
    <row r="424" spans="1:42" x14ac:dyDescent="0.55000000000000004">
      <c r="A424" t="str">
        <f t="shared" si="6"/>
        <v/>
      </c>
      <c r="C424" s="103"/>
      <c r="D424" s="110"/>
      <c r="E424" s="110"/>
      <c r="F424" s="110"/>
      <c r="G424" s="110"/>
      <c r="H424" s="110"/>
      <c r="I424" s="110"/>
      <c r="J424" s="110"/>
      <c r="K424" s="110"/>
      <c r="L424" s="110"/>
      <c r="M424" s="110"/>
      <c r="N424" s="110"/>
      <c r="O424" s="110"/>
      <c r="P424" s="110"/>
      <c r="Q424" s="110"/>
      <c r="R424" s="110"/>
      <c r="S424" s="110"/>
      <c r="T424" s="110"/>
      <c r="U424" s="49"/>
      <c r="V424" s="49"/>
      <c r="W424" s="49"/>
      <c r="X424" s="49"/>
      <c r="Y424" s="49"/>
      <c r="Z424" s="49"/>
      <c r="AA424" s="49"/>
      <c r="AB424" s="49"/>
      <c r="AC424" s="49"/>
      <c r="AD424" s="113"/>
      <c r="AE424" s="49"/>
      <c r="AF424" s="50"/>
      <c r="AG424" s="50"/>
      <c r="AH424" s="50"/>
      <c r="AI424" s="50"/>
      <c r="AJ424" s="50"/>
      <c r="AK424" s="50"/>
      <c r="AL424" s="50"/>
      <c r="AM424" s="50"/>
      <c r="AN424" s="50"/>
      <c r="AO424" s="9"/>
      <c r="AP424" s="9"/>
    </row>
    <row r="425" spans="1:42" x14ac:dyDescent="0.55000000000000004">
      <c r="A425" t="str">
        <f t="shared" si="6"/>
        <v/>
      </c>
      <c r="C425" s="103"/>
      <c r="D425" s="110"/>
      <c r="E425" s="112"/>
      <c r="F425" s="110"/>
      <c r="G425" s="112"/>
      <c r="H425" s="110"/>
      <c r="I425" s="110"/>
      <c r="J425" s="110"/>
      <c r="K425" s="110"/>
      <c r="L425" s="110"/>
      <c r="M425" s="110"/>
      <c r="N425" s="110"/>
      <c r="O425" s="110"/>
      <c r="P425" s="110"/>
      <c r="Q425" s="110"/>
      <c r="R425" s="110"/>
      <c r="S425" s="110"/>
      <c r="T425" s="110"/>
      <c r="U425" s="49"/>
      <c r="V425" s="49"/>
      <c r="W425" s="49"/>
      <c r="X425" s="49"/>
      <c r="Y425" s="49"/>
      <c r="Z425" s="49"/>
      <c r="AA425" s="49"/>
      <c r="AB425" s="49"/>
      <c r="AC425" s="49"/>
      <c r="AD425" s="113"/>
      <c r="AE425" s="49"/>
      <c r="AF425" s="50"/>
      <c r="AG425" s="50"/>
      <c r="AH425" s="50"/>
      <c r="AI425" s="50"/>
      <c r="AJ425" s="50"/>
      <c r="AK425" s="50"/>
      <c r="AL425" s="50"/>
      <c r="AM425" s="50"/>
      <c r="AN425" s="50"/>
      <c r="AO425" s="9"/>
      <c r="AP425" s="9"/>
    </row>
    <row r="426" spans="1:42" x14ac:dyDescent="0.55000000000000004">
      <c r="A426" t="str">
        <f t="shared" si="6"/>
        <v/>
      </c>
      <c r="C426" s="103"/>
      <c r="D426" s="110"/>
      <c r="E426" s="112"/>
      <c r="F426" s="110"/>
      <c r="G426" s="112"/>
      <c r="H426" s="110"/>
      <c r="I426" s="110"/>
      <c r="J426" s="110"/>
      <c r="K426" s="110"/>
      <c r="L426" s="110"/>
      <c r="M426" s="110"/>
      <c r="N426" s="110"/>
      <c r="O426" s="110"/>
      <c r="P426" s="110"/>
      <c r="Q426" s="110"/>
      <c r="R426" s="110"/>
      <c r="S426" s="110"/>
      <c r="T426" s="110"/>
      <c r="U426" s="49"/>
      <c r="V426" s="49"/>
      <c r="W426" s="49"/>
      <c r="X426" s="49"/>
      <c r="Y426" s="49"/>
      <c r="Z426" s="49"/>
      <c r="AA426" s="49"/>
      <c r="AB426" s="49"/>
      <c r="AC426" s="49"/>
      <c r="AD426" s="113"/>
      <c r="AE426" s="49"/>
      <c r="AF426" s="50"/>
      <c r="AG426" s="50"/>
      <c r="AH426" s="50"/>
      <c r="AI426" s="50"/>
      <c r="AJ426" s="50"/>
      <c r="AK426" s="50"/>
      <c r="AL426" s="50"/>
      <c r="AM426" s="50"/>
      <c r="AN426" s="50"/>
      <c r="AO426" s="9"/>
      <c r="AP426" s="9"/>
    </row>
    <row r="427" spans="1:42" x14ac:dyDescent="0.55000000000000004">
      <c r="A427" t="str">
        <f t="shared" si="6"/>
        <v/>
      </c>
      <c r="C427" s="103"/>
      <c r="D427" s="110"/>
      <c r="E427" s="112"/>
      <c r="F427" s="110"/>
      <c r="G427" s="112"/>
      <c r="H427" s="110"/>
      <c r="I427" s="110"/>
      <c r="J427" s="110"/>
      <c r="K427" s="110"/>
      <c r="L427" s="110"/>
      <c r="M427" s="110"/>
      <c r="N427" s="110"/>
      <c r="O427" s="110"/>
      <c r="P427" s="110"/>
      <c r="Q427" s="110"/>
      <c r="R427" s="110"/>
      <c r="S427" s="110"/>
      <c r="T427" s="110"/>
      <c r="U427" s="49"/>
      <c r="V427" s="49"/>
      <c r="W427" s="49"/>
      <c r="X427" s="49"/>
      <c r="Y427" s="49"/>
      <c r="Z427" s="49"/>
      <c r="AA427" s="49"/>
      <c r="AB427" s="49"/>
      <c r="AC427" s="49"/>
      <c r="AD427" s="113"/>
      <c r="AE427" s="49"/>
      <c r="AF427" s="50"/>
      <c r="AG427" s="50"/>
      <c r="AH427" s="50"/>
      <c r="AI427" s="50"/>
      <c r="AJ427" s="50"/>
      <c r="AK427" s="50"/>
      <c r="AL427" s="50"/>
      <c r="AM427" s="50"/>
      <c r="AN427" s="50"/>
      <c r="AO427" s="9"/>
      <c r="AP427" s="9"/>
    </row>
    <row r="428" spans="1:42" x14ac:dyDescent="0.55000000000000004">
      <c r="A428" t="str">
        <f t="shared" si="6"/>
        <v/>
      </c>
      <c r="C428" s="103"/>
      <c r="D428" s="110"/>
      <c r="E428" s="112"/>
      <c r="F428" s="110"/>
      <c r="G428" s="112"/>
      <c r="H428" s="110"/>
      <c r="I428" s="110"/>
      <c r="J428" s="110"/>
      <c r="K428" s="110"/>
      <c r="L428" s="110"/>
      <c r="M428" s="110"/>
      <c r="N428" s="110"/>
      <c r="O428" s="110"/>
      <c r="P428" s="110"/>
      <c r="Q428" s="110"/>
      <c r="R428" s="110"/>
      <c r="S428" s="110"/>
      <c r="T428" s="110"/>
      <c r="U428" s="49"/>
      <c r="V428" s="49"/>
      <c r="W428" s="49"/>
      <c r="X428" s="49"/>
      <c r="Y428" s="49"/>
      <c r="Z428" s="49"/>
      <c r="AA428" s="49"/>
      <c r="AB428" s="49"/>
      <c r="AC428" s="49"/>
      <c r="AD428" s="113"/>
      <c r="AE428" s="49"/>
      <c r="AF428" s="50"/>
      <c r="AG428" s="50"/>
      <c r="AH428" s="50"/>
      <c r="AI428" s="50"/>
      <c r="AJ428" s="50"/>
      <c r="AK428" s="50"/>
      <c r="AL428" s="50"/>
      <c r="AM428" s="50"/>
      <c r="AN428" s="50"/>
      <c r="AO428" s="9"/>
      <c r="AP428" s="9"/>
    </row>
    <row r="429" spans="1:42" x14ac:dyDescent="0.55000000000000004">
      <c r="A429" t="str">
        <f t="shared" si="6"/>
        <v/>
      </c>
      <c r="C429" s="103"/>
      <c r="D429" s="110"/>
      <c r="E429" s="110"/>
      <c r="F429" s="110"/>
      <c r="G429" s="110"/>
      <c r="H429" s="110"/>
      <c r="I429" s="110"/>
      <c r="J429" s="110"/>
      <c r="K429" s="110"/>
      <c r="L429" s="110"/>
      <c r="M429" s="110"/>
      <c r="N429" s="110"/>
      <c r="O429" s="110"/>
      <c r="P429" s="110"/>
      <c r="Q429" s="110"/>
      <c r="R429" s="110"/>
      <c r="S429" s="110"/>
      <c r="T429" s="110"/>
      <c r="U429" s="49"/>
      <c r="V429" s="49"/>
      <c r="W429" s="49"/>
      <c r="X429" s="49"/>
      <c r="Y429" s="49"/>
      <c r="Z429" s="49"/>
      <c r="AA429" s="49"/>
      <c r="AB429" s="49"/>
      <c r="AC429" s="49"/>
      <c r="AD429" s="113"/>
      <c r="AE429" s="49"/>
      <c r="AF429" s="50"/>
      <c r="AG429" s="50"/>
      <c r="AH429" s="50"/>
      <c r="AI429" s="50"/>
      <c r="AJ429" s="50"/>
      <c r="AK429" s="50"/>
      <c r="AL429" s="50"/>
      <c r="AM429" s="50"/>
      <c r="AN429" s="50"/>
      <c r="AO429" s="9"/>
      <c r="AP429" s="9"/>
    </row>
    <row r="430" spans="1:42" x14ac:dyDescent="0.55000000000000004">
      <c r="A430" t="str">
        <f t="shared" si="6"/>
        <v/>
      </c>
      <c r="C430" s="103"/>
      <c r="D430" s="110"/>
      <c r="E430" s="110"/>
      <c r="F430" s="110"/>
      <c r="G430" s="110"/>
      <c r="H430" s="110"/>
      <c r="I430" s="110"/>
      <c r="J430" s="110"/>
      <c r="K430" s="110"/>
      <c r="L430" s="110"/>
      <c r="M430" s="110"/>
      <c r="N430" s="110"/>
      <c r="O430" s="110"/>
      <c r="P430" s="110"/>
      <c r="Q430" s="110"/>
      <c r="R430" s="110"/>
      <c r="S430" s="110"/>
      <c r="T430" s="110"/>
      <c r="U430" s="49"/>
      <c r="V430" s="49"/>
      <c r="W430" s="49"/>
      <c r="X430" s="49"/>
      <c r="Y430" s="49"/>
      <c r="Z430" s="49"/>
      <c r="AA430" s="49"/>
      <c r="AB430" s="49"/>
      <c r="AC430" s="49"/>
      <c r="AD430" s="113"/>
      <c r="AE430" s="49"/>
      <c r="AF430" s="50"/>
      <c r="AG430" s="50"/>
      <c r="AH430" s="50"/>
      <c r="AI430" s="50"/>
      <c r="AJ430" s="50"/>
      <c r="AK430" s="50"/>
      <c r="AL430" s="50"/>
      <c r="AM430" s="50"/>
      <c r="AN430" s="50"/>
      <c r="AO430" s="9"/>
      <c r="AP430" s="9"/>
    </row>
    <row r="431" spans="1:42" x14ac:dyDescent="0.55000000000000004">
      <c r="A431" t="str">
        <f t="shared" si="6"/>
        <v/>
      </c>
      <c r="C431" s="103"/>
      <c r="D431" s="110"/>
      <c r="E431" s="110"/>
      <c r="F431" s="110"/>
      <c r="G431" s="110"/>
      <c r="H431" s="110"/>
      <c r="I431" s="110"/>
      <c r="J431" s="110"/>
      <c r="K431" s="110"/>
      <c r="L431" s="110"/>
      <c r="M431" s="110"/>
      <c r="N431" s="110"/>
      <c r="O431" s="110"/>
      <c r="P431" s="110"/>
      <c r="Q431" s="110"/>
      <c r="R431" s="110"/>
      <c r="S431" s="110"/>
      <c r="T431" s="110"/>
      <c r="U431" s="49"/>
      <c r="V431" s="49"/>
      <c r="W431" s="49"/>
      <c r="X431" s="49"/>
      <c r="Y431" s="49"/>
      <c r="Z431" s="49"/>
      <c r="AA431" s="49"/>
      <c r="AB431" s="49"/>
      <c r="AC431" s="49"/>
      <c r="AD431" s="113"/>
      <c r="AE431" s="49"/>
      <c r="AF431" s="50"/>
      <c r="AG431" s="50"/>
      <c r="AH431" s="50"/>
      <c r="AI431" s="50"/>
      <c r="AJ431" s="50"/>
      <c r="AK431" s="50"/>
      <c r="AL431" s="50"/>
      <c r="AM431" s="50"/>
      <c r="AN431" s="50"/>
      <c r="AO431" s="9"/>
      <c r="AP431" s="9"/>
    </row>
    <row r="432" spans="1:42" x14ac:dyDescent="0.55000000000000004">
      <c r="A432" t="str">
        <f t="shared" si="6"/>
        <v/>
      </c>
      <c r="C432" s="103"/>
      <c r="D432" s="110"/>
      <c r="E432" s="110"/>
      <c r="F432" s="110"/>
      <c r="G432" s="110"/>
      <c r="H432" s="110"/>
      <c r="I432" s="110"/>
      <c r="J432" s="110"/>
      <c r="K432" s="110"/>
      <c r="L432" s="110"/>
      <c r="M432" s="110"/>
      <c r="N432" s="110"/>
      <c r="O432" s="110"/>
      <c r="P432" s="110"/>
      <c r="Q432" s="110"/>
      <c r="R432" s="110"/>
      <c r="S432" s="110"/>
      <c r="T432" s="110"/>
      <c r="U432" s="49"/>
      <c r="V432" s="49"/>
      <c r="W432" s="49"/>
      <c r="X432" s="49"/>
      <c r="Y432" s="49"/>
      <c r="Z432" s="49"/>
      <c r="AA432" s="49"/>
      <c r="AB432" s="49"/>
      <c r="AC432" s="49"/>
      <c r="AD432" s="113"/>
      <c r="AE432" s="49"/>
      <c r="AF432" s="50"/>
      <c r="AG432" s="50"/>
      <c r="AH432" s="50"/>
      <c r="AI432" s="50"/>
      <c r="AJ432" s="50"/>
      <c r="AK432" s="50"/>
      <c r="AL432" s="50"/>
      <c r="AM432" s="50"/>
      <c r="AN432" s="50"/>
      <c r="AO432" s="9"/>
      <c r="AP432" s="9"/>
    </row>
    <row r="433" spans="1:42" x14ac:dyDescent="0.55000000000000004">
      <c r="A433" t="str">
        <f t="shared" si="6"/>
        <v/>
      </c>
      <c r="C433" s="103"/>
      <c r="D433" s="110"/>
      <c r="E433" s="110"/>
      <c r="F433" s="110"/>
      <c r="G433" s="110"/>
      <c r="H433" s="110"/>
      <c r="I433" s="110"/>
      <c r="J433" s="110"/>
      <c r="K433" s="110"/>
      <c r="L433" s="110"/>
      <c r="M433" s="110"/>
      <c r="N433" s="110"/>
      <c r="O433" s="110"/>
      <c r="P433" s="110"/>
      <c r="Q433" s="110"/>
      <c r="R433" s="110"/>
      <c r="S433" s="110"/>
      <c r="T433" s="110"/>
      <c r="U433" s="49"/>
      <c r="V433" s="49"/>
      <c r="W433" s="49"/>
      <c r="X433" s="49"/>
      <c r="Y433" s="49"/>
      <c r="Z433" s="49"/>
      <c r="AA433" s="49"/>
      <c r="AB433" s="49"/>
      <c r="AC433" s="49"/>
      <c r="AD433" s="113"/>
      <c r="AE433" s="49"/>
      <c r="AF433" s="50"/>
      <c r="AG433" s="50"/>
      <c r="AH433" s="50"/>
      <c r="AI433" s="50"/>
      <c r="AJ433" s="50"/>
      <c r="AK433" s="50"/>
      <c r="AL433" s="50"/>
      <c r="AM433" s="50"/>
      <c r="AN433" s="50"/>
      <c r="AO433" s="9"/>
      <c r="AP433" s="9"/>
    </row>
    <row r="434" spans="1:42" x14ac:dyDescent="0.55000000000000004">
      <c r="A434" t="str">
        <f t="shared" si="6"/>
        <v/>
      </c>
      <c r="C434" s="103"/>
      <c r="D434" s="110"/>
      <c r="E434" s="110"/>
      <c r="F434" s="110"/>
      <c r="G434" s="110"/>
      <c r="H434" s="110"/>
      <c r="I434" s="110"/>
      <c r="J434" s="110"/>
      <c r="K434" s="110"/>
      <c r="L434" s="110"/>
      <c r="M434" s="110"/>
      <c r="N434" s="110"/>
      <c r="O434" s="110"/>
      <c r="P434" s="110"/>
      <c r="Q434" s="110"/>
      <c r="R434" s="110"/>
      <c r="S434" s="110"/>
      <c r="T434" s="110"/>
      <c r="U434" s="49"/>
      <c r="V434" s="49"/>
      <c r="W434" s="49"/>
      <c r="X434" s="49"/>
      <c r="Y434" s="49"/>
      <c r="Z434" s="49"/>
      <c r="AA434" s="49"/>
      <c r="AB434" s="49"/>
      <c r="AC434" s="49"/>
      <c r="AD434" s="113"/>
      <c r="AE434" s="49"/>
      <c r="AF434" s="50"/>
      <c r="AG434" s="50"/>
      <c r="AH434" s="50"/>
      <c r="AI434" s="50"/>
      <c r="AJ434" s="50"/>
      <c r="AK434" s="50"/>
      <c r="AL434" s="50"/>
      <c r="AM434" s="50"/>
      <c r="AN434" s="50"/>
      <c r="AO434" s="9"/>
      <c r="AP434" s="9"/>
    </row>
    <row r="435" spans="1:42" x14ac:dyDescent="0.55000000000000004">
      <c r="A435" t="str">
        <f t="shared" si="6"/>
        <v/>
      </c>
      <c r="C435" s="103"/>
      <c r="D435" s="110"/>
      <c r="E435" s="110"/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49"/>
      <c r="V435" s="49"/>
      <c r="W435" s="49"/>
      <c r="X435" s="49"/>
      <c r="Y435" s="49"/>
      <c r="Z435" s="49"/>
      <c r="AA435" s="49"/>
      <c r="AB435" s="49"/>
      <c r="AC435" s="49"/>
      <c r="AD435" s="113"/>
      <c r="AE435" s="49"/>
      <c r="AF435" s="50"/>
      <c r="AG435" s="50"/>
      <c r="AH435" s="50"/>
      <c r="AI435" s="50"/>
      <c r="AJ435" s="50"/>
      <c r="AK435" s="50"/>
      <c r="AL435" s="50"/>
      <c r="AM435" s="50"/>
      <c r="AN435" s="50"/>
      <c r="AO435" s="9"/>
      <c r="AP435" s="9"/>
    </row>
    <row r="436" spans="1:42" x14ac:dyDescent="0.55000000000000004">
      <c r="A436" t="str">
        <f t="shared" si="6"/>
        <v/>
      </c>
      <c r="C436" s="103"/>
      <c r="D436" s="110"/>
      <c r="E436" s="110"/>
      <c r="F436" s="110"/>
      <c r="G436" s="110"/>
      <c r="H436" s="110"/>
      <c r="I436" s="110"/>
      <c r="J436" s="110"/>
      <c r="K436" s="110"/>
      <c r="L436" s="110"/>
      <c r="M436" s="110"/>
      <c r="N436" s="110"/>
      <c r="O436" s="110"/>
      <c r="P436" s="110"/>
      <c r="Q436" s="110"/>
      <c r="R436" s="110"/>
      <c r="S436" s="110"/>
      <c r="T436" s="110"/>
      <c r="U436" s="49"/>
      <c r="V436" s="49"/>
      <c r="W436" s="49"/>
      <c r="X436" s="49"/>
      <c r="Y436" s="49"/>
      <c r="Z436" s="49"/>
      <c r="AA436" s="49"/>
      <c r="AB436" s="49"/>
      <c r="AC436" s="49"/>
      <c r="AD436" s="113"/>
      <c r="AE436" s="49"/>
      <c r="AF436" s="50"/>
      <c r="AG436" s="50"/>
      <c r="AH436" s="50"/>
      <c r="AI436" s="50"/>
      <c r="AJ436" s="50"/>
      <c r="AK436" s="50"/>
      <c r="AL436" s="50"/>
      <c r="AM436" s="50"/>
      <c r="AN436" s="50"/>
      <c r="AO436" s="9"/>
      <c r="AP436" s="9"/>
    </row>
    <row r="437" spans="1:42" x14ac:dyDescent="0.55000000000000004">
      <c r="A437" t="str">
        <f t="shared" si="6"/>
        <v/>
      </c>
      <c r="C437" s="103"/>
      <c r="D437" s="110"/>
      <c r="E437" s="110"/>
      <c r="F437" s="110"/>
      <c r="G437" s="110"/>
      <c r="H437" s="110"/>
      <c r="I437" s="110"/>
      <c r="J437" s="110"/>
      <c r="K437" s="110"/>
      <c r="L437" s="110"/>
      <c r="M437" s="110"/>
      <c r="N437" s="110"/>
      <c r="O437" s="110"/>
      <c r="P437" s="110"/>
      <c r="Q437" s="110"/>
      <c r="R437" s="110"/>
      <c r="S437" s="110"/>
      <c r="T437" s="110"/>
      <c r="U437" s="49"/>
      <c r="V437" s="49"/>
      <c r="W437" s="49"/>
      <c r="X437" s="49"/>
      <c r="Y437" s="49"/>
      <c r="Z437" s="49"/>
      <c r="AA437" s="49"/>
      <c r="AB437" s="49"/>
      <c r="AC437" s="49"/>
      <c r="AD437" s="113"/>
      <c r="AE437" s="49"/>
      <c r="AF437" s="50"/>
      <c r="AG437" s="50"/>
      <c r="AH437" s="50"/>
      <c r="AI437" s="50"/>
      <c r="AJ437" s="50"/>
      <c r="AK437" s="50"/>
      <c r="AL437" s="50"/>
      <c r="AM437" s="50"/>
      <c r="AN437" s="50"/>
      <c r="AO437" s="9"/>
      <c r="AP437" s="9"/>
    </row>
    <row r="438" spans="1:42" x14ac:dyDescent="0.55000000000000004">
      <c r="A438" t="str">
        <f t="shared" si="6"/>
        <v/>
      </c>
      <c r="C438" s="103"/>
      <c r="D438" s="110"/>
      <c r="E438" s="110"/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10"/>
      <c r="Q438" s="110"/>
      <c r="R438" s="110"/>
      <c r="S438" s="110"/>
      <c r="T438" s="110"/>
      <c r="U438" s="49"/>
      <c r="V438" s="49"/>
      <c r="W438" s="49"/>
      <c r="X438" s="49"/>
      <c r="Y438" s="49"/>
      <c r="Z438" s="49"/>
      <c r="AA438" s="49"/>
      <c r="AB438" s="49"/>
      <c r="AC438" s="49"/>
      <c r="AD438" s="113"/>
      <c r="AE438" s="49"/>
      <c r="AF438" s="50"/>
      <c r="AG438" s="50"/>
      <c r="AH438" s="50"/>
      <c r="AI438" s="50"/>
      <c r="AJ438" s="50"/>
      <c r="AK438" s="50"/>
      <c r="AL438" s="50"/>
      <c r="AM438" s="50"/>
      <c r="AN438" s="50"/>
      <c r="AO438" s="9"/>
      <c r="AP438" s="9"/>
    </row>
    <row r="439" spans="1:42" x14ac:dyDescent="0.55000000000000004">
      <c r="A439" t="str">
        <f t="shared" si="6"/>
        <v/>
      </c>
      <c r="C439" s="103"/>
      <c r="D439" s="110"/>
      <c r="E439" s="110"/>
      <c r="F439" s="110"/>
      <c r="G439" s="110"/>
      <c r="H439" s="110"/>
      <c r="I439" s="110"/>
      <c r="J439" s="110"/>
      <c r="K439" s="110"/>
      <c r="L439" s="110"/>
      <c r="M439" s="110"/>
      <c r="N439" s="110"/>
      <c r="O439" s="110"/>
      <c r="P439" s="110"/>
      <c r="Q439" s="110"/>
      <c r="R439" s="110"/>
      <c r="S439" s="110"/>
      <c r="T439" s="110"/>
      <c r="U439" s="49"/>
      <c r="V439" s="49"/>
      <c r="W439" s="49"/>
      <c r="X439" s="49"/>
      <c r="Y439" s="49"/>
      <c r="Z439" s="49"/>
      <c r="AA439" s="49"/>
      <c r="AB439" s="49"/>
      <c r="AC439" s="49"/>
      <c r="AD439" s="113"/>
      <c r="AE439" s="49"/>
      <c r="AF439" s="50"/>
      <c r="AG439" s="50"/>
      <c r="AH439" s="50"/>
      <c r="AI439" s="50"/>
      <c r="AJ439" s="50"/>
      <c r="AK439" s="50"/>
      <c r="AL439" s="50"/>
      <c r="AM439" s="50"/>
      <c r="AN439" s="50"/>
      <c r="AO439" s="9"/>
      <c r="AP439" s="9"/>
    </row>
    <row r="440" spans="1:42" x14ac:dyDescent="0.55000000000000004">
      <c r="A440" t="str">
        <f t="shared" si="6"/>
        <v/>
      </c>
      <c r="C440" s="103"/>
      <c r="D440" s="110"/>
      <c r="E440" s="110"/>
      <c r="F440" s="110"/>
      <c r="G440" s="110"/>
      <c r="H440" s="110"/>
      <c r="I440" s="110"/>
      <c r="J440" s="110"/>
      <c r="K440" s="110"/>
      <c r="L440" s="110"/>
      <c r="M440" s="110"/>
      <c r="N440" s="110"/>
      <c r="O440" s="110"/>
      <c r="P440" s="110"/>
      <c r="Q440" s="110"/>
      <c r="R440" s="110"/>
      <c r="S440" s="110"/>
      <c r="T440" s="110"/>
      <c r="U440" s="49"/>
      <c r="V440" s="49"/>
      <c r="W440" s="49"/>
      <c r="X440" s="49"/>
      <c r="Y440" s="49"/>
      <c r="Z440" s="49"/>
      <c r="AA440" s="49"/>
      <c r="AB440" s="49"/>
      <c r="AC440" s="49"/>
      <c r="AD440" s="113"/>
      <c r="AE440" s="49"/>
      <c r="AF440" s="50"/>
      <c r="AG440" s="50"/>
      <c r="AH440" s="50"/>
      <c r="AI440" s="50"/>
      <c r="AJ440" s="50"/>
      <c r="AK440" s="50"/>
      <c r="AL440" s="50"/>
      <c r="AM440" s="50"/>
      <c r="AN440" s="50"/>
      <c r="AO440" s="9"/>
      <c r="AP440" s="9"/>
    </row>
    <row r="441" spans="1:42" x14ac:dyDescent="0.55000000000000004">
      <c r="A441" t="str">
        <f t="shared" si="6"/>
        <v/>
      </c>
      <c r="C441" s="103"/>
      <c r="D441" s="110"/>
      <c r="E441" s="110"/>
      <c r="F441" s="110"/>
      <c r="G441" s="110"/>
      <c r="H441" s="110"/>
      <c r="I441" s="110"/>
      <c r="J441" s="110"/>
      <c r="K441" s="110"/>
      <c r="L441" s="110"/>
      <c r="M441" s="110"/>
      <c r="N441" s="110"/>
      <c r="O441" s="110"/>
      <c r="P441" s="110"/>
      <c r="Q441" s="110"/>
      <c r="R441" s="110"/>
      <c r="S441" s="110"/>
      <c r="T441" s="110"/>
      <c r="U441" s="49"/>
      <c r="V441" s="49"/>
      <c r="W441" s="49"/>
      <c r="X441" s="49"/>
      <c r="Y441" s="49"/>
      <c r="Z441" s="49"/>
      <c r="AA441" s="49"/>
      <c r="AB441" s="49"/>
      <c r="AC441" s="49"/>
      <c r="AD441" s="113"/>
      <c r="AE441" s="49"/>
      <c r="AF441" s="50"/>
      <c r="AG441" s="50"/>
      <c r="AH441" s="50"/>
      <c r="AI441" s="50"/>
      <c r="AJ441" s="50"/>
      <c r="AK441" s="50"/>
      <c r="AL441" s="50"/>
      <c r="AM441" s="50"/>
      <c r="AN441" s="50"/>
      <c r="AO441" s="9"/>
      <c r="AP441" s="9"/>
    </row>
    <row r="442" spans="1:42" x14ac:dyDescent="0.55000000000000004">
      <c r="A442" t="str">
        <f t="shared" si="6"/>
        <v/>
      </c>
      <c r="C442" s="103"/>
      <c r="D442" s="110"/>
      <c r="E442" s="110"/>
      <c r="F442" s="110"/>
      <c r="G442" s="110"/>
      <c r="H442" s="110"/>
      <c r="I442" s="110"/>
      <c r="J442" s="110"/>
      <c r="K442" s="110"/>
      <c r="L442" s="110"/>
      <c r="M442" s="110"/>
      <c r="N442" s="110"/>
      <c r="O442" s="110"/>
      <c r="P442" s="110"/>
      <c r="Q442" s="110"/>
      <c r="R442" s="110"/>
      <c r="S442" s="110"/>
      <c r="T442" s="110"/>
      <c r="U442" s="49"/>
      <c r="V442" s="49"/>
      <c r="W442" s="49"/>
      <c r="X442" s="49"/>
      <c r="Y442" s="49"/>
      <c r="Z442" s="49"/>
      <c r="AA442" s="49"/>
      <c r="AB442" s="49"/>
      <c r="AC442" s="49"/>
      <c r="AD442" s="113"/>
      <c r="AE442" s="49"/>
      <c r="AF442" s="50"/>
      <c r="AG442" s="50"/>
      <c r="AH442" s="50"/>
      <c r="AI442" s="50"/>
      <c r="AJ442" s="50"/>
      <c r="AK442" s="50"/>
      <c r="AL442" s="50"/>
      <c r="AM442" s="50"/>
      <c r="AN442" s="50"/>
      <c r="AO442" s="9"/>
      <c r="AP442" s="9"/>
    </row>
    <row r="443" spans="1:42" x14ac:dyDescent="0.55000000000000004">
      <c r="A443" t="str">
        <f t="shared" si="6"/>
        <v/>
      </c>
      <c r="C443" s="103"/>
      <c r="D443" s="110"/>
      <c r="E443" s="110"/>
      <c r="F443" s="110"/>
      <c r="G443" s="110"/>
      <c r="H443" s="110"/>
      <c r="I443" s="110"/>
      <c r="J443" s="110"/>
      <c r="K443" s="110"/>
      <c r="L443" s="110"/>
      <c r="M443" s="110"/>
      <c r="N443" s="110"/>
      <c r="O443" s="110"/>
      <c r="P443" s="110"/>
      <c r="Q443" s="110"/>
      <c r="R443" s="110"/>
      <c r="S443" s="110"/>
      <c r="T443" s="110"/>
      <c r="U443" s="49"/>
      <c r="V443" s="49"/>
      <c r="W443" s="49"/>
      <c r="X443" s="49"/>
      <c r="Y443" s="49"/>
      <c r="Z443" s="49"/>
      <c r="AA443" s="49"/>
      <c r="AB443" s="49"/>
      <c r="AC443" s="49"/>
      <c r="AD443" s="113"/>
      <c r="AE443" s="49"/>
      <c r="AF443" s="50"/>
      <c r="AG443" s="50"/>
      <c r="AH443" s="50"/>
      <c r="AI443" s="50"/>
      <c r="AJ443" s="50"/>
      <c r="AK443" s="50"/>
      <c r="AL443" s="50"/>
      <c r="AM443" s="50"/>
      <c r="AN443" s="50"/>
      <c r="AO443" s="9"/>
      <c r="AP443" s="9"/>
    </row>
    <row r="444" spans="1:42" x14ac:dyDescent="0.55000000000000004">
      <c r="A444" t="str">
        <f t="shared" si="6"/>
        <v/>
      </c>
      <c r="C444" s="103"/>
      <c r="D444" s="110"/>
      <c r="E444" s="110"/>
      <c r="F444" s="110"/>
      <c r="G444" s="110"/>
      <c r="H444" s="110"/>
      <c r="I444" s="110"/>
      <c r="J444" s="110"/>
      <c r="K444" s="110"/>
      <c r="L444" s="110"/>
      <c r="M444" s="110"/>
      <c r="N444" s="110"/>
      <c r="O444" s="110"/>
      <c r="P444" s="110"/>
      <c r="Q444" s="110"/>
      <c r="R444" s="110"/>
      <c r="S444" s="110"/>
      <c r="T444" s="110"/>
      <c r="U444" s="49"/>
      <c r="V444" s="49"/>
      <c r="W444" s="49"/>
      <c r="X444" s="49"/>
      <c r="Y444" s="49"/>
      <c r="Z444" s="49"/>
      <c r="AA444" s="49"/>
      <c r="AB444" s="49"/>
      <c r="AC444" s="49"/>
      <c r="AD444" s="113"/>
      <c r="AE444" s="49"/>
      <c r="AF444" s="50"/>
      <c r="AG444" s="50"/>
      <c r="AH444" s="50"/>
      <c r="AI444" s="50"/>
      <c r="AJ444" s="50"/>
      <c r="AK444" s="50"/>
      <c r="AL444" s="50"/>
      <c r="AM444" s="50"/>
      <c r="AN444" s="50"/>
      <c r="AO444" s="9"/>
      <c r="AP444" s="9"/>
    </row>
    <row r="445" spans="1:42" x14ac:dyDescent="0.55000000000000004">
      <c r="A445" t="str">
        <f t="shared" si="6"/>
        <v/>
      </c>
      <c r="C445" s="103"/>
      <c r="D445" s="110"/>
      <c r="E445" s="110"/>
      <c r="F445" s="110"/>
      <c r="G445" s="110"/>
      <c r="H445" s="110"/>
      <c r="I445" s="110"/>
      <c r="J445" s="110"/>
      <c r="K445" s="110"/>
      <c r="L445" s="110"/>
      <c r="M445" s="110"/>
      <c r="N445" s="110"/>
      <c r="O445" s="110"/>
      <c r="P445" s="110"/>
      <c r="Q445" s="110"/>
      <c r="R445" s="110"/>
      <c r="S445" s="110"/>
      <c r="T445" s="110"/>
      <c r="U445" s="49"/>
      <c r="V445" s="49"/>
      <c r="W445" s="49"/>
      <c r="X445" s="49"/>
      <c r="Y445" s="49"/>
      <c r="Z445" s="49"/>
      <c r="AA445" s="49"/>
      <c r="AB445" s="49"/>
      <c r="AC445" s="49"/>
      <c r="AD445" s="113"/>
      <c r="AE445" s="49"/>
      <c r="AF445" s="50"/>
      <c r="AG445" s="50"/>
      <c r="AH445" s="50"/>
      <c r="AI445" s="50"/>
      <c r="AJ445" s="50"/>
      <c r="AK445" s="50"/>
      <c r="AL445" s="50"/>
      <c r="AM445" s="50"/>
      <c r="AN445" s="50"/>
      <c r="AO445" s="9"/>
      <c r="AP445" s="9"/>
    </row>
    <row r="446" spans="1:42" x14ac:dyDescent="0.55000000000000004">
      <c r="A446" t="str">
        <f t="shared" si="6"/>
        <v/>
      </c>
      <c r="C446" s="103"/>
      <c r="D446" s="110"/>
      <c r="E446" s="110"/>
      <c r="F446" s="110"/>
      <c r="G446" s="110"/>
      <c r="H446" s="110"/>
      <c r="I446" s="110"/>
      <c r="J446" s="110"/>
      <c r="K446" s="110"/>
      <c r="L446" s="110"/>
      <c r="M446" s="110"/>
      <c r="N446" s="110"/>
      <c r="O446" s="110"/>
      <c r="P446" s="110"/>
      <c r="Q446" s="110"/>
      <c r="R446" s="110"/>
      <c r="S446" s="110"/>
      <c r="T446" s="110"/>
      <c r="U446" s="49"/>
      <c r="V446" s="49"/>
      <c r="W446" s="49"/>
      <c r="X446" s="49"/>
      <c r="Y446" s="49"/>
      <c r="Z446" s="49"/>
      <c r="AA446" s="49"/>
      <c r="AB446" s="49"/>
      <c r="AC446" s="49"/>
      <c r="AD446" s="113"/>
      <c r="AE446" s="49"/>
      <c r="AF446" s="50"/>
      <c r="AG446" s="50"/>
      <c r="AH446" s="50"/>
      <c r="AI446" s="50"/>
      <c r="AJ446" s="50"/>
      <c r="AK446" s="50"/>
      <c r="AL446" s="50"/>
      <c r="AM446" s="50"/>
      <c r="AN446" s="50"/>
      <c r="AO446" s="9"/>
      <c r="AP446" s="9"/>
    </row>
    <row r="447" spans="1:42" x14ac:dyDescent="0.55000000000000004">
      <c r="A447" t="str">
        <f t="shared" si="6"/>
        <v/>
      </c>
      <c r="C447" s="103"/>
      <c r="D447" s="110"/>
      <c r="E447" s="110"/>
      <c r="F447" s="110"/>
      <c r="G447" s="110"/>
      <c r="H447" s="110"/>
      <c r="I447" s="110"/>
      <c r="J447" s="110"/>
      <c r="K447" s="110"/>
      <c r="L447" s="110"/>
      <c r="M447" s="110"/>
      <c r="N447" s="110"/>
      <c r="O447" s="110"/>
      <c r="P447" s="110"/>
      <c r="Q447" s="110"/>
      <c r="R447" s="110"/>
      <c r="S447" s="110"/>
      <c r="T447" s="110"/>
      <c r="U447" s="49"/>
      <c r="V447" s="49"/>
      <c r="W447" s="49"/>
      <c r="X447" s="49"/>
      <c r="Y447" s="49"/>
      <c r="Z447" s="49"/>
      <c r="AA447" s="49"/>
      <c r="AB447" s="49"/>
      <c r="AC447" s="49"/>
      <c r="AD447" s="113"/>
      <c r="AE447" s="49"/>
      <c r="AF447" s="50"/>
      <c r="AG447" s="50"/>
      <c r="AH447" s="50"/>
      <c r="AI447" s="50"/>
      <c r="AJ447" s="50"/>
      <c r="AK447" s="50"/>
      <c r="AL447" s="50"/>
      <c r="AM447" s="50"/>
      <c r="AN447" s="50"/>
      <c r="AO447" s="9"/>
      <c r="AP447" s="9"/>
    </row>
    <row r="448" spans="1:42" x14ac:dyDescent="0.55000000000000004">
      <c r="A448" t="str">
        <f t="shared" si="6"/>
        <v/>
      </c>
      <c r="C448" s="103"/>
      <c r="D448" s="110"/>
      <c r="E448" s="110"/>
      <c r="F448" s="110"/>
      <c r="G448" s="110"/>
      <c r="H448" s="110"/>
      <c r="I448" s="110"/>
      <c r="J448" s="110"/>
      <c r="K448" s="110"/>
      <c r="L448" s="110"/>
      <c r="M448" s="110"/>
      <c r="N448" s="110"/>
      <c r="O448" s="110"/>
      <c r="P448" s="110"/>
      <c r="Q448" s="110"/>
      <c r="R448" s="110"/>
      <c r="S448" s="110"/>
      <c r="T448" s="110"/>
      <c r="U448" s="49"/>
      <c r="V448" s="49"/>
      <c r="W448" s="49"/>
      <c r="X448" s="49"/>
      <c r="Y448" s="49"/>
      <c r="Z448" s="49"/>
      <c r="AA448" s="49"/>
      <c r="AB448" s="49"/>
      <c r="AC448" s="49"/>
      <c r="AD448" s="113"/>
      <c r="AE448" s="49"/>
      <c r="AF448" s="50"/>
      <c r="AG448" s="50"/>
      <c r="AH448" s="50"/>
      <c r="AI448" s="50"/>
      <c r="AJ448" s="50"/>
      <c r="AK448" s="50"/>
      <c r="AL448" s="50"/>
      <c r="AM448" s="50"/>
      <c r="AN448" s="50"/>
      <c r="AO448" s="9"/>
      <c r="AP448" s="9"/>
    </row>
    <row r="449" spans="1:42" x14ac:dyDescent="0.55000000000000004">
      <c r="A449" t="str">
        <f t="shared" si="6"/>
        <v/>
      </c>
      <c r="C449" s="103"/>
      <c r="D449" s="110"/>
      <c r="E449" s="110"/>
      <c r="F449" s="110"/>
      <c r="G449" s="110"/>
      <c r="H449" s="110"/>
      <c r="I449" s="110"/>
      <c r="J449" s="110"/>
      <c r="K449" s="110"/>
      <c r="L449" s="110"/>
      <c r="M449" s="110"/>
      <c r="N449" s="110"/>
      <c r="O449" s="110"/>
      <c r="P449" s="110"/>
      <c r="Q449" s="110"/>
      <c r="R449" s="110"/>
      <c r="S449" s="110"/>
      <c r="T449" s="110"/>
      <c r="U449" s="49"/>
      <c r="V449" s="49"/>
      <c r="W449" s="49"/>
      <c r="X449" s="49"/>
      <c r="Y449" s="49"/>
      <c r="Z449" s="49"/>
      <c r="AA449" s="49"/>
      <c r="AB449" s="49"/>
      <c r="AC449" s="49"/>
      <c r="AD449" s="113"/>
      <c r="AE449" s="49"/>
      <c r="AF449" s="50"/>
      <c r="AG449" s="50"/>
      <c r="AH449" s="50"/>
      <c r="AI449" s="50"/>
      <c r="AJ449" s="50"/>
      <c r="AK449" s="50"/>
      <c r="AL449" s="50"/>
      <c r="AM449" s="50"/>
      <c r="AN449" s="50"/>
      <c r="AO449" s="9"/>
      <c r="AP449" s="9"/>
    </row>
    <row r="450" spans="1:42" x14ac:dyDescent="0.55000000000000004">
      <c r="A450" t="str">
        <f t="shared" si="6"/>
        <v/>
      </c>
      <c r="C450" s="103"/>
      <c r="D450" s="110"/>
      <c r="E450" s="110"/>
      <c r="F450" s="110"/>
      <c r="G450" s="110"/>
      <c r="H450" s="110"/>
      <c r="I450" s="110"/>
      <c r="J450" s="110"/>
      <c r="K450" s="110"/>
      <c r="L450" s="110"/>
      <c r="M450" s="110"/>
      <c r="N450" s="110"/>
      <c r="O450" s="110"/>
      <c r="P450" s="110"/>
      <c r="Q450" s="110"/>
      <c r="R450" s="110"/>
      <c r="S450" s="110"/>
      <c r="T450" s="110"/>
      <c r="U450" s="49"/>
      <c r="V450" s="49"/>
      <c r="W450" s="49"/>
      <c r="X450" s="49"/>
      <c r="Y450" s="49"/>
      <c r="Z450" s="49"/>
      <c r="AA450" s="49"/>
      <c r="AB450" s="49"/>
      <c r="AC450" s="49"/>
      <c r="AD450" s="113"/>
      <c r="AE450" s="49"/>
      <c r="AF450" s="50"/>
      <c r="AG450" s="50"/>
      <c r="AH450" s="50"/>
      <c r="AI450" s="50"/>
      <c r="AJ450" s="50"/>
      <c r="AK450" s="50"/>
      <c r="AL450" s="50"/>
      <c r="AM450" s="50"/>
      <c r="AN450" s="50"/>
      <c r="AO450" s="9"/>
      <c r="AP450" s="9"/>
    </row>
    <row r="451" spans="1:42" x14ac:dyDescent="0.55000000000000004">
      <c r="A451" t="str">
        <f t="shared" ref="A451:A514" si="7">H451&amp;I451&amp;J451</f>
        <v/>
      </c>
      <c r="C451" s="103"/>
      <c r="D451" s="110"/>
      <c r="E451" s="110"/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49"/>
      <c r="V451" s="49"/>
      <c r="W451" s="49"/>
      <c r="X451" s="49"/>
      <c r="Y451" s="49"/>
      <c r="Z451" s="49"/>
      <c r="AA451" s="49"/>
      <c r="AB451" s="49"/>
      <c r="AC451" s="49"/>
      <c r="AD451" s="113"/>
      <c r="AE451" s="49"/>
      <c r="AF451" s="50"/>
      <c r="AG451" s="50"/>
      <c r="AH451" s="50"/>
      <c r="AI451" s="50"/>
      <c r="AJ451" s="50"/>
      <c r="AK451" s="50"/>
      <c r="AL451" s="50"/>
      <c r="AM451" s="50"/>
      <c r="AN451" s="50"/>
      <c r="AO451" s="9"/>
      <c r="AP451" s="9"/>
    </row>
    <row r="452" spans="1:42" x14ac:dyDescent="0.55000000000000004">
      <c r="A452" t="str">
        <f t="shared" si="7"/>
        <v/>
      </c>
      <c r="C452" s="103"/>
      <c r="D452" s="110"/>
      <c r="E452" s="110"/>
      <c r="F452" s="110"/>
      <c r="G452" s="110"/>
      <c r="H452" s="110"/>
      <c r="I452" s="110"/>
      <c r="J452" s="110"/>
      <c r="K452" s="110"/>
      <c r="L452" s="110"/>
      <c r="M452" s="110"/>
      <c r="N452" s="110"/>
      <c r="O452" s="110"/>
      <c r="P452" s="110"/>
      <c r="Q452" s="110"/>
      <c r="R452" s="110"/>
      <c r="S452" s="110"/>
      <c r="T452" s="110"/>
      <c r="U452" s="49"/>
      <c r="V452" s="49"/>
      <c r="W452" s="49"/>
      <c r="X452" s="49"/>
      <c r="Y452" s="49"/>
      <c r="Z452" s="49"/>
      <c r="AA452" s="49"/>
      <c r="AB452" s="49"/>
      <c r="AC452" s="49"/>
      <c r="AD452" s="113"/>
      <c r="AE452" s="49"/>
      <c r="AF452" s="50"/>
      <c r="AG452" s="50"/>
      <c r="AH452" s="50"/>
      <c r="AI452" s="50"/>
      <c r="AJ452" s="50"/>
      <c r="AK452" s="50"/>
      <c r="AL452" s="50"/>
      <c r="AM452" s="50"/>
      <c r="AN452" s="50"/>
      <c r="AO452" s="9"/>
      <c r="AP452" s="9"/>
    </row>
    <row r="453" spans="1:42" x14ac:dyDescent="0.55000000000000004">
      <c r="A453" t="str">
        <f t="shared" si="7"/>
        <v/>
      </c>
      <c r="C453" s="103"/>
      <c r="D453" s="110"/>
      <c r="E453" s="110"/>
      <c r="F453" s="110"/>
      <c r="G453" s="110"/>
      <c r="H453" s="110"/>
      <c r="I453" s="110"/>
      <c r="J453" s="110"/>
      <c r="K453" s="110"/>
      <c r="L453" s="110"/>
      <c r="M453" s="110"/>
      <c r="N453" s="110"/>
      <c r="O453" s="110"/>
      <c r="P453" s="110"/>
      <c r="Q453" s="110"/>
      <c r="R453" s="110"/>
      <c r="S453" s="110"/>
      <c r="T453" s="110"/>
      <c r="U453" s="49"/>
      <c r="V453" s="49"/>
      <c r="W453" s="49"/>
      <c r="X453" s="49"/>
      <c r="Y453" s="49"/>
      <c r="Z453" s="49"/>
      <c r="AA453" s="49"/>
      <c r="AB453" s="49"/>
      <c r="AC453" s="49"/>
      <c r="AD453" s="113"/>
      <c r="AE453" s="49"/>
      <c r="AF453" s="50"/>
      <c r="AG453" s="50"/>
      <c r="AH453" s="50"/>
      <c r="AI453" s="50"/>
      <c r="AJ453" s="50"/>
      <c r="AK453" s="50"/>
      <c r="AL453" s="50"/>
      <c r="AM453" s="50"/>
      <c r="AN453" s="50"/>
      <c r="AO453" s="9"/>
      <c r="AP453" s="9"/>
    </row>
    <row r="454" spans="1:42" x14ac:dyDescent="0.55000000000000004">
      <c r="A454" t="str">
        <f t="shared" si="7"/>
        <v/>
      </c>
      <c r="C454" s="103"/>
      <c r="D454" s="110"/>
      <c r="E454" s="110"/>
      <c r="F454" s="110"/>
      <c r="G454" s="110"/>
      <c r="H454" s="110"/>
      <c r="I454" s="110"/>
      <c r="J454" s="110"/>
      <c r="K454" s="110"/>
      <c r="L454" s="110"/>
      <c r="M454" s="110"/>
      <c r="N454" s="110"/>
      <c r="O454" s="110"/>
      <c r="P454" s="110"/>
      <c r="Q454" s="110"/>
      <c r="R454" s="110"/>
      <c r="S454" s="110"/>
      <c r="T454" s="110"/>
      <c r="U454" s="49"/>
      <c r="V454" s="49"/>
      <c r="W454" s="49"/>
      <c r="X454" s="49"/>
      <c r="Y454" s="49"/>
      <c r="Z454" s="49"/>
      <c r="AA454" s="49"/>
      <c r="AB454" s="49"/>
      <c r="AC454" s="49"/>
      <c r="AD454" s="113"/>
      <c r="AE454" s="49"/>
      <c r="AF454" s="50"/>
      <c r="AG454" s="50"/>
      <c r="AH454" s="50"/>
      <c r="AI454" s="50"/>
      <c r="AJ454" s="50"/>
      <c r="AK454" s="50"/>
      <c r="AL454" s="50"/>
      <c r="AM454" s="50"/>
      <c r="AN454" s="50"/>
      <c r="AO454" s="9"/>
      <c r="AP454" s="9"/>
    </row>
    <row r="455" spans="1:42" x14ac:dyDescent="0.55000000000000004">
      <c r="A455" t="str">
        <f t="shared" si="7"/>
        <v/>
      </c>
      <c r="C455" s="103"/>
      <c r="D455" s="110"/>
      <c r="E455" s="110"/>
      <c r="F455" s="110"/>
      <c r="G455" s="110"/>
      <c r="H455" s="110"/>
      <c r="I455" s="110"/>
      <c r="J455" s="110"/>
      <c r="K455" s="110"/>
      <c r="L455" s="110"/>
      <c r="M455" s="110"/>
      <c r="N455" s="110"/>
      <c r="O455" s="110"/>
      <c r="P455" s="110"/>
      <c r="Q455" s="110"/>
      <c r="R455" s="110"/>
      <c r="S455" s="110"/>
      <c r="T455" s="110"/>
      <c r="U455" s="49"/>
      <c r="V455" s="49"/>
      <c r="W455" s="49"/>
      <c r="X455" s="49"/>
      <c r="Y455" s="49"/>
      <c r="Z455" s="49"/>
      <c r="AA455" s="49"/>
      <c r="AB455" s="49"/>
      <c r="AC455" s="49"/>
      <c r="AD455" s="113"/>
      <c r="AE455" s="49"/>
      <c r="AF455" s="50"/>
      <c r="AG455" s="50"/>
      <c r="AH455" s="50"/>
      <c r="AI455" s="50"/>
      <c r="AJ455" s="50"/>
      <c r="AK455" s="50"/>
      <c r="AL455" s="50"/>
      <c r="AM455" s="50"/>
      <c r="AN455" s="50"/>
      <c r="AO455" s="9"/>
      <c r="AP455" s="9"/>
    </row>
    <row r="456" spans="1:42" x14ac:dyDescent="0.55000000000000004">
      <c r="A456" t="str">
        <f t="shared" si="7"/>
        <v/>
      </c>
      <c r="C456" s="103"/>
      <c r="D456" s="110"/>
      <c r="E456" s="112"/>
      <c r="F456" s="110"/>
      <c r="G456" s="112"/>
      <c r="H456" s="110"/>
      <c r="I456" s="110"/>
      <c r="J456" s="110"/>
      <c r="K456" s="110"/>
      <c r="L456" s="110"/>
      <c r="M456" s="110"/>
      <c r="N456" s="110"/>
      <c r="O456" s="110"/>
      <c r="P456" s="110"/>
      <c r="Q456" s="110"/>
      <c r="R456" s="110"/>
      <c r="S456" s="110"/>
      <c r="T456" s="110"/>
      <c r="U456" s="49"/>
      <c r="V456" s="49"/>
      <c r="W456" s="49"/>
      <c r="X456" s="49"/>
      <c r="Y456" s="49"/>
      <c r="Z456" s="49"/>
      <c r="AA456" s="49"/>
      <c r="AB456" s="49"/>
      <c r="AC456" s="49"/>
      <c r="AD456" s="113"/>
      <c r="AE456" s="49"/>
      <c r="AF456" s="50"/>
      <c r="AG456" s="50"/>
      <c r="AH456" s="50"/>
      <c r="AI456" s="50"/>
      <c r="AJ456" s="50"/>
      <c r="AK456" s="50"/>
      <c r="AL456" s="50"/>
      <c r="AM456" s="50"/>
      <c r="AN456" s="50"/>
      <c r="AO456" s="9"/>
      <c r="AP456" s="9"/>
    </row>
    <row r="457" spans="1:42" x14ac:dyDescent="0.55000000000000004">
      <c r="A457" t="str">
        <f t="shared" si="7"/>
        <v/>
      </c>
      <c r="C457" s="103"/>
      <c r="D457" s="110"/>
      <c r="E457" s="112"/>
      <c r="F457" s="110"/>
      <c r="G457" s="112"/>
      <c r="H457" s="110"/>
      <c r="I457" s="110"/>
      <c r="J457" s="110"/>
      <c r="K457" s="110"/>
      <c r="L457" s="110"/>
      <c r="M457" s="110"/>
      <c r="N457" s="110"/>
      <c r="O457" s="110"/>
      <c r="P457" s="110"/>
      <c r="Q457" s="110"/>
      <c r="R457" s="110"/>
      <c r="S457" s="110"/>
      <c r="T457" s="110"/>
      <c r="U457" s="49"/>
      <c r="V457" s="49"/>
      <c r="W457" s="49"/>
      <c r="X457" s="49"/>
      <c r="Y457" s="49"/>
      <c r="Z457" s="49"/>
      <c r="AA457" s="49"/>
      <c r="AB457" s="49"/>
      <c r="AC457" s="49"/>
      <c r="AD457" s="113"/>
      <c r="AE457" s="49"/>
      <c r="AF457" s="50"/>
      <c r="AG457" s="50"/>
      <c r="AH457" s="50"/>
      <c r="AI457" s="50"/>
      <c r="AJ457" s="50"/>
      <c r="AK457" s="50"/>
      <c r="AL457" s="50"/>
      <c r="AM457" s="50"/>
      <c r="AN457" s="50"/>
      <c r="AO457" s="9"/>
      <c r="AP457" s="9"/>
    </row>
    <row r="458" spans="1:42" x14ac:dyDescent="0.55000000000000004">
      <c r="A458" t="str">
        <f t="shared" si="7"/>
        <v/>
      </c>
      <c r="C458" s="103"/>
      <c r="D458" s="110"/>
      <c r="E458" s="112"/>
      <c r="F458" s="110"/>
      <c r="G458" s="112"/>
      <c r="H458" s="110"/>
      <c r="I458" s="110"/>
      <c r="J458" s="110"/>
      <c r="K458" s="110"/>
      <c r="L458" s="110"/>
      <c r="M458" s="110"/>
      <c r="N458" s="110"/>
      <c r="O458" s="110"/>
      <c r="P458" s="110"/>
      <c r="Q458" s="110"/>
      <c r="R458" s="110"/>
      <c r="S458" s="110"/>
      <c r="T458" s="110"/>
      <c r="U458" s="49"/>
      <c r="V458" s="49"/>
      <c r="W458" s="49"/>
      <c r="X458" s="49"/>
      <c r="Y458" s="49"/>
      <c r="Z458" s="49"/>
      <c r="AA458" s="49"/>
      <c r="AB458" s="49"/>
      <c r="AC458" s="49"/>
      <c r="AD458" s="113"/>
      <c r="AE458" s="49"/>
      <c r="AF458" s="50"/>
      <c r="AG458" s="50"/>
      <c r="AH458" s="50"/>
      <c r="AI458" s="50"/>
      <c r="AJ458" s="50"/>
      <c r="AK458" s="50"/>
      <c r="AL458" s="50"/>
      <c r="AM458" s="50"/>
      <c r="AN458" s="50"/>
      <c r="AO458" s="9"/>
      <c r="AP458" s="9"/>
    </row>
    <row r="459" spans="1:42" x14ac:dyDescent="0.55000000000000004">
      <c r="A459" t="str">
        <f t="shared" si="7"/>
        <v/>
      </c>
      <c r="C459" s="103"/>
      <c r="D459" s="110"/>
      <c r="E459" s="112"/>
      <c r="F459" s="110"/>
      <c r="G459" s="112"/>
      <c r="H459" s="110"/>
      <c r="I459" s="110"/>
      <c r="J459" s="110"/>
      <c r="K459" s="110"/>
      <c r="L459" s="110"/>
      <c r="M459" s="110"/>
      <c r="N459" s="110"/>
      <c r="O459" s="110"/>
      <c r="P459" s="110"/>
      <c r="Q459" s="110"/>
      <c r="R459" s="110"/>
      <c r="S459" s="110"/>
      <c r="T459" s="110"/>
      <c r="U459" s="49"/>
      <c r="V459" s="49"/>
      <c r="W459" s="49"/>
      <c r="X459" s="49"/>
      <c r="Y459" s="49"/>
      <c r="Z459" s="49"/>
      <c r="AA459" s="49"/>
      <c r="AB459" s="49"/>
      <c r="AC459" s="49"/>
      <c r="AD459" s="113"/>
      <c r="AE459" s="49"/>
      <c r="AF459" s="50"/>
      <c r="AG459" s="50"/>
      <c r="AH459" s="50"/>
      <c r="AI459" s="50"/>
      <c r="AJ459" s="50"/>
      <c r="AK459" s="50"/>
      <c r="AL459" s="50"/>
      <c r="AM459" s="50"/>
      <c r="AN459" s="50"/>
      <c r="AO459" s="9"/>
      <c r="AP459" s="9"/>
    </row>
    <row r="460" spans="1:42" x14ac:dyDescent="0.55000000000000004">
      <c r="A460" t="str">
        <f t="shared" si="7"/>
        <v/>
      </c>
      <c r="C460" s="103"/>
      <c r="D460" s="110"/>
      <c r="E460" s="112"/>
      <c r="F460" s="110"/>
      <c r="G460" s="112"/>
      <c r="H460" s="110"/>
      <c r="I460" s="110"/>
      <c r="J460" s="110"/>
      <c r="K460" s="110"/>
      <c r="L460" s="110"/>
      <c r="M460" s="110"/>
      <c r="N460" s="110"/>
      <c r="O460" s="110"/>
      <c r="P460" s="110"/>
      <c r="Q460" s="110"/>
      <c r="R460" s="110"/>
      <c r="S460" s="110"/>
      <c r="T460" s="110"/>
      <c r="U460" s="49"/>
      <c r="V460" s="49"/>
      <c r="W460" s="49"/>
      <c r="X460" s="49"/>
      <c r="Y460" s="49"/>
      <c r="Z460" s="49"/>
      <c r="AA460" s="49"/>
      <c r="AB460" s="49"/>
      <c r="AC460" s="49"/>
      <c r="AD460" s="113"/>
      <c r="AE460" s="49"/>
      <c r="AF460" s="50"/>
      <c r="AG460" s="50"/>
      <c r="AH460" s="50"/>
      <c r="AI460" s="50"/>
      <c r="AJ460" s="50"/>
      <c r="AK460" s="50"/>
      <c r="AL460" s="50"/>
      <c r="AM460" s="50"/>
      <c r="AN460" s="50"/>
      <c r="AO460" s="9"/>
      <c r="AP460" s="9"/>
    </row>
    <row r="461" spans="1:42" x14ac:dyDescent="0.55000000000000004">
      <c r="A461" t="str">
        <f t="shared" si="7"/>
        <v/>
      </c>
      <c r="C461" s="103"/>
      <c r="D461" s="110"/>
      <c r="E461" s="112"/>
      <c r="F461" s="110"/>
      <c r="G461" s="112"/>
      <c r="H461" s="110"/>
      <c r="I461" s="110"/>
      <c r="J461" s="110"/>
      <c r="K461" s="110"/>
      <c r="L461" s="110"/>
      <c r="M461" s="110"/>
      <c r="N461" s="110"/>
      <c r="O461" s="110"/>
      <c r="P461" s="110"/>
      <c r="Q461" s="110"/>
      <c r="R461" s="110"/>
      <c r="S461" s="110"/>
      <c r="T461" s="110"/>
      <c r="U461" s="49"/>
      <c r="V461" s="49"/>
      <c r="W461" s="49"/>
      <c r="X461" s="49"/>
      <c r="Y461" s="49"/>
      <c r="Z461" s="49"/>
      <c r="AA461" s="49"/>
      <c r="AB461" s="49"/>
      <c r="AC461" s="49"/>
      <c r="AD461" s="113"/>
      <c r="AE461" s="49"/>
      <c r="AF461" s="50"/>
      <c r="AG461" s="50"/>
      <c r="AH461" s="50"/>
      <c r="AI461" s="50"/>
      <c r="AJ461" s="50"/>
      <c r="AK461" s="50"/>
      <c r="AL461" s="50"/>
      <c r="AM461" s="50"/>
      <c r="AN461" s="50"/>
      <c r="AO461" s="9"/>
      <c r="AP461" s="9"/>
    </row>
    <row r="462" spans="1:42" x14ac:dyDescent="0.55000000000000004">
      <c r="A462" t="str">
        <f t="shared" si="7"/>
        <v/>
      </c>
      <c r="C462" s="103"/>
      <c r="D462" s="110"/>
      <c r="E462" s="112"/>
      <c r="F462" s="110"/>
      <c r="G462" s="112"/>
      <c r="H462" s="110"/>
      <c r="I462" s="110"/>
      <c r="J462" s="110"/>
      <c r="K462" s="110"/>
      <c r="L462" s="110"/>
      <c r="M462" s="110"/>
      <c r="N462" s="110"/>
      <c r="O462" s="110"/>
      <c r="P462" s="110"/>
      <c r="Q462" s="110"/>
      <c r="R462" s="110"/>
      <c r="S462" s="110"/>
      <c r="T462" s="110"/>
      <c r="U462" s="49"/>
      <c r="V462" s="49"/>
      <c r="W462" s="49"/>
      <c r="X462" s="49"/>
      <c r="Y462" s="49"/>
      <c r="Z462" s="49"/>
      <c r="AA462" s="49"/>
      <c r="AB462" s="49"/>
      <c r="AC462" s="49"/>
      <c r="AD462" s="113"/>
      <c r="AE462" s="49"/>
      <c r="AF462" s="50"/>
      <c r="AG462" s="50"/>
      <c r="AH462" s="50"/>
      <c r="AI462" s="50"/>
      <c r="AJ462" s="50"/>
      <c r="AK462" s="50"/>
      <c r="AL462" s="50"/>
      <c r="AM462" s="50"/>
      <c r="AN462" s="50"/>
      <c r="AO462" s="9"/>
      <c r="AP462" s="9"/>
    </row>
    <row r="463" spans="1:42" x14ac:dyDescent="0.55000000000000004">
      <c r="A463" t="str">
        <f t="shared" si="7"/>
        <v/>
      </c>
      <c r="C463" s="103"/>
      <c r="D463" s="110"/>
      <c r="E463" s="112"/>
      <c r="F463" s="110"/>
      <c r="G463" s="112"/>
      <c r="H463" s="110"/>
      <c r="I463" s="110"/>
      <c r="J463" s="110"/>
      <c r="K463" s="110"/>
      <c r="L463" s="110"/>
      <c r="M463" s="110"/>
      <c r="N463" s="110"/>
      <c r="O463" s="110"/>
      <c r="P463" s="110"/>
      <c r="Q463" s="110"/>
      <c r="R463" s="110"/>
      <c r="S463" s="110"/>
      <c r="T463" s="110"/>
      <c r="U463" s="49"/>
      <c r="V463" s="49"/>
      <c r="W463" s="49"/>
      <c r="X463" s="49"/>
      <c r="Y463" s="49"/>
      <c r="Z463" s="49"/>
      <c r="AA463" s="49"/>
      <c r="AB463" s="49"/>
      <c r="AC463" s="49"/>
      <c r="AD463" s="113"/>
      <c r="AE463" s="49"/>
      <c r="AF463" s="50"/>
      <c r="AG463" s="50"/>
      <c r="AH463" s="50"/>
      <c r="AI463" s="50"/>
      <c r="AJ463" s="50"/>
      <c r="AK463" s="50"/>
      <c r="AL463" s="50"/>
      <c r="AM463" s="50"/>
      <c r="AN463" s="50"/>
      <c r="AO463" s="9"/>
      <c r="AP463" s="9"/>
    </row>
    <row r="464" spans="1:42" x14ac:dyDescent="0.55000000000000004">
      <c r="A464" t="str">
        <f t="shared" si="7"/>
        <v/>
      </c>
      <c r="C464" s="103"/>
      <c r="D464" s="110"/>
      <c r="E464" s="112"/>
      <c r="F464" s="110"/>
      <c r="G464" s="112"/>
      <c r="H464" s="110"/>
      <c r="I464" s="110"/>
      <c r="J464" s="110"/>
      <c r="K464" s="110"/>
      <c r="L464" s="110"/>
      <c r="M464" s="110"/>
      <c r="N464" s="110"/>
      <c r="O464" s="110"/>
      <c r="P464" s="110"/>
      <c r="Q464" s="110"/>
      <c r="R464" s="110"/>
      <c r="S464" s="110"/>
      <c r="T464" s="110"/>
      <c r="U464" s="49"/>
      <c r="V464" s="49"/>
      <c r="W464" s="49"/>
      <c r="X464" s="49"/>
      <c r="Y464" s="49"/>
      <c r="Z464" s="49"/>
      <c r="AA464" s="49"/>
      <c r="AB464" s="49"/>
      <c r="AC464" s="49"/>
      <c r="AD464" s="113"/>
      <c r="AE464" s="49"/>
      <c r="AF464" s="50"/>
      <c r="AG464" s="50"/>
      <c r="AH464" s="50"/>
      <c r="AI464" s="50"/>
      <c r="AJ464" s="50"/>
      <c r="AK464" s="50"/>
      <c r="AL464" s="50"/>
      <c r="AM464" s="50"/>
      <c r="AN464" s="50"/>
      <c r="AO464" s="9"/>
      <c r="AP464" s="9"/>
    </row>
    <row r="465" spans="1:42" x14ac:dyDescent="0.55000000000000004">
      <c r="A465" t="str">
        <f t="shared" si="7"/>
        <v/>
      </c>
      <c r="C465" s="103"/>
      <c r="D465" s="110"/>
      <c r="E465" s="112"/>
      <c r="F465" s="110"/>
      <c r="G465" s="112"/>
      <c r="H465" s="110"/>
      <c r="I465" s="110"/>
      <c r="J465" s="110"/>
      <c r="K465" s="110"/>
      <c r="L465" s="110"/>
      <c r="M465" s="110"/>
      <c r="N465" s="110"/>
      <c r="O465" s="110"/>
      <c r="P465" s="110"/>
      <c r="Q465" s="110"/>
      <c r="R465" s="110"/>
      <c r="S465" s="110"/>
      <c r="T465" s="110"/>
      <c r="U465" s="49"/>
      <c r="V465" s="49"/>
      <c r="W465" s="49"/>
      <c r="X465" s="49"/>
      <c r="Y465" s="49"/>
      <c r="Z465" s="49"/>
      <c r="AA465" s="49"/>
      <c r="AB465" s="49"/>
      <c r="AC465" s="49"/>
      <c r="AD465" s="113"/>
      <c r="AE465" s="49"/>
      <c r="AF465" s="50"/>
      <c r="AG465" s="50"/>
      <c r="AH465" s="50"/>
      <c r="AI465" s="50"/>
      <c r="AJ465" s="50"/>
      <c r="AK465" s="50"/>
      <c r="AL465" s="50"/>
      <c r="AM465" s="50"/>
      <c r="AN465" s="50"/>
      <c r="AO465" s="9"/>
      <c r="AP465" s="9"/>
    </row>
    <row r="466" spans="1:42" x14ac:dyDescent="0.55000000000000004">
      <c r="A466" t="str">
        <f t="shared" si="7"/>
        <v/>
      </c>
      <c r="C466" s="103"/>
      <c r="D466" s="110"/>
      <c r="E466" s="112"/>
      <c r="F466" s="110"/>
      <c r="G466" s="112"/>
      <c r="H466" s="110"/>
      <c r="I466" s="110"/>
      <c r="J466" s="110"/>
      <c r="K466" s="110"/>
      <c r="L466" s="110"/>
      <c r="M466" s="110"/>
      <c r="N466" s="110"/>
      <c r="O466" s="110"/>
      <c r="P466" s="110"/>
      <c r="Q466" s="110"/>
      <c r="R466" s="110"/>
      <c r="S466" s="110"/>
      <c r="T466" s="110"/>
      <c r="U466" s="49"/>
      <c r="V466" s="49"/>
      <c r="W466" s="49"/>
      <c r="X466" s="49"/>
      <c r="Y466" s="49"/>
      <c r="Z466" s="49"/>
      <c r="AA466" s="49"/>
      <c r="AB466" s="49"/>
      <c r="AC466" s="49"/>
      <c r="AD466" s="113"/>
      <c r="AE466" s="49"/>
      <c r="AF466" s="50"/>
      <c r="AG466" s="50"/>
      <c r="AH466" s="50"/>
      <c r="AI466" s="50"/>
      <c r="AJ466" s="50"/>
      <c r="AK466" s="50"/>
      <c r="AL466" s="50"/>
      <c r="AM466" s="50"/>
      <c r="AN466" s="50"/>
      <c r="AO466" s="9"/>
      <c r="AP466" s="9"/>
    </row>
    <row r="467" spans="1:42" x14ac:dyDescent="0.55000000000000004">
      <c r="A467" t="str">
        <f t="shared" si="7"/>
        <v/>
      </c>
      <c r="C467" s="103"/>
      <c r="D467" s="110"/>
      <c r="E467" s="112"/>
      <c r="F467" s="110"/>
      <c r="G467" s="112"/>
      <c r="H467" s="110"/>
      <c r="I467" s="110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49"/>
      <c r="V467" s="49"/>
      <c r="W467" s="49"/>
      <c r="X467" s="49"/>
      <c r="Y467" s="49"/>
      <c r="Z467" s="49"/>
      <c r="AA467" s="49"/>
      <c r="AB467" s="49"/>
      <c r="AC467" s="49"/>
      <c r="AD467" s="113"/>
      <c r="AE467" s="49"/>
      <c r="AF467" s="50"/>
      <c r="AG467" s="50"/>
      <c r="AH467" s="50"/>
      <c r="AI467" s="50"/>
      <c r="AJ467" s="50"/>
      <c r="AK467" s="50"/>
      <c r="AL467" s="50"/>
      <c r="AM467" s="50"/>
      <c r="AN467" s="50"/>
      <c r="AO467" s="9"/>
      <c r="AP467" s="9"/>
    </row>
    <row r="468" spans="1:42" x14ac:dyDescent="0.55000000000000004">
      <c r="A468" t="str">
        <f t="shared" si="7"/>
        <v/>
      </c>
      <c r="C468" s="103"/>
      <c r="D468" s="110"/>
      <c r="E468" s="112"/>
      <c r="F468" s="110"/>
      <c r="G468" s="112"/>
      <c r="H468" s="110"/>
      <c r="I468" s="110"/>
      <c r="J468" s="110"/>
      <c r="K468" s="110"/>
      <c r="L468" s="110"/>
      <c r="M468" s="110"/>
      <c r="N468" s="110"/>
      <c r="O468" s="110"/>
      <c r="P468" s="110"/>
      <c r="Q468" s="110"/>
      <c r="R468" s="110"/>
      <c r="S468" s="110"/>
      <c r="T468" s="110"/>
      <c r="U468" s="49"/>
      <c r="V468" s="49"/>
      <c r="W468" s="49"/>
      <c r="X468" s="49"/>
      <c r="Y468" s="49"/>
      <c r="Z468" s="49"/>
      <c r="AA468" s="49"/>
      <c r="AB468" s="49"/>
      <c r="AC468" s="49"/>
      <c r="AD468" s="113"/>
      <c r="AE468" s="49"/>
      <c r="AF468" s="50"/>
      <c r="AG468" s="50"/>
      <c r="AH468" s="50"/>
      <c r="AI468" s="50"/>
      <c r="AJ468" s="50"/>
      <c r="AK468" s="50"/>
      <c r="AL468" s="50"/>
      <c r="AM468" s="50"/>
      <c r="AN468" s="50"/>
      <c r="AO468" s="9"/>
      <c r="AP468" s="9"/>
    </row>
    <row r="469" spans="1:42" x14ac:dyDescent="0.55000000000000004">
      <c r="A469" t="str">
        <f t="shared" si="7"/>
        <v/>
      </c>
      <c r="C469" s="103"/>
      <c r="D469" s="110"/>
      <c r="E469" s="112"/>
      <c r="F469" s="110"/>
      <c r="G469" s="112"/>
      <c r="H469" s="110"/>
      <c r="I469" s="110"/>
      <c r="J469" s="110"/>
      <c r="K469" s="110"/>
      <c r="L469" s="110"/>
      <c r="M469" s="110"/>
      <c r="N469" s="110"/>
      <c r="O469" s="110"/>
      <c r="P469" s="110"/>
      <c r="Q469" s="110"/>
      <c r="R469" s="110"/>
      <c r="S469" s="110"/>
      <c r="T469" s="110"/>
      <c r="U469" s="49"/>
      <c r="V469" s="49"/>
      <c r="W469" s="49"/>
      <c r="X469" s="49"/>
      <c r="Y469" s="49"/>
      <c r="Z469" s="49"/>
      <c r="AA469" s="49"/>
      <c r="AB469" s="49"/>
      <c r="AC469" s="49"/>
      <c r="AD469" s="113"/>
      <c r="AE469" s="49"/>
      <c r="AF469" s="50"/>
      <c r="AG469" s="50"/>
      <c r="AH469" s="50"/>
      <c r="AI469" s="50"/>
      <c r="AJ469" s="50"/>
      <c r="AK469" s="50"/>
      <c r="AL469" s="50"/>
      <c r="AM469" s="50"/>
      <c r="AN469" s="50"/>
      <c r="AO469" s="9"/>
      <c r="AP469" s="9"/>
    </row>
    <row r="470" spans="1:42" x14ac:dyDescent="0.55000000000000004">
      <c r="A470" t="str">
        <f t="shared" si="7"/>
        <v/>
      </c>
      <c r="C470" s="103"/>
      <c r="D470" s="110"/>
      <c r="E470" s="112"/>
      <c r="F470" s="110"/>
      <c r="G470" s="112"/>
      <c r="H470" s="110"/>
      <c r="I470" s="110"/>
      <c r="J470" s="110"/>
      <c r="K470" s="110"/>
      <c r="L470" s="110"/>
      <c r="M470" s="110"/>
      <c r="N470" s="110"/>
      <c r="O470" s="110"/>
      <c r="P470" s="110"/>
      <c r="Q470" s="110"/>
      <c r="R470" s="110"/>
      <c r="S470" s="110"/>
      <c r="T470" s="110"/>
      <c r="U470" s="49"/>
      <c r="V470" s="49"/>
      <c r="W470" s="49"/>
      <c r="X470" s="49"/>
      <c r="Y470" s="49"/>
      <c r="Z470" s="49"/>
      <c r="AA470" s="49"/>
      <c r="AB470" s="49"/>
      <c r="AC470" s="49"/>
      <c r="AD470" s="113"/>
      <c r="AE470" s="49"/>
      <c r="AF470" s="50"/>
      <c r="AG470" s="50"/>
      <c r="AH470" s="50"/>
      <c r="AI470" s="50"/>
      <c r="AJ470" s="50"/>
      <c r="AK470" s="50"/>
      <c r="AL470" s="50"/>
      <c r="AM470" s="50"/>
      <c r="AN470" s="50"/>
      <c r="AO470" s="9"/>
      <c r="AP470" s="9"/>
    </row>
    <row r="471" spans="1:42" x14ac:dyDescent="0.55000000000000004">
      <c r="A471" t="str">
        <f t="shared" si="7"/>
        <v/>
      </c>
      <c r="C471" s="103"/>
      <c r="D471" s="110"/>
      <c r="E471" s="112"/>
      <c r="F471" s="110"/>
      <c r="G471" s="112"/>
      <c r="H471" s="110"/>
      <c r="I471" s="110"/>
      <c r="J471" s="110"/>
      <c r="K471" s="110"/>
      <c r="L471" s="110"/>
      <c r="M471" s="110"/>
      <c r="N471" s="110"/>
      <c r="O471" s="110"/>
      <c r="P471" s="110"/>
      <c r="Q471" s="110"/>
      <c r="R471" s="110"/>
      <c r="S471" s="110"/>
      <c r="T471" s="110"/>
      <c r="U471" s="49"/>
      <c r="V471" s="49"/>
      <c r="W471" s="49"/>
      <c r="X471" s="49"/>
      <c r="Y471" s="49"/>
      <c r="Z471" s="49"/>
      <c r="AA471" s="49"/>
      <c r="AB471" s="49"/>
      <c r="AC471" s="49"/>
      <c r="AD471" s="113"/>
      <c r="AE471" s="49"/>
      <c r="AF471" s="50"/>
      <c r="AG471" s="50"/>
      <c r="AH471" s="50"/>
      <c r="AI471" s="50"/>
      <c r="AJ471" s="50"/>
      <c r="AK471" s="50"/>
      <c r="AL471" s="50"/>
      <c r="AM471" s="50"/>
      <c r="AN471" s="50"/>
      <c r="AO471" s="9"/>
      <c r="AP471" s="9"/>
    </row>
    <row r="472" spans="1:42" x14ac:dyDescent="0.55000000000000004">
      <c r="A472" t="str">
        <f t="shared" si="7"/>
        <v/>
      </c>
      <c r="C472" s="103"/>
      <c r="D472" s="110"/>
      <c r="E472" s="110"/>
      <c r="F472" s="110"/>
      <c r="G472" s="110"/>
      <c r="H472" s="110"/>
      <c r="I472" s="110"/>
      <c r="J472" s="110"/>
      <c r="K472" s="110"/>
      <c r="L472" s="110"/>
      <c r="M472" s="110"/>
      <c r="N472" s="110"/>
      <c r="O472" s="110"/>
      <c r="P472" s="110"/>
      <c r="Q472" s="110"/>
      <c r="R472" s="110"/>
      <c r="S472" s="110"/>
      <c r="T472" s="110"/>
      <c r="U472" s="49"/>
      <c r="V472" s="49"/>
      <c r="W472" s="49"/>
      <c r="X472" s="49"/>
      <c r="Y472" s="49"/>
      <c r="Z472" s="49"/>
      <c r="AA472" s="49"/>
      <c r="AB472" s="49"/>
      <c r="AC472" s="49"/>
      <c r="AD472" s="113"/>
      <c r="AE472" s="49"/>
      <c r="AF472" s="50"/>
      <c r="AG472" s="50"/>
      <c r="AH472" s="50"/>
      <c r="AI472" s="50"/>
      <c r="AJ472" s="50"/>
      <c r="AK472" s="50"/>
      <c r="AL472" s="50"/>
      <c r="AM472" s="50"/>
      <c r="AN472" s="50"/>
      <c r="AO472" s="9"/>
      <c r="AP472" s="9"/>
    </row>
    <row r="473" spans="1:42" x14ac:dyDescent="0.55000000000000004">
      <c r="A473" t="str">
        <f t="shared" si="7"/>
        <v/>
      </c>
      <c r="C473" s="103"/>
      <c r="D473" s="110"/>
      <c r="E473" s="110"/>
      <c r="F473" s="110"/>
      <c r="G473" s="110"/>
      <c r="H473" s="110"/>
      <c r="I473" s="110"/>
      <c r="J473" s="110"/>
      <c r="K473" s="110"/>
      <c r="L473" s="110"/>
      <c r="M473" s="110"/>
      <c r="N473" s="110"/>
      <c r="O473" s="110"/>
      <c r="P473" s="110"/>
      <c r="Q473" s="110"/>
      <c r="R473" s="110"/>
      <c r="S473" s="110"/>
      <c r="T473" s="110"/>
      <c r="U473" s="49"/>
      <c r="V473" s="49"/>
      <c r="W473" s="49"/>
      <c r="X473" s="49"/>
      <c r="Y473" s="49"/>
      <c r="Z473" s="49"/>
      <c r="AA473" s="49"/>
      <c r="AB473" s="49"/>
      <c r="AC473" s="49"/>
      <c r="AD473" s="113"/>
      <c r="AE473" s="49"/>
      <c r="AF473" s="50"/>
      <c r="AG473" s="50"/>
      <c r="AH473" s="50"/>
      <c r="AI473" s="50"/>
      <c r="AJ473" s="50"/>
      <c r="AK473" s="50"/>
      <c r="AL473" s="50"/>
      <c r="AM473" s="50"/>
      <c r="AN473" s="50"/>
      <c r="AO473" s="9"/>
      <c r="AP473" s="9"/>
    </row>
    <row r="474" spans="1:42" x14ac:dyDescent="0.55000000000000004">
      <c r="A474" t="str">
        <f t="shared" si="7"/>
        <v/>
      </c>
      <c r="C474" s="103"/>
      <c r="D474" s="110"/>
      <c r="E474" s="110"/>
      <c r="F474" s="110"/>
      <c r="G474" s="110"/>
      <c r="H474" s="110"/>
      <c r="I474" s="110"/>
      <c r="J474" s="110"/>
      <c r="K474" s="110"/>
      <c r="L474" s="110"/>
      <c r="M474" s="110"/>
      <c r="N474" s="110"/>
      <c r="O474" s="110"/>
      <c r="P474" s="110"/>
      <c r="Q474" s="110"/>
      <c r="R474" s="110"/>
      <c r="S474" s="110"/>
      <c r="T474" s="110"/>
      <c r="U474" s="49"/>
      <c r="V474" s="49"/>
      <c r="W474" s="49"/>
      <c r="X474" s="49"/>
      <c r="Y474" s="49"/>
      <c r="Z474" s="49"/>
      <c r="AA474" s="49"/>
      <c r="AB474" s="49"/>
      <c r="AC474" s="49"/>
      <c r="AD474" s="113"/>
      <c r="AE474" s="49"/>
      <c r="AF474" s="50"/>
      <c r="AG474" s="50"/>
      <c r="AH474" s="50"/>
      <c r="AI474" s="50"/>
      <c r="AJ474" s="50"/>
      <c r="AK474" s="50"/>
      <c r="AL474" s="50"/>
      <c r="AM474" s="50"/>
      <c r="AN474" s="50"/>
      <c r="AO474" s="9"/>
      <c r="AP474" s="9"/>
    </row>
    <row r="475" spans="1:42" x14ac:dyDescent="0.55000000000000004">
      <c r="A475" t="str">
        <f t="shared" si="7"/>
        <v/>
      </c>
      <c r="C475" s="103"/>
      <c r="D475" s="110"/>
      <c r="E475" s="110"/>
      <c r="F475" s="110"/>
      <c r="G475" s="110"/>
      <c r="H475" s="110"/>
      <c r="I475" s="110"/>
      <c r="J475" s="110"/>
      <c r="K475" s="110"/>
      <c r="L475" s="110"/>
      <c r="M475" s="110"/>
      <c r="N475" s="110"/>
      <c r="O475" s="110"/>
      <c r="P475" s="110"/>
      <c r="Q475" s="110"/>
      <c r="R475" s="110"/>
      <c r="S475" s="110"/>
      <c r="T475" s="110"/>
      <c r="U475" s="49"/>
      <c r="V475" s="49"/>
      <c r="W475" s="49"/>
      <c r="X475" s="49"/>
      <c r="Y475" s="49"/>
      <c r="Z475" s="49"/>
      <c r="AA475" s="49"/>
      <c r="AB475" s="49"/>
      <c r="AC475" s="49"/>
      <c r="AD475" s="113"/>
      <c r="AE475" s="49"/>
      <c r="AF475" s="50"/>
      <c r="AG475" s="50"/>
      <c r="AH475" s="50"/>
      <c r="AI475" s="50"/>
      <c r="AJ475" s="50"/>
      <c r="AK475" s="50"/>
      <c r="AL475" s="50"/>
      <c r="AM475" s="50"/>
      <c r="AN475" s="50"/>
      <c r="AO475" s="9"/>
      <c r="AP475" s="9"/>
    </row>
    <row r="476" spans="1:42" x14ac:dyDescent="0.55000000000000004">
      <c r="A476" t="str">
        <f t="shared" si="7"/>
        <v/>
      </c>
      <c r="C476" s="103"/>
      <c r="D476" s="110"/>
      <c r="E476" s="110"/>
      <c r="F476" s="110"/>
      <c r="G476" s="110"/>
      <c r="H476" s="110"/>
      <c r="I476" s="110"/>
      <c r="J476" s="110"/>
      <c r="K476" s="110"/>
      <c r="L476" s="110"/>
      <c r="M476" s="110"/>
      <c r="N476" s="110"/>
      <c r="O476" s="110"/>
      <c r="P476" s="110"/>
      <c r="Q476" s="110"/>
      <c r="R476" s="110"/>
      <c r="S476" s="110"/>
      <c r="T476" s="110"/>
      <c r="U476" s="49"/>
      <c r="V476" s="49"/>
      <c r="W476" s="49"/>
      <c r="X476" s="49"/>
      <c r="Y476" s="49"/>
      <c r="Z476" s="49"/>
      <c r="AA476" s="49"/>
      <c r="AB476" s="49"/>
      <c r="AC476" s="49"/>
      <c r="AD476" s="113"/>
      <c r="AE476" s="49"/>
      <c r="AF476" s="50"/>
      <c r="AG476" s="50"/>
      <c r="AH476" s="50"/>
      <c r="AI476" s="50"/>
      <c r="AJ476" s="50"/>
      <c r="AK476" s="50"/>
      <c r="AL476" s="50"/>
      <c r="AM476" s="50"/>
      <c r="AN476" s="50"/>
      <c r="AO476" s="9"/>
      <c r="AP476" s="9"/>
    </row>
    <row r="477" spans="1:42" x14ac:dyDescent="0.55000000000000004">
      <c r="A477" t="str">
        <f t="shared" si="7"/>
        <v/>
      </c>
      <c r="C477" s="103"/>
      <c r="D477" s="110"/>
      <c r="E477" s="110"/>
      <c r="F477" s="110"/>
      <c r="G477" s="110"/>
      <c r="H477" s="110"/>
      <c r="I477" s="110"/>
      <c r="J477" s="110"/>
      <c r="K477" s="110"/>
      <c r="L477" s="110"/>
      <c r="M477" s="110"/>
      <c r="N477" s="110"/>
      <c r="O477" s="110"/>
      <c r="P477" s="110"/>
      <c r="Q477" s="110"/>
      <c r="R477" s="110"/>
      <c r="S477" s="110"/>
      <c r="T477" s="110"/>
      <c r="U477" s="49"/>
      <c r="V477" s="49"/>
      <c r="W477" s="49"/>
      <c r="X477" s="49"/>
      <c r="Y477" s="49"/>
      <c r="Z477" s="49"/>
      <c r="AA477" s="49"/>
      <c r="AB477" s="49"/>
      <c r="AC477" s="49"/>
      <c r="AD477" s="113"/>
      <c r="AE477" s="49"/>
      <c r="AF477" s="50"/>
      <c r="AG477" s="50"/>
      <c r="AH477" s="50"/>
      <c r="AI477" s="50"/>
      <c r="AJ477" s="50"/>
      <c r="AK477" s="50"/>
      <c r="AL477" s="50"/>
      <c r="AM477" s="50"/>
      <c r="AN477" s="50"/>
      <c r="AO477" s="9"/>
      <c r="AP477" s="9"/>
    </row>
    <row r="478" spans="1:42" x14ac:dyDescent="0.55000000000000004">
      <c r="A478" t="str">
        <f t="shared" si="7"/>
        <v/>
      </c>
      <c r="C478" s="103"/>
      <c r="D478" s="110"/>
      <c r="E478" s="110"/>
      <c r="F478" s="110"/>
      <c r="G478" s="110"/>
      <c r="H478" s="110"/>
      <c r="I478" s="110"/>
      <c r="J478" s="110"/>
      <c r="K478" s="110"/>
      <c r="L478" s="110"/>
      <c r="M478" s="110"/>
      <c r="N478" s="110"/>
      <c r="O478" s="110"/>
      <c r="P478" s="110"/>
      <c r="Q478" s="110"/>
      <c r="R478" s="110"/>
      <c r="S478" s="110"/>
      <c r="T478" s="110"/>
      <c r="U478" s="49"/>
      <c r="V478" s="49"/>
      <c r="W478" s="49"/>
      <c r="X478" s="49"/>
      <c r="Y478" s="49"/>
      <c r="Z478" s="49"/>
      <c r="AA478" s="49"/>
      <c r="AB478" s="49"/>
      <c r="AC478" s="49"/>
      <c r="AD478" s="113"/>
      <c r="AE478" s="49"/>
      <c r="AF478" s="50"/>
      <c r="AG478" s="50"/>
      <c r="AH478" s="50"/>
      <c r="AI478" s="50"/>
      <c r="AJ478" s="50"/>
      <c r="AK478" s="50"/>
      <c r="AL478" s="50"/>
      <c r="AM478" s="50"/>
      <c r="AN478" s="50"/>
      <c r="AO478" s="9"/>
      <c r="AP478" s="9"/>
    </row>
    <row r="479" spans="1:42" x14ac:dyDescent="0.55000000000000004">
      <c r="A479" t="str">
        <f t="shared" si="7"/>
        <v/>
      </c>
      <c r="C479" s="103"/>
      <c r="D479" s="110"/>
      <c r="E479" s="110"/>
      <c r="F479" s="110"/>
      <c r="G479" s="110"/>
      <c r="H479" s="110"/>
      <c r="I479" s="110"/>
      <c r="J479" s="110"/>
      <c r="K479" s="110"/>
      <c r="L479" s="110"/>
      <c r="M479" s="110"/>
      <c r="N479" s="110"/>
      <c r="O479" s="110"/>
      <c r="P479" s="110"/>
      <c r="Q479" s="110"/>
      <c r="R479" s="110"/>
      <c r="S479" s="110"/>
      <c r="T479" s="110"/>
      <c r="U479" s="49"/>
      <c r="V479" s="49"/>
      <c r="W479" s="49"/>
      <c r="X479" s="49"/>
      <c r="Y479" s="49"/>
      <c r="Z479" s="49"/>
      <c r="AA479" s="49"/>
      <c r="AB479" s="49"/>
      <c r="AC479" s="49"/>
      <c r="AD479" s="113"/>
      <c r="AE479" s="49"/>
      <c r="AF479" s="50"/>
      <c r="AG479" s="50"/>
      <c r="AH479" s="50"/>
      <c r="AI479" s="50"/>
      <c r="AJ479" s="50"/>
      <c r="AK479" s="50"/>
      <c r="AL479" s="50"/>
      <c r="AM479" s="50"/>
      <c r="AN479" s="50"/>
      <c r="AO479" s="9"/>
      <c r="AP479" s="9"/>
    </row>
    <row r="480" spans="1:42" x14ac:dyDescent="0.55000000000000004">
      <c r="A480" t="str">
        <f t="shared" si="7"/>
        <v/>
      </c>
      <c r="C480" s="103"/>
      <c r="D480" s="110"/>
      <c r="E480" s="110"/>
      <c r="F480" s="110"/>
      <c r="G480" s="110"/>
      <c r="H480" s="110"/>
      <c r="I480" s="110"/>
      <c r="J480" s="110"/>
      <c r="K480" s="110"/>
      <c r="L480" s="110"/>
      <c r="M480" s="110"/>
      <c r="N480" s="110"/>
      <c r="O480" s="110"/>
      <c r="P480" s="110"/>
      <c r="Q480" s="110"/>
      <c r="R480" s="110"/>
      <c r="S480" s="110"/>
      <c r="T480" s="110"/>
      <c r="U480" s="49"/>
      <c r="V480" s="49"/>
      <c r="W480" s="49"/>
      <c r="X480" s="49"/>
      <c r="Y480" s="49"/>
      <c r="Z480" s="49"/>
      <c r="AA480" s="49"/>
      <c r="AB480" s="49"/>
      <c r="AC480" s="49"/>
      <c r="AD480" s="113"/>
      <c r="AE480" s="49"/>
      <c r="AF480" s="50"/>
      <c r="AG480" s="50"/>
      <c r="AH480" s="50"/>
      <c r="AI480" s="50"/>
      <c r="AJ480" s="50"/>
      <c r="AK480" s="50"/>
      <c r="AL480" s="50"/>
      <c r="AM480" s="50"/>
      <c r="AN480" s="50"/>
      <c r="AO480" s="9"/>
      <c r="AP480" s="9"/>
    </row>
    <row r="481" spans="1:42" x14ac:dyDescent="0.55000000000000004">
      <c r="A481" t="str">
        <f t="shared" si="7"/>
        <v/>
      </c>
      <c r="C481" s="103"/>
      <c r="D481" s="110"/>
      <c r="E481" s="110"/>
      <c r="F481" s="110"/>
      <c r="G481" s="110"/>
      <c r="H481" s="110"/>
      <c r="I481" s="110"/>
      <c r="J481" s="110"/>
      <c r="K481" s="110"/>
      <c r="L481" s="110"/>
      <c r="M481" s="110"/>
      <c r="N481" s="110"/>
      <c r="O481" s="110"/>
      <c r="P481" s="110"/>
      <c r="Q481" s="110"/>
      <c r="R481" s="110"/>
      <c r="S481" s="110"/>
      <c r="T481" s="110"/>
      <c r="U481" s="49"/>
      <c r="V481" s="49"/>
      <c r="W481" s="49"/>
      <c r="X481" s="49"/>
      <c r="Y481" s="49"/>
      <c r="Z481" s="49"/>
      <c r="AA481" s="49"/>
      <c r="AB481" s="49"/>
      <c r="AC481" s="49"/>
      <c r="AD481" s="113"/>
      <c r="AE481" s="49"/>
      <c r="AF481" s="50"/>
      <c r="AG481" s="50"/>
      <c r="AH481" s="50"/>
      <c r="AI481" s="50"/>
      <c r="AJ481" s="50"/>
      <c r="AK481" s="50"/>
      <c r="AL481" s="50"/>
      <c r="AM481" s="50"/>
      <c r="AN481" s="50"/>
      <c r="AO481" s="9"/>
      <c r="AP481" s="9"/>
    </row>
    <row r="482" spans="1:42" x14ac:dyDescent="0.55000000000000004">
      <c r="A482" t="str">
        <f t="shared" si="7"/>
        <v/>
      </c>
      <c r="C482" s="103"/>
      <c r="D482" s="110"/>
      <c r="E482" s="110"/>
      <c r="F482" s="110"/>
      <c r="G482" s="110"/>
      <c r="H482" s="110"/>
      <c r="I482" s="110"/>
      <c r="J482" s="110"/>
      <c r="K482" s="110"/>
      <c r="L482" s="110"/>
      <c r="M482" s="110"/>
      <c r="N482" s="110"/>
      <c r="O482" s="110"/>
      <c r="P482" s="110"/>
      <c r="Q482" s="110"/>
      <c r="R482" s="110"/>
      <c r="S482" s="110"/>
      <c r="T482" s="110"/>
      <c r="U482" s="49"/>
      <c r="V482" s="49"/>
      <c r="W482" s="49"/>
      <c r="X482" s="49"/>
      <c r="Y482" s="49"/>
      <c r="Z482" s="49"/>
      <c r="AA482" s="49"/>
      <c r="AB482" s="49"/>
      <c r="AC482" s="49"/>
      <c r="AD482" s="113"/>
      <c r="AE482" s="49"/>
      <c r="AF482" s="50"/>
      <c r="AG482" s="50"/>
      <c r="AH482" s="50"/>
      <c r="AI482" s="50"/>
      <c r="AJ482" s="50"/>
      <c r="AK482" s="50"/>
      <c r="AL482" s="50"/>
      <c r="AM482" s="50"/>
      <c r="AN482" s="50"/>
      <c r="AO482" s="9"/>
      <c r="AP482" s="9"/>
    </row>
    <row r="483" spans="1:42" x14ac:dyDescent="0.55000000000000004">
      <c r="A483" t="str">
        <f t="shared" si="7"/>
        <v/>
      </c>
      <c r="C483" s="103"/>
      <c r="D483" s="110"/>
      <c r="E483" s="110"/>
      <c r="F483" s="110"/>
      <c r="G483" s="110"/>
      <c r="H483" s="110"/>
      <c r="I483" s="110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49"/>
      <c r="V483" s="49"/>
      <c r="W483" s="49"/>
      <c r="X483" s="49"/>
      <c r="Y483" s="49"/>
      <c r="Z483" s="49"/>
      <c r="AA483" s="49"/>
      <c r="AB483" s="49"/>
      <c r="AC483" s="49"/>
      <c r="AD483" s="113"/>
      <c r="AE483" s="49"/>
      <c r="AF483" s="50"/>
      <c r="AG483" s="50"/>
      <c r="AH483" s="50"/>
      <c r="AI483" s="50"/>
      <c r="AJ483" s="50"/>
      <c r="AK483" s="50"/>
      <c r="AL483" s="50"/>
      <c r="AM483" s="50"/>
      <c r="AN483" s="50"/>
      <c r="AO483" s="9"/>
      <c r="AP483" s="9"/>
    </row>
    <row r="484" spans="1:42" x14ac:dyDescent="0.55000000000000004">
      <c r="A484" t="str">
        <f t="shared" si="7"/>
        <v/>
      </c>
      <c r="C484" s="103"/>
      <c r="D484" s="110"/>
      <c r="E484" s="110"/>
      <c r="F484" s="110"/>
      <c r="G484" s="110"/>
      <c r="H484" s="110"/>
      <c r="I484" s="110"/>
      <c r="J484" s="110"/>
      <c r="K484" s="110"/>
      <c r="L484" s="110"/>
      <c r="M484" s="110"/>
      <c r="N484" s="110"/>
      <c r="O484" s="110"/>
      <c r="P484" s="110"/>
      <c r="Q484" s="110"/>
      <c r="R484" s="110"/>
      <c r="S484" s="110"/>
      <c r="T484" s="110"/>
      <c r="U484" s="49"/>
      <c r="V484" s="49"/>
      <c r="W484" s="49"/>
      <c r="X484" s="49"/>
      <c r="Y484" s="49"/>
      <c r="Z484" s="49"/>
      <c r="AA484" s="49"/>
      <c r="AB484" s="49"/>
      <c r="AC484" s="49"/>
      <c r="AD484" s="113"/>
      <c r="AE484" s="49"/>
      <c r="AF484" s="50"/>
      <c r="AG484" s="50"/>
      <c r="AH484" s="50"/>
      <c r="AI484" s="50"/>
      <c r="AJ484" s="50"/>
      <c r="AK484" s="50"/>
      <c r="AL484" s="50"/>
      <c r="AM484" s="50"/>
      <c r="AN484" s="50"/>
      <c r="AO484" s="9"/>
      <c r="AP484" s="9"/>
    </row>
    <row r="485" spans="1:42" x14ac:dyDescent="0.55000000000000004">
      <c r="A485" t="str">
        <f t="shared" si="7"/>
        <v/>
      </c>
      <c r="C485" s="103"/>
      <c r="D485" s="110"/>
      <c r="E485" s="110"/>
      <c r="F485" s="110"/>
      <c r="G485" s="110"/>
      <c r="H485" s="110"/>
      <c r="I485" s="110"/>
      <c r="J485" s="110"/>
      <c r="K485" s="110"/>
      <c r="L485" s="110"/>
      <c r="M485" s="110"/>
      <c r="N485" s="110"/>
      <c r="O485" s="110"/>
      <c r="P485" s="110"/>
      <c r="Q485" s="110"/>
      <c r="R485" s="110"/>
      <c r="S485" s="110"/>
      <c r="T485" s="110"/>
      <c r="U485" s="49"/>
      <c r="V485" s="49"/>
      <c r="W485" s="49"/>
      <c r="X485" s="49"/>
      <c r="Y485" s="49"/>
      <c r="Z485" s="49"/>
      <c r="AA485" s="49"/>
      <c r="AB485" s="49"/>
      <c r="AC485" s="49"/>
      <c r="AD485" s="113"/>
      <c r="AE485" s="49"/>
      <c r="AF485" s="50"/>
      <c r="AG485" s="50"/>
      <c r="AH485" s="50"/>
      <c r="AI485" s="50"/>
      <c r="AJ485" s="50"/>
      <c r="AK485" s="50"/>
      <c r="AL485" s="50"/>
      <c r="AM485" s="50"/>
      <c r="AN485" s="50"/>
      <c r="AO485" s="9"/>
      <c r="AP485" s="9"/>
    </row>
    <row r="486" spans="1:42" x14ac:dyDescent="0.55000000000000004">
      <c r="A486" t="str">
        <f t="shared" si="7"/>
        <v/>
      </c>
      <c r="C486" s="103"/>
      <c r="D486" s="110"/>
      <c r="E486" s="110"/>
      <c r="F486" s="110"/>
      <c r="G486" s="110"/>
      <c r="H486" s="110"/>
      <c r="I486" s="110"/>
      <c r="J486" s="110"/>
      <c r="K486" s="110"/>
      <c r="L486" s="110"/>
      <c r="M486" s="110"/>
      <c r="N486" s="110"/>
      <c r="O486" s="110"/>
      <c r="P486" s="110"/>
      <c r="Q486" s="110"/>
      <c r="R486" s="110"/>
      <c r="S486" s="110"/>
      <c r="T486" s="110"/>
      <c r="U486" s="49"/>
      <c r="V486" s="49"/>
      <c r="W486" s="49"/>
      <c r="X486" s="49"/>
      <c r="Y486" s="49"/>
      <c r="Z486" s="49"/>
      <c r="AA486" s="49"/>
      <c r="AB486" s="49"/>
      <c r="AC486" s="49"/>
      <c r="AD486" s="113"/>
      <c r="AE486" s="49"/>
      <c r="AF486" s="50"/>
      <c r="AG486" s="50"/>
      <c r="AH486" s="50"/>
      <c r="AI486" s="50"/>
      <c r="AJ486" s="50"/>
      <c r="AK486" s="50"/>
      <c r="AL486" s="50"/>
      <c r="AM486" s="50"/>
      <c r="AN486" s="50"/>
      <c r="AO486" s="9"/>
      <c r="AP486" s="9"/>
    </row>
    <row r="487" spans="1:42" x14ac:dyDescent="0.55000000000000004">
      <c r="A487" t="str">
        <f t="shared" si="7"/>
        <v/>
      </c>
      <c r="C487" s="103"/>
      <c r="D487" s="110"/>
      <c r="E487" s="110"/>
      <c r="F487" s="110"/>
      <c r="G487" s="110"/>
      <c r="H487" s="110"/>
      <c r="I487" s="110"/>
      <c r="J487" s="110"/>
      <c r="K487" s="110"/>
      <c r="L487" s="110"/>
      <c r="M487" s="110"/>
      <c r="N487" s="110"/>
      <c r="O487" s="110"/>
      <c r="P487" s="110"/>
      <c r="Q487" s="110"/>
      <c r="R487" s="110"/>
      <c r="S487" s="110"/>
      <c r="T487" s="110"/>
      <c r="U487" s="49"/>
      <c r="V487" s="49"/>
      <c r="W487" s="49"/>
      <c r="X487" s="49"/>
      <c r="Y487" s="49"/>
      <c r="Z487" s="49"/>
      <c r="AA487" s="49"/>
      <c r="AB487" s="49"/>
      <c r="AC487" s="49"/>
      <c r="AD487" s="113"/>
      <c r="AE487" s="49"/>
      <c r="AF487" s="50"/>
      <c r="AG487" s="50"/>
      <c r="AH487" s="50"/>
      <c r="AI487" s="50"/>
      <c r="AJ487" s="50"/>
      <c r="AK487" s="50"/>
      <c r="AL487" s="50"/>
      <c r="AM487" s="50"/>
      <c r="AN487" s="50"/>
      <c r="AO487" s="9"/>
      <c r="AP487" s="9"/>
    </row>
    <row r="488" spans="1:42" x14ac:dyDescent="0.55000000000000004">
      <c r="A488" t="str">
        <f t="shared" si="7"/>
        <v/>
      </c>
      <c r="C488" s="103"/>
      <c r="D488" s="110"/>
      <c r="E488" s="110"/>
      <c r="F488" s="110"/>
      <c r="G488" s="110"/>
      <c r="H488" s="110"/>
      <c r="I488" s="110"/>
      <c r="J488" s="110"/>
      <c r="K488" s="110"/>
      <c r="L488" s="110"/>
      <c r="M488" s="110"/>
      <c r="N488" s="110"/>
      <c r="O488" s="110"/>
      <c r="P488" s="110"/>
      <c r="Q488" s="110"/>
      <c r="R488" s="110"/>
      <c r="S488" s="110"/>
      <c r="T488" s="110"/>
      <c r="U488" s="49"/>
      <c r="V488" s="49"/>
      <c r="W488" s="49"/>
      <c r="X488" s="49"/>
      <c r="Y488" s="49"/>
      <c r="Z488" s="49"/>
      <c r="AA488" s="49"/>
      <c r="AB488" s="49"/>
      <c r="AC488" s="49"/>
      <c r="AD488" s="113"/>
      <c r="AE488" s="49"/>
      <c r="AF488" s="50"/>
      <c r="AG488" s="50"/>
      <c r="AH488" s="50"/>
      <c r="AI488" s="50"/>
      <c r="AJ488" s="50"/>
      <c r="AK488" s="50"/>
      <c r="AL488" s="50"/>
      <c r="AM488" s="50"/>
      <c r="AN488" s="50"/>
      <c r="AO488" s="9"/>
      <c r="AP488" s="9"/>
    </row>
    <row r="489" spans="1:42" x14ac:dyDescent="0.55000000000000004">
      <c r="A489" t="str">
        <f t="shared" si="7"/>
        <v/>
      </c>
      <c r="C489" s="103"/>
      <c r="D489" s="110"/>
      <c r="E489" s="110"/>
      <c r="F489" s="110"/>
      <c r="G489" s="110"/>
      <c r="H489" s="110"/>
      <c r="I489" s="110"/>
      <c r="J489" s="110"/>
      <c r="K489" s="110"/>
      <c r="L489" s="110"/>
      <c r="M489" s="110"/>
      <c r="N489" s="110"/>
      <c r="O489" s="110"/>
      <c r="P489" s="110"/>
      <c r="Q489" s="110"/>
      <c r="R489" s="110"/>
      <c r="S489" s="110"/>
      <c r="T489" s="110"/>
      <c r="U489" s="49"/>
      <c r="V489" s="49"/>
      <c r="W489" s="49"/>
      <c r="X489" s="49"/>
      <c r="Y489" s="49"/>
      <c r="Z489" s="49"/>
      <c r="AA489" s="49"/>
      <c r="AB489" s="49"/>
      <c r="AC489" s="49"/>
      <c r="AD489" s="113"/>
      <c r="AE489" s="49"/>
      <c r="AF489" s="50"/>
      <c r="AG489" s="50"/>
      <c r="AH489" s="50"/>
      <c r="AI489" s="50"/>
      <c r="AJ489" s="50"/>
      <c r="AK489" s="50"/>
      <c r="AL489" s="50"/>
      <c r="AM489" s="50"/>
      <c r="AN489" s="50"/>
      <c r="AO489" s="9"/>
      <c r="AP489" s="9"/>
    </row>
    <row r="490" spans="1:42" x14ac:dyDescent="0.55000000000000004">
      <c r="A490" t="str">
        <f t="shared" si="7"/>
        <v/>
      </c>
      <c r="C490" s="103"/>
      <c r="D490" s="110"/>
      <c r="E490" s="110"/>
      <c r="F490" s="110"/>
      <c r="G490" s="110"/>
      <c r="H490" s="110"/>
      <c r="I490" s="110"/>
      <c r="J490" s="110"/>
      <c r="K490" s="110"/>
      <c r="L490" s="110"/>
      <c r="M490" s="110"/>
      <c r="N490" s="110"/>
      <c r="O490" s="110"/>
      <c r="P490" s="110"/>
      <c r="Q490" s="110"/>
      <c r="R490" s="110"/>
      <c r="S490" s="110"/>
      <c r="T490" s="110"/>
      <c r="U490" s="49"/>
      <c r="V490" s="49"/>
      <c r="W490" s="49"/>
      <c r="X490" s="49"/>
      <c r="Y490" s="49"/>
      <c r="Z490" s="49"/>
      <c r="AA490" s="49"/>
      <c r="AB490" s="49"/>
      <c r="AC490" s="49"/>
      <c r="AD490" s="113"/>
      <c r="AE490" s="49"/>
      <c r="AF490" s="50"/>
      <c r="AG490" s="50"/>
      <c r="AH490" s="50"/>
      <c r="AI490" s="50"/>
      <c r="AJ490" s="50"/>
      <c r="AK490" s="50"/>
      <c r="AL490" s="50"/>
      <c r="AM490" s="50"/>
      <c r="AN490" s="50"/>
      <c r="AO490" s="9"/>
      <c r="AP490" s="9"/>
    </row>
    <row r="491" spans="1:42" x14ac:dyDescent="0.55000000000000004">
      <c r="A491" t="str">
        <f t="shared" si="7"/>
        <v/>
      </c>
      <c r="C491" s="103"/>
      <c r="D491" s="110"/>
      <c r="E491" s="110"/>
      <c r="F491" s="110"/>
      <c r="G491" s="110"/>
      <c r="H491" s="110"/>
      <c r="I491" s="110"/>
      <c r="J491" s="110"/>
      <c r="K491" s="110"/>
      <c r="L491" s="110"/>
      <c r="M491" s="110"/>
      <c r="N491" s="110"/>
      <c r="O491" s="110"/>
      <c r="P491" s="110"/>
      <c r="Q491" s="110"/>
      <c r="R491" s="110"/>
      <c r="S491" s="110"/>
      <c r="T491" s="110"/>
      <c r="U491" s="49"/>
      <c r="V491" s="49"/>
      <c r="W491" s="49"/>
      <c r="X491" s="49"/>
      <c r="Y491" s="49"/>
      <c r="Z491" s="49"/>
      <c r="AA491" s="49"/>
      <c r="AB491" s="49"/>
      <c r="AC491" s="49"/>
      <c r="AD491" s="113"/>
      <c r="AE491" s="49"/>
      <c r="AF491" s="50"/>
      <c r="AG491" s="50"/>
      <c r="AH491" s="50"/>
      <c r="AI491" s="50"/>
      <c r="AJ491" s="50"/>
      <c r="AK491" s="50"/>
      <c r="AL491" s="50"/>
      <c r="AM491" s="50"/>
      <c r="AN491" s="50"/>
      <c r="AO491" s="9"/>
      <c r="AP491" s="9"/>
    </row>
    <row r="492" spans="1:42" x14ac:dyDescent="0.55000000000000004">
      <c r="A492" t="str">
        <f t="shared" si="7"/>
        <v/>
      </c>
      <c r="C492" s="103"/>
      <c r="D492" s="110"/>
      <c r="E492" s="110"/>
      <c r="F492" s="110"/>
      <c r="G492" s="110"/>
      <c r="H492" s="110"/>
      <c r="I492" s="110"/>
      <c r="J492" s="110"/>
      <c r="K492" s="110"/>
      <c r="L492" s="110"/>
      <c r="M492" s="110"/>
      <c r="N492" s="110"/>
      <c r="O492" s="110"/>
      <c r="P492" s="110"/>
      <c r="Q492" s="110"/>
      <c r="R492" s="110"/>
      <c r="S492" s="110"/>
      <c r="T492" s="110"/>
      <c r="U492" s="49"/>
      <c r="V492" s="49"/>
      <c r="W492" s="49"/>
      <c r="X492" s="49"/>
      <c r="Y492" s="49"/>
      <c r="Z492" s="49"/>
      <c r="AA492" s="49"/>
      <c r="AB492" s="49"/>
      <c r="AC492" s="49"/>
      <c r="AD492" s="113"/>
      <c r="AE492" s="49"/>
      <c r="AF492" s="50"/>
      <c r="AG492" s="50"/>
      <c r="AH492" s="50"/>
      <c r="AI492" s="50"/>
      <c r="AJ492" s="50"/>
      <c r="AK492" s="50"/>
      <c r="AL492" s="50"/>
      <c r="AM492" s="50"/>
      <c r="AN492" s="50"/>
      <c r="AO492" s="9"/>
      <c r="AP492" s="9"/>
    </row>
    <row r="493" spans="1:42" x14ac:dyDescent="0.55000000000000004">
      <c r="A493" t="str">
        <f t="shared" si="7"/>
        <v/>
      </c>
      <c r="C493" s="103"/>
      <c r="D493" s="110"/>
      <c r="E493" s="110"/>
      <c r="F493" s="110"/>
      <c r="G493" s="110"/>
      <c r="H493" s="110"/>
      <c r="I493" s="110"/>
      <c r="J493" s="110"/>
      <c r="K493" s="110"/>
      <c r="L493" s="110"/>
      <c r="M493" s="110"/>
      <c r="N493" s="110"/>
      <c r="O493" s="110"/>
      <c r="P493" s="110"/>
      <c r="Q493" s="110"/>
      <c r="R493" s="110"/>
      <c r="S493" s="110"/>
      <c r="T493" s="110"/>
      <c r="U493" s="49"/>
      <c r="V493" s="49"/>
      <c r="W493" s="49"/>
      <c r="X493" s="49"/>
      <c r="Y493" s="49"/>
      <c r="Z493" s="49"/>
      <c r="AA493" s="49"/>
      <c r="AB493" s="49"/>
      <c r="AC493" s="49"/>
      <c r="AD493" s="113"/>
      <c r="AE493" s="49"/>
      <c r="AF493" s="50"/>
      <c r="AG493" s="50"/>
      <c r="AH493" s="50"/>
      <c r="AI493" s="50"/>
      <c r="AJ493" s="50"/>
      <c r="AK493" s="50"/>
      <c r="AL493" s="50"/>
      <c r="AM493" s="50"/>
      <c r="AN493" s="50"/>
      <c r="AO493" s="9"/>
      <c r="AP493" s="9"/>
    </row>
    <row r="494" spans="1:42" x14ac:dyDescent="0.55000000000000004">
      <c r="A494" t="str">
        <f t="shared" si="7"/>
        <v/>
      </c>
      <c r="C494" s="103"/>
      <c r="D494" s="110"/>
      <c r="E494" s="110"/>
      <c r="F494" s="110"/>
      <c r="G494" s="110"/>
      <c r="H494" s="110"/>
      <c r="I494" s="110"/>
      <c r="J494" s="110"/>
      <c r="K494" s="110"/>
      <c r="L494" s="110"/>
      <c r="M494" s="110"/>
      <c r="N494" s="110"/>
      <c r="O494" s="110"/>
      <c r="P494" s="110"/>
      <c r="Q494" s="110"/>
      <c r="R494" s="110"/>
      <c r="S494" s="110"/>
      <c r="T494" s="110"/>
      <c r="U494" s="49"/>
      <c r="V494" s="49"/>
      <c r="W494" s="49"/>
      <c r="X494" s="49"/>
      <c r="Y494" s="49"/>
      <c r="Z494" s="49"/>
      <c r="AA494" s="49"/>
      <c r="AB494" s="49"/>
      <c r="AC494" s="49"/>
      <c r="AD494" s="113"/>
      <c r="AE494" s="49"/>
      <c r="AF494" s="50"/>
      <c r="AG494" s="50"/>
      <c r="AH494" s="50"/>
      <c r="AI494" s="50"/>
      <c r="AJ494" s="50"/>
      <c r="AK494" s="50"/>
      <c r="AL494" s="50"/>
      <c r="AM494" s="50"/>
      <c r="AN494" s="50"/>
      <c r="AO494" s="9"/>
      <c r="AP494" s="9"/>
    </row>
    <row r="495" spans="1:42" x14ac:dyDescent="0.55000000000000004">
      <c r="A495" t="str">
        <f t="shared" si="7"/>
        <v/>
      </c>
      <c r="C495" s="103"/>
      <c r="D495" s="110"/>
      <c r="E495" s="110"/>
      <c r="F495" s="110"/>
      <c r="G495" s="110"/>
      <c r="H495" s="110"/>
      <c r="I495" s="110"/>
      <c r="J495" s="110"/>
      <c r="K495" s="110"/>
      <c r="L495" s="110"/>
      <c r="M495" s="110"/>
      <c r="N495" s="110"/>
      <c r="O495" s="110"/>
      <c r="P495" s="110"/>
      <c r="Q495" s="110"/>
      <c r="R495" s="110"/>
      <c r="S495" s="110"/>
      <c r="T495" s="110"/>
      <c r="U495" s="49"/>
      <c r="V495" s="49"/>
      <c r="W495" s="49"/>
      <c r="X495" s="49"/>
      <c r="Y495" s="49"/>
      <c r="Z495" s="49"/>
      <c r="AA495" s="49"/>
      <c r="AB495" s="49"/>
      <c r="AC495" s="49"/>
      <c r="AD495" s="113"/>
      <c r="AE495" s="49"/>
      <c r="AF495" s="50"/>
      <c r="AG495" s="50"/>
      <c r="AH495" s="50"/>
      <c r="AI495" s="50"/>
      <c r="AJ495" s="50"/>
      <c r="AK495" s="50"/>
      <c r="AL495" s="50"/>
      <c r="AM495" s="50"/>
      <c r="AN495" s="50"/>
      <c r="AO495" s="9"/>
      <c r="AP495" s="9"/>
    </row>
    <row r="496" spans="1:42" x14ac:dyDescent="0.55000000000000004">
      <c r="A496" t="str">
        <f t="shared" si="7"/>
        <v/>
      </c>
      <c r="C496" s="103"/>
      <c r="D496" s="110"/>
      <c r="E496" s="110"/>
      <c r="F496" s="110"/>
      <c r="G496" s="110"/>
      <c r="H496" s="110"/>
      <c r="I496" s="110"/>
      <c r="J496" s="110"/>
      <c r="K496" s="110"/>
      <c r="L496" s="110"/>
      <c r="M496" s="110"/>
      <c r="N496" s="110"/>
      <c r="O496" s="110"/>
      <c r="P496" s="110"/>
      <c r="Q496" s="110"/>
      <c r="R496" s="110"/>
      <c r="S496" s="110"/>
      <c r="T496" s="110"/>
      <c r="U496" s="49"/>
      <c r="V496" s="49"/>
      <c r="W496" s="49"/>
      <c r="X496" s="49"/>
      <c r="Y496" s="49"/>
      <c r="Z496" s="49"/>
      <c r="AA496" s="49"/>
      <c r="AB496" s="49"/>
      <c r="AC496" s="49"/>
      <c r="AD496" s="113"/>
      <c r="AE496" s="49"/>
      <c r="AF496" s="50"/>
      <c r="AG496" s="50"/>
      <c r="AH496" s="50"/>
      <c r="AI496" s="50"/>
      <c r="AJ496" s="50"/>
      <c r="AK496" s="50"/>
      <c r="AL496" s="50"/>
      <c r="AM496" s="50"/>
      <c r="AN496" s="50"/>
      <c r="AO496" s="9"/>
      <c r="AP496" s="9"/>
    </row>
    <row r="497" spans="1:42" x14ac:dyDescent="0.55000000000000004">
      <c r="A497" t="str">
        <f t="shared" si="7"/>
        <v/>
      </c>
      <c r="C497" s="103"/>
      <c r="D497" s="110"/>
      <c r="E497" s="110"/>
      <c r="F497" s="110"/>
      <c r="G497" s="110"/>
      <c r="H497" s="110"/>
      <c r="I497" s="110"/>
      <c r="J497" s="110"/>
      <c r="K497" s="110"/>
      <c r="L497" s="110"/>
      <c r="M497" s="110"/>
      <c r="N497" s="110"/>
      <c r="O497" s="110"/>
      <c r="P497" s="110"/>
      <c r="Q497" s="110"/>
      <c r="R497" s="110"/>
      <c r="S497" s="110"/>
      <c r="T497" s="110"/>
      <c r="U497" s="49"/>
      <c r="V497" s="49"/>
      <c r="W497" s="49"/>
      <c r="X497" s="49"/>
      <c r="Y497" s="49"/>
      <c r="Z497" s="49"/>
      <c r="AA497" s="49"/>
      <c r="AB497" s="49"/>
      <c r="AC497" s="49"/>
      <c r="AD497" s="113"/>
      <c r="AE497" s="49"/>
      <c r="AF497" s="50"/>
      <c r="AG497" s="50"/>
      <c r="AH497" s="50"/>
      <c r="AI497" s="50"/>
      <c r="AJ497" s="50"/>
      <c r="AK497" s="50"/>
      <c r="AL497" s="50"/>
      <c r="AM497" s="50"/>
      <c r="AN497" s="50"/>
      <c r="AO497" s="9"/>
      <c r="AP497" s="9"/>
    </row>
    <row r="498" spans="1:42" x14ac:dyDescent="0.55000000000000004">
      <c r="A498" t="str">
        <f t="shared" si="7"/>
        <v/>
      </c>
      <c r="C498" s="103"/>
      <c r="D498" s="110"/>
      <c r="E498" s="110"/>
      <c r="F498" s="110"/>
      <c r="G498" s="110"/>
      <c r="H498" s="110"/>
      <c r="I498" s="110"/>
      <c r="J498" s="110"/>
      <c r="K498" s="110"/>
      <c r="L498" s="110"/>
      <c r="M498" s="110"/>
      <c r="N498" s="110"/>
      <c r="O498" s="110"/>
      <c r="P498" s="110"/>
      <c r="Q498" s="110"/>
      <c r="R498" s="110"/>
      <c r="S498" s="110"/>
      <c r="T498" s="110"/>
      <c r="U498" s="49"/>
      <c r="V498" s="49"/>
      <c r="W498" s="49"/>
      <c r="X498" s="49"/>
      <c r="Y498" s="49"/>
      <c r="Z498" s="49"/>
      <c r="AA498" s="49"/>
      <c r="AB498" s="49"/>
      <c r="AC498" s="49"/>
      <c r="AD498" s="113"/>
      <c r="AE498" s="49"/>
      <c r="AF498" s="50"/>
      <c r="AG498" s="50"/>
      <c r="AH498" s="50"/>
      <c r="AI498" s="50"/>
      <c r="AJ498" s="50"/>
      <c r="AK498" s="50"/>
      <c r="AL498" s="50"/>
      <c r="AM498" s="50"/>
      <c r="AN498" s="50"/>
      <c r="AO498" s="9"/>
      <c r="AP498" s="9"/>
    </row>
    <row r="499" spans="1:42" x14ac:dyDescent="0.55000000000000004">
      <c r="A499" t="str">
        <f t="shared" si="7"/>
        <v/>
      </c>
      <c r="C499" s="103"/>
      <c r="D499" s="110"/>
      <c r="E499" s="112"/>
      <c r="F499" s="110"/>
      <c r="G499" s="112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49"/>
      <c r="V499" s="49"/>
      <c r="W499" s="49"/>
      <c r="X499" s="49"/>
      <c r="Y499" s="49"/>
      <c r="Z499" s="49"/>
      <c r="AA499" s="49"/>
      <c r="AB499" s="49"/>
      <c r="AC499" s="49"/>
      <c r="AD499" s="113"/>
      <c r="AE499" s="49"/>
      <c r="AF499" s="50"/>
      <c r="AG499" s="50"/>
      <c r="AH499" s="50"/>
      <c r="AI499" s="50"/>
      <c r="AJ499" s="50"/>
      <c r="AK499" s="50"/>
      <c r="AL499" s="50"/>
      <c r="AM499" s="50"/>
      <c r="AN499" s="50"/>
      <c r="AO499" s="9"/>
      <c r="AP499" s="9"/>
    </row>
    <row r="500" spans="1:42" x14ac:dyDescent="0.55000000000000004">
      <c r="A500" t="str">
        <f t="shared" si="7"/>
        <v/>
      </c>
      <c r="C500" s="103"/>
      <c r="D500" s="110"/>
      <c r="E500" s="112"/>
      <c r="F500" s="110"/>
      <c r="G500" s="112"/>
      <c r="H500" s="110"/>
      <c r="I500" s="110"/>
      <c r="J500" s="110"/>
      <c r="K500" s="110"/>
      <c r="L500" s="110"/>
      <c r="M500" s="110"/>
      <c r="N500" s="110"/>
      <c r="O500" s="110"/>
      <c r="P500" s="110"/>
      <c r="Q500" s="110"/>
      <c r="R500" s="110"/>
      <c r="S500" s="110"/>
      <c r="T500" s="110"/>
      <c r="U500" s="49"/>
      <c r="V500" s="49"/>
      <c r="W500" s="49"/>
      <c r="X500" s="49"/>
      <c r="Y500" s="49"/>
      <c r="Z500" s="49"/>
      <c r="AA500" s="49"/>
      <c r="AB500" s="49"/>
      <c r="AC500" s="49"/>
      <c r="AD500" s="113"/>
      <c r="AE500" s="49"/>
      <c r="AF500" s="50"/>
      <c r="AG500" s="50"/>
      <c r="AH500" s="50"/>
      <c r="AI500" s="50"/>
      <c r="AJ500" s="50"/>
      <c r="AK500" s="50"/>
      <c r="AL500" s="50"/>
      <c r="AM500" s="50"/>
      <c r="AN500" s="50"/>
      <c r="AO500" s="9"/>
      <c r="AP500" s="9"/>
    </row>
    <row r="501" spans="1:42" x14ac:dyDescent="0.55000000000000004">
      <c r="A501" t="str">
        <f t="shared" si="7"/>
        <v/>
      </c>
      <c r="C501" s="103"/>
      <c r="D501" s="110"/>
      <c r="E501" s="112"/>
      <c r="F501" s="110"/>
      <c r="G501" s="112"/>
      <c r="H501" s="110"/>
      <c r="I501" s="110"/>
      <c r="J501" s="110"/>
      <c r="K501" s="110"/>
      <c r="L501" s="110"/>
      <c r="M501" s="110"/>
      <c r="N501" s="110"/>
      <c r="O501" s="110"/>
      <c r="P501" s="110"/>
      <c r="Q501" s="110"/>
      <c r="R501" s="110"/>
      <c r="S501" s="110"/>
      <c r="T501" s="110"/>
      <c r="U501" s="49"/>
      <c r="V501" s="49"/>
      <c r="W501" s="49"/>
      <c r="X501" s="49"/>
      <c r="Y501" s="49"/>
      <c r="Z501" s="49"/>
      <c r="AA501" s="49"/>
      <c r="AB501" s="49"/>
      <c r="AC501" s="49"/>
      <c r="AD501" s="113"/>
      <c r="AE501" s="49"/>
      <c r="AF501" s="50"/>
      <c r="AG501" s="50"/>
      <c r="AH501" s="50"/>
      <c r="AI501" s="50"/>
      <c r="AJ501" s="50"/>
      <c r="AK501" s="50"/>
      <c r="AL501" s="50"/>
      <c r="AM501" s="50"/>
      <c r="AN501" s="50"/>
      <c r="AO501" s="9"/>
      <c r="AP501" s="9"/>
    </row>
    <row r="502" spans="1:42" x14ac:dyDescent="0.55000000000000004">
      <c r="A502" t="str">
        <f t="shared" si="7"/>
        <v/>
      </c>
      <c r="C502" s="103"/>
      <c r="D502" s="110"/>
      <c r="E502" s="110"/>
      <c r="F502" s="110"/>
      <c r="G502" s="110"/>
      <c r="H502" s="110"/>
      <c r="I502" s="110"/>
      <c r="J502" s="110"/>
      <c r="K502" s="110"/>
      <c r="L502" s="110"/>
      <c r="M502" s="110"/>
      <c r="N502" s="110"/>
      <c r="O502" s="110"/>
      <c r="P502" s="110"/>
      <c r="Q502" s="110"/>
      <c r="R502" s="110"/>
      <c r="S502" s="110"/>
      <c r="T502" s="110"/>
      <c r="U502" s="49"/>
      <c r="V502" s="49"/>
      <c r="W502" s="49"/>
      <c r="X502" s="49"/>
      <c r="Y502" s="49"/>
      <c r="Z502" s="49"/>
      <c r="AA502" s="49"/>
      <c r="AB502" s="49"/>
      <c r="AC502" s="49"/>
      <c r="AD502" s="113"/>
      <c r="AE502" s="49"/>
      <c r="AF502" s="50"/>
      <c r="AG502" s="50"/>
      <c r="AH502" s="50"/>
      <c r="AI502" s="50"/>
      <c r="AJ502" s="50"/>
      <c r="AK502" s="50"/>
      <c r="AL502" s="50"/>
      <c r="AM502" s="50"/>
      <c r="AN502" s="50"/>
      <c r="AO502" s="9"/>
      <c r="AP502" s="9"/>
    </row>
    <row r="503" spans="1:42" x14ac:dyDescent="0.55000000000000004">
      <c r="A503" t="str">
        <f t="shared" si="7"/>
        <v/>
      </c>
      <c r="C503" s="103"/>
      <c r="D503" s="110"/>
      <c r="E503" s="110"/>
      <c r="F503" s="110"/>
      <c r="G503" s="110"/>
      <c r="H503" s="110"/>
      <c r="I503" s="110"/>
      <c r="J503" s="110"/>
      <c r="K503" s="110"/>
      <c r="L503" s="110"/>
      <c r="M503" s="110"/>
      <c r="N503" s="110"/>
      <c r="O503" s="110"/>
      <c r="P503" s="110"/>
      <c r="Q503" s="110"/>
      <c r="R503" s="110"/>
      <c r="S503" s="110"/>
      <c r="T503" s="110"/>
      <c r="U503" s="49"/>
      <c r="V503" s="49"/>
      <c r="W503" s="49"/>
      <c r="X503" s="49"/>
      <c r="Y503" s="49"/>
      <c r="Z503" s="49"/>
      <c r="AA503" s="49"/>
      <c r="AB503" s="49"/>
      <c r="AC503" s="49"/>
      <c r="AD503" s="113"/>
      <c r="AE503" s="49"/>
      <c r="AF503" s="50"/>
      <c r="AG503" s="50"/>
      <c r="AH503" s="50"/>
      <c r="AI503" s="50"/>
      <c r="AJ503" s="50"/>
      <c r="AK503" s="50"/>
      <c r="AL503" s="50"/>
      <c r="AM503" s="50"/>
      <c r="AN503" s="50"/>
      <c r="AO503" s="9"/>
      <c r="AP503" s="9"/>
    </row>
    <row r="504" spans="1:42" x14ac:dyDescent="0.55000000000000004">
      <c r="A504" t="str">
        <f t="shared" si="7"/>
        <v/>
      </c>
      <c r="C504" s="103"/>
      <c r="D504" s="110"/>
      <c r="E504" s="110"/>
      <c r="F504" s="110"/>
      <c r="G504" s="110"/>
      <c r="H504" s="110"/>
      <c r="I504" s="110"/>
      <c r="J504" s="110"/>
      <c r="K504" s="110"/>
      <c r="L504" s="110"/>
      <c r="M504" s="110"/>
      <c r="N504" s="110"/>
      <c r="O504" s="110"/>
      <c r="P504" s="110"/>
      <c r="Q504" s="110"/>
      <c r="R504" s="110"/>
      <c r="S504" s="110"/>
      <c r="T504" s="110"/>
      <c r="U504" s="49"/>
      <c r="V504" s="49"/>
      <c r="W504" s="49"/>
      <c r="X504" s="49"/>
      <c r="Y504" s="49"/>
      <c r="Z504" s="49"/>
      <c r="AA504" s="49"/>
      <c r="AB504" s="49"/>
      <c r="AC504" s="49"/>
      <c r="AD504" s="113"/>
      <c r="AE504" s="49"/>
      <c r="AF504" s="50"/>
      <c r="AG504" s="50"/>
      <c r="AH504" s="50"/>
      <c r="AI504" s="50"/>
      <c r="AJ504" s="50"/>
      <c r="AK504" s="50"/>
      <c r="AL504" s="50"/>
      <c r="AM504" s="50"/>
      <c r="AN504" s="50"/>
      <c r="AO504" s="9"/>
      <c r="AP504" s="9"/>
    </row>
    <row r="505" spans="1:42" x14ac:dyDescent="0.55000000000000004">
      <c r="A505" t="str">
        <f t="shared" si="7"/>
        <v/>
      </c>
      <c r="C505" s="103"/>
      <c r="D505" s="110"/>
      <c r="E505" s="110"/>
      <c r="F505" s="110"/>
      <c r="G505" s="110"/>
      <c r="H505" s="110"/>
      <c r="I505" s="110"/>
      <c r="J505" s="110"/>
      <c r="K505" s="110"/>
      <c r="L505" s="110"/>
      <c r="M505" s="110"/>
      <c r="N505" s="110"/>
      <c r="O505" s="110"/>
      <c r="P505" s="110"/>
      <c r="Q505" s="110"/>
      <c r="R505" s="110"/>
      <c r="S505" s="110"/>
      <c r="T505" s="110"/>
      <c r="U505" s="49"/>
      <c r="V505" s="49"/>
      <c r="W505" s="49"/>
      <c r="X505" s="49"/>
      <c r="Y505" s="49"/>
      <c r="Z505" s="49"/>
      <c r="AA505" s="49"/>
      <c r="AB505" s="49"/>
      <c r="AC505" s="49"/>
      <c r="AD505" s="113"/>
      <c r="AE505" s="49"/>
      <c r="AF505" s="50"/>
      <c r="AG505" s="50"/>
      <c r="AH505" s="50"/>
      <c r="AI505" s="50"/>
      <c r="AJ505" s="50"/>
      <c r="AK505" s="50"/>
      <c r="AL505" s="50"/>
      <c r="AM505" s="50"/>
      <c r="AN505" s="50"/>
      <c r="AO505" s="9"/>
      <c r="AP505" s="9"/>
    </row>
    <row r="506" spans="1:42" x14ac:dyDescent="0.55000000000000004">
      <c r="A506" t="str">
        <f t="shared" si="7"/>
        <v/>
      </c>
      <c r="C506" s="103"/>
      <c r="D506" s="110"/>
      <c r="E506" s="110"/>
      <c r="F506" s="110"/>
      <c r="G506" s="110"/>
      <c r="H506" s="110"/>
      <c r="I506" s="110"/>
      <c r="J506" s="110"/>
      <c r="K506" s="110"/>
      <c r="L506" s="110"/>
      <c r="M506" s="110"/>
      <c r="N506" s="110"/>
      <c r="O506" s="110"/>
      <c r="P506" s="110"/>
      <c r="Q506" s="110"/>
      <c r="R506" s="110"/>
      <c r="S506" s="110"/>
      <c r="T506" s="110"/>
      <c r="U506" s="49"/>
      <c r="V506" s="49"/>
      <c r="W506" s="49"/>
      <c r="X506" s="49"/>
      <c r="Y506" s="49"/>
      <c r="Z506" s="49"/>
      <c r="AA506" s="49"/>
      <c r="AB506" s="49"/>
      <c r="AC506" s="49"/>
      <c r="AD506" s="113"/>
      <c r="AE506" s="49"/>
      <c r="AF506" s="50"/>
      <c r="AG506" s="50"/>
      <c r="AH506" s="50"/>
      <c r="AI506" s="50"/>
      <c r="AJ506" s="50"/>
      <c r="AK506" s="50"/>
      <c r="AL506" s="50"/>
      <c r="AM506" s="50"/>
      <c r="AN506" s="50"/>
      <c r="AO506" s="9"/>
      <c r="AP506" s="9"/>
    </row>
    <row r="507" spans="1:42" x14ac:dyDescent="0.55000000000000004">
      <c r="A507" t="str">
        <f t="shared" si="7"/>
        <v/>
      </c>
      <c r="C507" s="103"/>
      <c r="D507" s="110"/>
      <c r="E507" s="110"/>
      <c r="F507" s="110"/>
      <c r="G507" s="110"/>
      <c r="H507" s="110"/>
      <c r="I507" s="110"/>
      <c r="J507" s="110"/>
      <c r="K507" s="110"/>
      <c r="L507" s="110"/>
      <c r="M507" s="110"/>
      <c r="N507" s="110"/>
      <c r="O507" s="110"/>
      <c r="P507" s="110"/>
      <c r="Q507" s="110"/>
      <c r="R507" s="110"/>
      <c r="S507" s="110"/>
      <c r="T507" s="110"/>
      <c r="U507" s="49"/>
      <c r="V507" s="49"/>
      <c r="W507" s="49"/>
      <c r="X507" s="49"/>
      <c r="Y507" s="49"/>
      <c r="Z507" s="49"/>
      <c r="AA507" s="49"/>
      <c r="AB507" s="49"/>
      <c r="AC507" s="49"/>
      <c r="AD507" s="113"/>
      <c r="AE507" s="49"/>
      <c r="AF507" s="50"/>
      <c r="AG507" s="50"/>
      <c r="AH507" s="50"/>
      <c r="AI507" s="50"/>
      <c r="AJ507" s="50"/>
      <c r="AK507" s="50"/>
      <c r="AL507" s="50"/>
      <c r="AM507" s="50"/>
      <c r="AN507" s="50"/>
      <c r="AO507" s="9"/>
      <c r="AP507" s="9"/>
    </row>
    <row r="508" spans="1:42" x14ac:dyDescent="0.55000000000000004">
      <c r="A508" t="str">
        <f t="shared" si="7"/>
        <v/>
      </c>
      <c r="C508" s="103"/>
      <c r="D508" s="110"/>
      <c r="E508" s="110"/>
      <c r="F508" s="110"/>
      <c r="G508" s="110"/>
      <c r="H508" s="110"/>
      <c r="I508" s="110"/>
      <c r="J508" s="110"/>
      <c r="K508" s="110"/>
      <c r="L508" s="110"/>
      <c r="M508" s="110"/>
      <c r="N508" s="110"/>
      <c r="O508" s="110"/>
      <c r="P508" s="110"/>
      <c r="Q508" s="110"/>
      <c r="R508" s="110"/>
      <c r="S508" s="110"/>
      <c r="T508" s="110"/>
      <c r="U508" s="49"/>
      <c r="V508" s="49"/>
      <c r="W508" s="49"/>
      <c r="X508" s="49"/>
      <c r="Y508" s="49"/>
      <c r="Z508" s="49"/>
      <c r="AA508" s="49"/>
      <c r="AB508" s="49"/>
      <c r="AC508" s="49"/>
      <c r="AD508" s="113"/>
      <c r="AE508" s="49"/>
      <c r="AF508" s="50"/>
      <c r="AG508" s="50"/>
      <c r="AH508" s="50"/>
      <c r="AI508" s="50"/>
      <c r="AJ508" s="50"/>
      <c r="AK508" s="50"/>
      <c r="AL508" s="50"/>
      <c r="AM508" s="50"/>
      <c r="AN508" s="50"/>
      <c r="AO508" s="9"/>
      <c r="AP508" s="9"/>
    </row>
    <row r="509" spans="1:42" x14ac:dyDescent="0.55000000000000004">
      <c r="A509" t="str">
        <f t="shared" si="7"/>
        <v/>
      </c>
      <c r="C509" s="103"/>
      <c r="D509" s="110"/>
      <c r="E509" s="110"/>
      <c r="F509" s="110"/>
      <c r="G509" s="110"/>
      <c r="H509" s="110"/>
      <c r="I509" s="110"/>
      <c r="J509" s="110"/>
      <c r="K509" s="110"/>
      <c r="L509" s="110"/>
      <c r="M509" s="110"/>
      <c r="N509" s="110"/>
      <c r="O509" s="110"/>
      <c r="P509" s="110"/>
      <c r="Q509" s="110"/>
      <c r="R509" s="110"/>
      <c r="S509" s="110"/>
      <c r="T509" s="110"/>
      <c r="U509" s="49"/>
      <c r="V509" s="49"/>
      <c r="W509" s="49"/>
      <c r="X509" s="49"/>
      <c r="Y509" s="49"/>
      <c r="Z509" s="49"/>
      <c r="AA509" s="49"/>
      <c r="AB509" s="49"/>
      <c r="AC509" s="49"/>
      <c r="AD509" s="113"/>
      <c r="AE509" s="49"/>
      <c r="AF509" s="50"/>
      <c r="AG509" s="50"/>
      <c r="AH509" s="50"/>
      <c r="AI509" s="50"/>
      <c r="AJ509" s="50"/>
      <c r="AK509" s="50"/>
      <c r="AL509" s="50"/>
      <c r="AM509" s="50"/>
      <c r="AN509" s="50"/>
      <c r="AO509" s="9"/>
      <c r="AP509" s="9"/>
    </row>
    <row r="510" spans="1:42" x14ac:dyDescent="0.55000000000000004">
      <c r="A510" t="str">
        <f t="shared" si="7"/>
        <v/>
      </c>
      <c r="C510" s="103"/>
      <c r="D510" s="110"/>
      <c r="E510" s="110"/>
      <c r="F510" s="110"/>
      <c r="G510" s="110"/>
      <c r="H510" s="110"/>
      <c r="I510" s="110"/>
      <c r="J510" s="110"/>
      <c r="K510" s="110"/>
      <c r="L510" s="110"/>
      <c r="M510" s="110"/>
      <c r="N510" s="110"/>
      <c r="O510" s="110"/>
      <c r="P510" s="110"/>
      <c r="Q510" s="110"/>
      <c r="R510" s="110"/>
      <c r="S510" s="110"/>
      <c r="T510" s="110"/>
      <c r="U510" s="49"/>
      <c r="V510" s="49"/>
      <c r="W510" s="49"/>
      <c r="X510" s="49"/>
      <c r="Y510" s="49"/>
      <c r="Z510" s="49"/>
      <c r="AA510" s="49"/>
      <c r="AB510" s="49"/>
      <c r="AC510" s="49"/>
      <c r="AD510" s="113"/>
      <c r="AE510" s="49"/>
      <c r="AF510" s="50"/>
      <c r="AG510" s="50"/>
      <c r="AH510" s="50"/>
      <c r="AI510" s="50"/>
      <c r="AJ510" s="50"/>
      <c r="AK510" s="50"/>
      <c r="AL510" s="50"/>
      <c r="AM510" s="50"/>
      <c r="AN510" s="50"/>
      <c r="AO510" s="9"/>
      <c r="AP510" s="9"/>
    </row>
    <row r="511" spans="1:42" x14ac:dyDescent="0.55000000000000004">
      <c r="A511" t="str">
        <f t="shared" si="7"/>
        <v/>
      </c>
      <c r="C511" s="103"/>
      <c r="D511" s="110"/>
      <c r="E511" s="110"/>
      <c r="F511" s="110"/>
      <c r="G511" s="110"/>
      <c r="H511" s="110"/>
      <c r="I511" s="110"/>
      <c r="J511" s="110"/>
      <c r="K511" s="110"/>
      <c r="L511" s="110"/>
      <c r="M511" s="110"/>
      <c r="N511" s="110"/>
      <c r="O511" s="110"/>
      <c r="P511" s="110"/>
      <c r="Q511" s="110"/>
      <c r="R511" s="110"/>
      <c r="S511" s="110"/>
      <c r="T511" s="110"/>
      <c r="U511" s="49"/>
      <c r="V511" s="49"/>
      <c r="W511" s="49"/>
      <c r="X511" s="49"/>
      <c r="Y511" s="49"/>
      <c r="Z511" s="49"/>
      <c r="AA511" s="49"/>
      <c r="AB511" s="49"/>
      <c r="AC511" s="49"/>
      <c r="AD511" s="113"/>
      <c r="AE511" s="49"/>
      <c r="AF511" s="50"/>
      <c r="AG511" s="50"/>
      <c r="AH511" s="50"/>
      <c r="AI511" s="50"/>
      <c r="AJ511" s="50"/>
      <c r="AK511" s="50"/>
      <c r="AL511" s="50"/>
      <c r="AM511" s="50"/>
      <c r="AN511" s="50"/>
      <c r="AO511" s="9"/>
      <c r="AP511" s="9"/>
    </row>
    <row r="512" spans="1:42" x14ac:dyDescent="0.55000000000000004">
      <c r="A512" t="str">
        <f t="shared" si="7"/>
        <v/>
      </c>
      <c r="C512" s="103"/>
      <c r="D512" s="110"/>
      <c r="E512" s="110"/>
      <c r="F512" s="110"/>
      <c r="G512" s="110"/>
      <c r="H512" s="110"/>
      <c r="I512" s="110"/>
      <c r="J512" s="110"/>
      <c r="K512" s="110"/>
      <c r="L512" s="110"/>
      <c r="M512" s="110"/>
      <c r="N512" s="110"/>
      <c r="O512" s="110"/>
      <c r="P512" s="110"/>
      <c r="Q512" s="110"/>
      <c r="R512" s="110"/>
      <c r="S512" s="110"/>
      <c r="T512" s="110"/>
      <c r="U512" s="49"/>
      <c r="V512" s="49"/>
      <c r="W512" s="49"/>
      <c r="X512" s="49"/>
      <c r="Y512" s="49"/>
      <c r="Z512" s="49"/>
      <c r="AA512" s="49"/>
      <c r="AB512" s="49"/>
      <c r="AC512" s="49"/>
      <c r="AD512" s="113"/>
      <c r="AE512" s="49"/>
      <c r="AF512" s="50"/>
      <c r="AG512" s="50"/>
      <c r="AH512" s="50"/>
      <c r="AI512" s="50"/>
      <c r="AJ512" s="50"/>
      <c r="AK512" s="50"/>
      <c r="AL512" s="50"/>
      <c r="AM512" s="50"/>
      <c r="AN512" s="50"/>
      <c r="AO512" s="9"/>
      <c r="AP512" s="9"/>
    </row>
    <row r="513" spans="1:42" x14ac:dyDescent="0.55000000000000004">
      <c r="A513" t="str">
        <f t="shared" si="7"/>
        <v/>
      </c>
      <c r="C513" s="103"/>
      <c r="D513" s="110"/>
      <c r="E513" s="110"/>
      <c r="F513" s="110"/>
      <c r="G513" s="110"/>
      <c r="H513" s="110"/>
      <c r="I513" s="110"/>
      <c r="J513" s="110"/>
      <c r="K513" s="110"/>
      <c r="L513" s="110"/>
      <c r="M513" s="110"/>
      <c r="N513" s="110"/>
      <c r="O513" s="110"/>
      <c r="P513" s="110"/>
      <c r="Q513" s="110"/>
      <c r="R513" s="110"/>
      <c r="S513" s="110"/>
      <c r="T513" s="110"/>
      <c r="U513" s="49"/>
      <c r="V513" s="49"/>
      <c r="W513" s="49"/>
      <c r="X513" s="49"/>
      <c r="Y513" s="49"/>
      <c r="Z513" s="49"/>
      <c r="AA513" s="49"/>
      <c r="AB513" s="49"/>
      <c r="AC513" s="49"/>
      <c r="AD513" s="113"/>
      <c r="AE513" s="49"/>
      <c r="AF513" s="50"/>
      <c r="AG513" s="50"/>
      <c r="AH513" s="50"/>
      <c r="AI513" s="50"/>
      <c r="AJ513" s="50"/>
      <c r="AK513" s="50"/>
      <c r="AL513" s="50"/>
      <c r="AM513" s="50"/>
      <c r="AN513" s="50"/>
      <c r="AO513" s="9"/>
      <c r="AP513" s="9"/>
    </row>
    <row r="514" spans="1:42" x14ac:dyDescent="0.55000000000000004">
      <c r="A514" t="str">
        <f t="shared" si="7"/>
        <v/>
      </c>
      <c r="C514" s="103"/>
      <c r="D514" s="110"/>
      <c r="E514" s="110"/>
      <c r="F514" s="110"/>
      <c r="G514" s="110"/>
      <c r="H514" s="110"/>
      <c r="I514" s="110"/>
      <c r="J514" s="110"/>
      <c r="K514" s="110"/>
      <c r="L514" s="110"/>
      <c r="M514" s="110"/>
      <c r="N514" s="110"/>
      <c r="O514" s="110"/>
      <c r="P514" s="110"/>
      <c r="Q514" s="110"/>
      <c r="R514" s="110"/>
      <c r="S514" s="110"/>
      <c r="T514" s="110"/>
      <c r="U514" s="49"/>
      <c r="V514" s="49"/>
      <c r="W514" s="49"/>
      <c r="X514" s="49"/>
      <c r="Y514" s="49"/>
      <c r="Z514" s="49"/>
      <c r="AA514" s="49"/>
      <c r="AB514" s="49"/>
      <c r="AC514" s="49"/>
      <c r="AD514" s="113"/>
      <c r="AE514" s="49"/>
      <c r="AF514" s="50"/>
      <c r="AG514" s="50"/>
      <c r="AH514" s="50"/>
      <c r="AI514" s="50"/>
      <c r="AJ514" s="50"/>
      <c r="AK514" s="50"/>
      <c r="AL514" s="50"/>
      <c r="AM514" s="50"/>
      <c r="AN514" s="50"/>
      <c r="AO514" s="9"/>
      <c r="AP514" s="9"/>
    </row>
    <row r="515" spans="1:42" x14ac:dyDescent="0.55000000000000004">
      <c r="A515" t="str">
        <f t="shared" ref="A515:A578" si="8">H515&amp;I515&amp;J515</f>
        <v/>
      </c>
      <c r="C515" s="103"/>
      <c r="D515" s="110"/>
      <c r="E515" s="110"/>
      <c r="F515" s="110"/>
      <c r="G515" s="110"/>
      <c r="H515" s="110"/>
      <c r="I515" s="110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49"/>
      <c r="V515" s="49"/>
      <c r="W515" s="49"/>
      <c r="X515" s="49"/>
      <c r="Y515" s="49"/>
      <c r="Z515" s="49"/>
      <c r="AA515" s="49"/>
      <c r="AB515" s="49"/>
      <c r="AC515" s="49"/>
      <c r="AD515" s="113"/>
      <c r="AE515" s="49"/>
      <c r="AF515" s="50"/>
      <c r="AG515" s="50"/>
      <c r="AH515" s="50"/>
      <c r="AI515" s="50"/>
      <c r="AJ515" s="50"/>
      <c r="AK515" s="50"/>
      <c r="AL515" s="50"/>
      <c r="AM515" s="50"/>
      <c r="AN515" s="50"/>
      <c r="AO515" s="9"/>
      <c r="AP515" s="9"/>
    </row>
    <row r="516" spans="1:42" x14ac:dyDescent="0.55000000000000004">
      <c r="A516" t="str">
        <f t="shared" si="8"/>
        <v/>
      </c>
      <c r="C516" s="103"/>
      <c r="D516" s="110"/>
      <c r="E516" s="110"/>
      <c r="F516" s="110"/>
      <c r="G516" s="110"/>
      <c r="H516" s="110"/>
      <c r="I516" s="110"/>
      <c r="J516" s="110"/>
      <c r="K516" s="110"/>
      <c r="L516" s="110"/>
      <c r="M516" s="110"/>
      <c r="N516" s="110"/>
      <c r="O516" s="110"/>
      <c r="P516" s="110"/>
      <c r="Q516" s="110"/>
      <c r="R516" s="110"/>
      <c r="S516" s="110"/>
      <c r="T516" s="110"/>
      <c r="U516" s="49"/>
      <c r="V516" s="49"/>
      <c r="W516" s="49"/>
      <c r="X516" s="49"/>
      <c r="Y516" s="49"/>
      <c r="Z516" s="49"/>
      <c r="AA516" s="49"/>
      <c r="AB516" s="49"/>
      <c r="AC516" s="49"/>
      <c r="AD516" s="113"/>
      <c r="AE516" s="49"/>
      <c r="AF516" s="50"/>
      <c r="AG516" s="50"/>
      <c r="AH516" s="50"/>
      <c r="AI516" s="50"/>
      <c r="AJ516" s="50"/>
      <c r="AK516" s="50"/>
      <c r="AL516" s="50"/>
      <c r="AM516" s="50"/>
      <c r="AN516" s="50"/>
      <c r="AO516" s="9"/>
      <c r="AP516" s="9"/>
    </row>
    <row r="517" spans="1:42" x14ac:dyDescent="0.55000000000000004">
      <c r="A517" t="str">
        <f t="shared" si="8"/>
        <v/>
      </c>
      <c r="C517" s="103"/>
      <c r="D517" s="110"/>
      <c r="E517" s="110"/>
      <c r="F517" s="110"/>
      <c r="G517" s="110"/>
      <c r="H517" s="110"/>
      <c r="I517" s="110"/>
      <c r="J517" s="110"/>
      <c r="K517" s="110"/>
      <c r="L517" s="110"/>
      <c r="M517" s="110"/>
      <c r="N517" s="110"/>
      <c r="O517" s="110"/>
      <c r="P517" s="110"/>
      <c r="Q517" s="110"/>
      <c r="R517" s="110"/>
      <c r="S517" s="110"/>
      <c r="T517" s="110"/>
      <c r="U517" s="49"/>
      <c r="V517" s="49"/>
      <c r="W517" s="49"/>
      <c r="X517" s="49"/>
      <c r="Y517" s="49"/>
      <c r="Z517" s="49"/>
      <c r="AA517" s="49"/>
      <c r="AB517" s="49"/>
      <c r="AC517" s="49"/>
      <c r="AD517" s="113"/>
      <c r="AE517" s="49"/>
      <c r="AF517" s="50"/>
      <c r="AG517" s="50"/>
      <c r="AH517" s="50"/>
      <c r="AI517" s="50"/>
      <c r="AJ517" s="50"/>
      <c r="AK517" s="50"/>
      <c r="AL517" s="50"/>
      <c r="AM517" s="50"/>
      <c r="AN517" s="50"/>
      <c r="AO517" s="9"/>
      <c r="AP517" s="9"/>
    </row>
    <row r="518" spans="1:42" x14ac:dyDescent="0.55000000000000004">
      <c r="A518" t="str">
        <f t="shared" si="8"/>
        <v/>
      </c>
      <c r="C518" s="103"/>
      <c r="D518" s="110"/>
      <c r="E518" s="110"/>
      <c r="F518" s="110"/>
      <c r="G518" s="110"/>
      <c r="H518" s="110"/>
      <c r="I518" s="110"/>
      <c r="J518" s="110"/>
      <c r="K518" s="110"/>
      <c r="L518" s="110"/>
      <c r="M518" s="110"/>
      <c r="N518" s="110"/>
      <c r="O518" s="110"/>
      <c r="P518" s="110"/>
      <c r="Q518" s="110"/>
      <c r="R518" s="110"/>
      <c r="S518" s="110"/>
      <c r="T518" s="110"/>
      <c r="U518" s="49"/>
      <c r="V518" s="49"/>
      <c r="W518" s="49"/>
      <c r="X518" s="49"/>
      <c r="Y518" s="49"/>
      <c r="Z518" s="49"/>
      <c r="AA518" s="49"/>
      <c r="AB518" s="49"/>
      <c r="AC518" s="49"/>
      <c r="AD518" s="113"/>
      <c r="AE518" s="49"/>
      <c r="AF518" s="50"/>
      <c r="AG518" s="50"/>
      <c r="AH518" s="50"/>
      <c r="AI518" s="50"/>
      <c r="AJ518" s="50"/>
      <c r="AK518" s="50"/>
      <c r="AL518" s="50"/>
      <c r="AM518" s="50"/>
      <c r="AN518" s="50"/>
      <c r="AO518" s="9"/>
      <c r="AP518" s="9"/>
    </row>
    <row r="519" spans="1:42" x14ac:dyDescent="0.55000000000000004">
      <c r="A519" t="str">
        <f t="shared" si="8"/>
        <v/>
      </c>
      <c r="C519" s="103"/>
      <c r="D519" s="110"/>
      <c r="E519" s="110"/>
      <c r="F519" s="110"/>
      <c r="G519" s="110"/>
      <c r="H519" s="110"/>
      <c r="I519" s="110"/>
      <c r="J519" s="110"/>
      <c r="K519" s="110"/>
      <c r="L519" s="110"/>
      <c r="M519" s="110"/>
      <c r="N519" s="110"/>
      <c r="O519" s="110"/>
      <c r="P519" s="110"/>
      <c r="Q519" s="110"/>
      <c r="R519" s="110"/>
      <c r="S519" s="110"/>
      <c r="T519" s="110"/>
      <c r="U519" s="49"/>
      <c r="V519" s="49"/>
      <c r="W519" s="49"/>
      <c r="X519" s="49"/>
      <c r="Y519" s="49"/>
      <c r="Z519" s="49"/>
      <c r="AA519" s="49"/>
      <c r="AB519" s="49"/>
      <c r="AC519" s="49"/>
      <c r="AD519" s="113"/>
      <c r="AE519" s="49"/>
      <c r="AF519" s="50"/>
      <c r="AG519" s="50"/>
      <c r="AH519" s="50"/>
      <c r="AI519" s="50"/>
      <c r="AJ519" s="50"/>
      <c r="AK519" s="50"/>
      <c r="AL519" s="50"/>
      <c r="AM519" s="50"/>
      <c r="AN519" s="50"/>
      <c r="AO519" s="9"/>
      <c r="AP519" s="9"/>
    </row>
    <row r="520" spans="1:42" x14ac:dyDescent="0.55000000000000004">
      <c r="A520" t="str">
        <f t="shared" si="8"/>
        <v/>
      </c>
      <c r="C520" s="103"/>
      <c r="D520" s="110"/>
      <c r="E520" s="110"/>
      <c r="F520" s="110"/>
      <c r="G520" s="110"/>
      <c r="H520" s="110"/>
      <c r="I520" s="110"/>
      <c r="J520" s="110"/>
      <c r="K520" s="110"/>
      <c r="L520" s="110"/>
      <c r="M520" s="110"/>
      <c r="N520" s="110"/>
      <c r="O520" s="110"/>
      <c r="P520" s="110"/>
      <c r="Q520" s="110"/>
      <c r="R520" s="110"/>
      <c r="S520" s="110"/>
      <c r="T520" s="110"/>
      <c r="U520" s="49"/>
      <c r="V520" s="49"/>
      <c r="W520" s="49"/>
      <c r="X520" s="49"/>
      <c r="Y520" s="49"/>
      <c r="Z520" s="49"/>
      <c r="AA520" s="49"/>
      <c r="AB520" s="49"/>
      <c r="AC520" s="49"/>
      <c r="AD520" s="113"/>
      <c r="AE520" s="49"/>
      <c r="AF520" s="50"/>
      <c r="AG520" s="50"/>
      <c r="AH520" s="50"/>
      <c r="AI520" s="50"/>
      <c r="AJ520" s="50"/>
      <c r="AK520" s="50"/>
      <c r="AL520" s="50"/>
      <c r="AM520" s="50"/>
      <c r="AN520" s="50"/>
      <c r="AO520" s="9"/>
      <c r="AP520" s="9"/>
    </row>
    <row r="521" spans="1:42" x14ac:dyDescent="0.55000000000000004">
      <c r="A521" t="str">
        <f t="shared" si="8"/>
        <v/>
      </c>
      <c r="C521" s="103"/>
      <c r="D521" s="110"/>
      <c r="E521" s="110"/>
      <c r="F521" s="110"/>
      <c r="G521" s="110"/>
      <c r="H521" s="110"/>
      <c r="I521" s="110"/>
      <c r="J521" s="110"/>
      <c r="K521" s="110"/>
      <c r="L521" s="110"/>
      <c r="M521" s="110"/>
      <c r="N521" s="110"/>
      <c r="O521" s="110"/>
      <c r="P521" s="110"/>
      <c r="Q521" s="110"/>
      <c r="R521" s="110"/>
      <c r="S521" s="110"/>
      <c r="T521" s="110"/>
      <c r="U521" s="49"/>
      <c r="V521" s="49"/>
      <c r="W521" s="49"/>
      <c r="X521" s="49"/>
      <c r="Y521" s="49"/>
      <c r="Z521" s="49"/>
      <c r="AA521" s="49"/>
      <c r="AB521" s="49"/>
      <c r="AC521" s="49"/>
      <c r="AD521" s="113"/>
      <c r="AE521" s="49"/>
      <c r="AF521" s="50"/>
      <c r="AG521" s="50"/>
      <c r="AH521" s="50"/>
      <c r="AI521" s="50"/>
      <c r="AJ521" s="50"/>
      <c r="AK521" s="50"/>
      <c r="AL521" s="50"/>
      <c r="AM521" s="50"/>
      <c r="AN521" s="50"/>
      <c r="AO521" s="9"/>
      <c r="AP521" s="9"/>
    </row>
    <row r="522" spans="1:42" x14ac:dyDescent="0.55000000000000004">
      <c r="A522" t="str">
        <f t="shared" si="8"/>
        <v/>
      </c>
      <c r="C522" s="103"/>
      <c r="D522" s="110"/>
      <c r="E522" s="110"/>
      <c r="F522" s="110"/>
      <c r="G522" s="110"/>
      <c r="H522" s="110"/>
      <c r="I522" s="110"/>
      <c r="J522" s="110"/>
      <c r="K522" s="110"/>
      <c r="L522" s="110"/>
      <c r="M522" s="110"/>
      <c r="N522" s="110"/>
      <c r="O522" s="110"/>
      <c r="P522" s="110"/>
      <c r="Q522" s="110"/>
      <c r="R522" s="110"/>
      <c r="S522" s="110"/>
      <c r="T522" s="110"/>
      <c r="U522" s="49"/>
      <c r="V522" s="49"/>
      <c r="W522" s="49"/>
      <c r="X522" s="49"/>
      <c r="Y522" s="49"/>
      <c r="Z522" s="49"/>
      <c r="AA522" s="49"/>
      <c r="AB522" s="49"/>
      <c r="AC522" s="49"/>
      <c r="AD522" s="113"/>
      <c r="AE522" s="49"/>
      <c r="AF522" s="50"/>
      <c r="AG522" s="50"/>
      <c r="AH522" s="50"/>
      <c r="AI522" s="50"/>
      <c r="AJ522" s="50"/>
      <c r="AK522" s="50"/>
      <c r="AL522" s="50"/>
      <c r="AM522" s="50"/>
      <c r="AN522" s="50"/>
      <c r="AO522" s="9"/>
      <c r="AP522" s="9"/>
    </row>
    <row r="523" spans="1:42" x14ac:dyDescent="0.55000000000000004">
      <c r="A523" t="str">
        <f t="shared" si="8"/>
        <v/>
      </c>
      <c r="C523" s="103"/>
      <c r="D523" s="110"/>
      <c r="E523" s="110"/>
      <c r="F523" s="110"/>
      <c r="G523" s="110"/>
      <c r="H523" s="110"/>
      <c r="I523" s="110"/>
      <c r="J523" s="110"/>
      <c r="K523" s="110"/>
      <c r="L523" s="110"/>
      <c r="M523" s="110"/>
      <c r="N523" s="110"/>
      <c r="O523" s="110"/>
      <c r="P523" s="110"/>
      <c r="Q523" s="110"/>
      <c r="R523" s="110"/>
      <c r="S523" s="110"/>
      <c r="T523" s="110"/>
      <c r="U523" s="49"/>
      <c r="V523" s="49"/>
      <c r="W523" s="49"/>
      <c r="X523" s="49"/>
      <c r="Y523" s="49"/>
      <c r="Z523" s="49"/>
      <c r="AA523" s="49"/>
      <c r="AB523" s="49"/>
      <c r="AC523" s="49"/>
      <c r="AD523" s="113"/>
      <c r="AE523" s="49"/>
      <c r="AF523" s="50"/>
      <c r="AG523" s="50"/>
      <c r="AH523" s="50"/>
      <c r="AI523" s="50"/>
      <c r="AJ523" s="50"/>
      <c r="AK523" s="50"/>
      <c r="AL523" s="50"/>
      <c r="AM523" s="50"/>
      <c r="AN523" s="50"/>
      <c r="AO523" s="9"/>
      <c r="AP523" s="9"/>
    </row>
    <row r="524" spans="1:42" x14ac:dyDescent="0.55000000000000004">
      <c r="A524" t="str">
        <f t="shared" si="8"/>
        <v/>
      </c>
      <c r="C524" s="103"/>
      <c r="D524" s="110"/>
      <c r="E524" s="110"/>
      <c r="F524" s="110"/>
      <c r="G524" s="110"/>
      <c r="H524" s="110"/>
      <c r="I524" s="110"/>
      <c r="J524" s="110"/>
      <c r="K524" s="110"/>
      <c r="L524" s="110"/>
      <c r="M524" s="110"/>
      <c r="N524" s="110"/>
      <c r="O524" s="110"/>
      <c r="P524" s="110"/>
      <c r="Q524" s="110"/>
      <c r="R524" s="110"/>
      <c r="S524" s="110"/>
      <c r="T524" s="110"/>
      <c r="U524" s="49"/>
      <c r="V524" s="49"/>
      <c r="W524" s="49"/>
      <c r="X524" s="49"/>
      <c r="Y524" s="49"/>
      <c r="Z524" s="49"/>
      <c r="AA524" s="49"/>
      <c r="AB524" s="49"/>
      <c r="AC524" s="49"/>
      <c r="AD524" s="113"/>
      <c r="AE524" s="49"/>
      <c r="AF524" s="50"/>
      <c r="AG524" s="50"/>
      <c r="AH524" s="50"/>
      <c r="AI524" s="50"/>
      <c r="AJ524" s="50"/>
      <c r="AK524" s="50"/>
      <c r="AL524" s="50"/>
      <c r="AM524" s="50"/>
      <c r="AN524" s="50"/>
      <c r="AO524" s="9"/>
      <c r="AP524" s="9"/>
    </row>
    <row r="525" spans="1:42" x14ac:dyDescent="0.55000000000000004">
      <c r="A525" t="str">
        <f t="shared" si="8"/>
        <v/>
      </c>
      <c r="C525" s="103"/>
      <c r="D525" s="110"/>
      <c r="E525" s="110"/>
      <c r="F525" s="110"/>
      <c r="G525" s="110"/>
      <c r="H525" s="110"/>
      <c r="I525" s="110"/>
      <c r="J525" s="110"/>
      <c r="K525" s="110"/>
      <c r="L525" s="110"/>
      <c r="M525" s="110"/>
      <c r="N525" s="110"/>
      <c r="O525" s="110"/>
      <c r="P525" s="110"/>
      <c r="Q525" s="110"/>
      <c r="R525" s="110"/>
      <c r="S525" s="110"/>
      <c r="T525" s="110"/>
      <c r="U525" s="49"/>
      <c r="V525" s="49"/>
      <c r="W525" s="49"/>
      <c r="X525" s="49"/>
      <c r="Y525" s="49"/>
      <c r="Z525" s="49"/>
      <c r="AA525" s="49"/>
      <c r="AB525" s="49"/>
      <c r="AC525" s="49"/>
      <c r="AD525" s="113"/>
      <c r="AE525" s="49"/>
      <c r="AF525" s="50"/>
      <c r="AG525" s="50"/>
      <c r="AH525" s="50"/>
      <c r="AI525" s="50"/>
      <c r="AJ525" s="50"/>
      <c r="AK525" s="50"/>
      <c r="AL525" s="50"/>
      <c r="AM525" s="50"/>
      <c r="AN525" s="50"/>
      <c r="AO525" s="9"/>
      <c r="AP525" s="9"/>
    </row>
    <row r="526" spans="1:42" x14ac:dyDescent="0.55000000000000004">
      <c r="A526" t="str">
        <f t="shared" si="8"/>
        <v/>
      </c>
      <c r="C526" s="103"/>
      <c r="D526" s="110"/>
      <c r="E526" s="110"/>
      <c r="F526" s="110"/>
      <c r="G526" s="110"/>
      <c r="H526" s="110"/>
      <c r="I526" s="110"/>
      <c r="J526" s="110"/>
      <c r="K526" s="110"/>
      <c r="L526" s="110"/>
      <c r="M526" s="110"/>
      <c r="N526" s="110"/>
      <c r="O526" s="110"/>
      <c r="P526" s="110"/>
      <c r="Q526" s="110"/>
      <c r="R526" s="110"/>
      <c r="S526" s="110"/>
      <c r="T526" s="110"/>
      <c r="U526" s="49"/>
      <c r="V526" s="49"/>
      <c r="W526" s="49"/>
      <c r="X526" s="49"/>
      <c r="Y526" s="49"/>
      <c r="Z526" s="49"/>
      <c r="AA526" s="49"/>
      <c r="AB526" s="49"/>
      <c r="AC526" s="49"/>
      <c r="AD526" s="113"/>
      <c r="AE526" s="49"/>
      <c r="AF526" s="50"/>
      <c r="AG526" s="50"/>
      <c r="AH526" s="50"/>
      <c r="AI526" s="50"/>
      <c r="AJ526" s="50"/>
      <c r="AK526" s="50"/>
      <c r="AL526" s="50"/>
      <c r="AM526" s="50"/>
      <c r="AN526" s="50"/>
      <c r="AO526" s="9"/>
      <c r="AP526" s="9"/>
    </row>
    <row r="527" spans="1:42" x14ac:dyDescent="0.55000000000000004">
      <c r="A527" t="str">
        <f t="shared" si="8"/>
        <v/>
      </c>
      <c r="C527" s="103"/>
      <c r="D527" s="110"/>
      <c r="E527" s="110"/>
      <c r="F527" s="110"/>
      <c r="G527" s="110"/>
      <c r="H527" s="110"/>
      <c r="I527" s="110"/>
      <c r="J527" s="110"/>
      <c r="K527" s="110"/>
      <c r="L527" s="110"/>
      <c r="M527" s="110"/>
      <c r="N527" s="110"/>
      <c r="O527" s="110"/>
      <c r="P527" s="110"/>
      <c r="Q527" s="110"/>
      <c r="R527" s="110"/>
      <c r="S527" s="110"/>
      <c r="T527" s="110"/>
      <c r="U527" s="49"/>
      <c r="V527" s="49"/>
      <c r="W527" s="49"/>
      <c r="X527" s="49"/>
      <c r="Y527" s="49"/>
      <c r="Z527" s="49"/>
      <c r="AA527" s="49"/>
      <c r="AB527" s="49"/>
      <c r="AC527" s="49"/>
      <c r="AD527" s="113"/>
      <c r="AE527" s="49"/>
      <c r="AF527" s="50"/>
      <c r="AG527" s="50"/>
      <c r="AH527" s="50"/>
      <c r="AI527" s="50"/>
      <c r="AJ527" s="50"/>
      <c r="AK527" s="50"/>
      <c r="AL527" s="50"/>
      <c r="AM527" s="50"/>
      <c r="AN527" s="50"/>
      <c r="AO527" s="9"/>
      <c r="AP527" s="9"/>
    </row>
    <row r="528" spans="1:42" x14ac:dyDescent="0.55000000000000004">
      <c r="A528" t="str">
        <f t="shared" si="8"/>
        <v/>
      </c>
      <c r="C528" s="103"/>
      <c r="D528" s="110"/>
      <c r="E528" s="110"/>
      <c r="F528" s="110"/>
      <c r="G528" s="110"/>
      <c r="H528" s="110"/>
      <c r="I528" s="110"/>
      <c r="J528" s="110"/>
      <c r="K528" s="110"/>
      <c r="L528" s="110"/>
      <c r="M528" s="110"/>
      <c r="N528" s="110"/>
      <c r="O528" s="110"/>
      <c r="P528" s="110"/>
      <c r="Q528" s="110"/>
      <c r="R528" s="110"/>
      <c r="S528" s="110"/>
      <c r="T528" s="110"/>
      <c r="U528" s="49"/>
      <c r="V528" s="49"/>
      <c r="W528" s="49"/>
      <c r="X528" s="49"/>
      <c r="Y528" s="49"/>
      <c r="Z528" s="49"/>
      <c r="AA528" s="49"/>
      <c r="AB528" s="49"/>
      <c r="AC528" s="49"/>
      <c r="AD528" s="113"/>
      <c r="AE528" s="49"/>
      <c r="AF528" s="50"/>
      <c r="AG528" s="50"/>
      <c r="AH528" s="50"/>
      <c r="AI528" s="50"/>
      <c r="AJ528" s="50"/>
      <c r="AK528" s="50"/>
      <c r="AL528" s="50"/>
      <c r="AM528" s="50"/>
      <c r="AN528" s="50"/>
      <c r="AO528" s="9"/>
      <c r="AP528" s="9"/>
    </row>
    <row r="529" spans="1:42" x14ac:dyDescent="0.55000000000000004">
      <c r="A529" t="str">
        <f t="shared" si="8"/>
        <v/>
      </c>
      <c r="C529" s="103"/>
      <c r="D529" s="110"/>
      <c r="E529" s="112"/>
      <c r="F529" s="110"/>
      <c r="G529" s="112"/>
      <c r="H529" s="110"/>
      <c r="I529" s="110"/>
      <c r="J529" s="110"/>
      <c r="K529" s="110"/>
      <c r="L529" s="110"/>
      <c r="M529" s="110"/>
      <c r="N529" s="110"/>
      <c r="O529" s="110"/>
      <c r="P529" s="110"/>
      <c r="Q529" s="110"/>
      <c r="R529" s="110"/>
      <c r="S529" s="110"/>
      <c r="T529" s="110"/>
      <c r="U529" s="49"/>
      <c r="V529" s="49"/>
      <c r="W529" s="49"/>
      <c r="X529" s="49"/>
      <c r="Y529" s="49"/>
      <c r="Z529" s="49"/>
      <c r="AA529" s="49"/>
      <c r="AB529" s="49"/>
      <c r="AC529" s="49"/>
      <c r="AD529" s="113"/>
      <c r="AE529" s="49"/>
      <c r="AF529" s="50"/>
      <c r="AG529" s="50"/>
      <c r="AH529" s="50"/>
      <c r="AI529" s="50"/>
      <c r="AJ529" s="50"/>
      <c r="AK529" s="50"/>
      <c r="AL529" s="50"/>
      <c r="AM529" s="50"/>
      <c r="AN529" s="50"/>
      <c r="AO529" s="9"/>
      <c r="AP529" s="9"/>
    </row>
    <row r="530" spans="1:42" x14ac:dyDescent="0.55000000000000004">
      <c r="A530" t="str">
        <f t="shared" si="8"/>
        <v/>
      </c>
      <c r="C530" s="103"/>
      <c r="D530" s="110"/>
      <c r="E530" s="110"/>
      <c r="F530" s="110"/>
      <c r="G530" s="110"/>
      <c r="H530" s="110"/>
      <c r="I530" s="110"/>
      <c r="J530" s="110"/>
      <c r="K530" s="110"/>
      <c r="L530" s="110"/>
      <c r="M530" s="110"/>
      <c r="N530" s="110"/>
      <c r="O530" s="110"/>
      <c r="P530" s="110"/>
      <c r="Q530" s="110"/>
      <c r="R530" s="110"/>
      <c r="S530" s="110"/>
      <c r="T530" s="110"/>
      <c r="U530" s="49"/>
      <c r="V530" s="49"/>
      <c r="W530" s="49"/>
      <c r="X530" s="49"/>
      <c r="Y530" s="49"/>
      <c r="Z530" s="49"/>
      <c r="AA530" s="49"/>
      <c r="AB530" s="49"/>
      <c r="AC530" s="49"/>
      <c r="AD530" s="113"/>
      <c r="AE530" s="49"/>
      <c r="AF530" s="50"/>
      <c r="AG530" s="50"/>
      <c r="AH530" s="50"/>
      <c r="AI530" s="50"/>
      <c r="AJ530" s="50"/>
      <c r="AK530" s="50"/>
      <c r="AL530" s="50"/>
      <c r="AM530" s="50"/>
      <c r="AN530" s="50"/>
      <c r="AO530" s="9"/>
      <c r="AP530" s="9"/>
    </row>
    <row r="531" spans="1:42" x14ac:dyDescent="0.55000000000000004">
      <c r="A531" t="str">
        <f t="shared" si="8"/>
        <v/>
      </c>
      <c r="C531" s="103"/>
      <c r="D531" s="110"/>
      <c r="E531" s="110"/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49"/>
      <c r="V531" s="49"/>
      <c r="W531" s="49"/>
      <c r="X531" s="49"/>
      <c r="Y531" s="49"/>
      <c r="Z531" s="49"/>
      <c r="AA531" s="49"/>
      <c r="AB531" s="49"/>
      <c r="AC531" s="49"/>
      <c r="AD531" s="113"/>
      <c r="AE531" s="49"/>
      <c r="AF531" s="50"/>
      <c r="AG531" s="50"/>
      <c r="AH531" s="50"/>
      <c r="AI531" s="50"/>
      <c r="AJ531" s="50"/>
      <c r="AK531" s="50"/>
      <c r="AL531" s="50"/>
      <c r="AM531" s="50"/>
      <c r="AN531" s="50"/>
      <c r="AO531" s="9"/>
      <c r="AP531" s="9"/>
    </row>
    <row r="532" spans="1:42" x14ac:dyDescent="0.55000000000000004">
      <c r="A532" t="str">
        <f t="shared" si="8"/>
        <v/>
      </c>
      <c r="C532" s="103"/>
      <c r="D532" s="110"/>
      <c r="E532" s="110"/>
      <c r="F532" s="110"/>
      <c r="G532" s="110"/>
      <c r="H532" s="110"/>
      <c r="I532" s="110"/>
      <c r="J532" s="110"/>
      <c r="K532" s="110"/>
      <c r="L532" s="110"/>
      <c r="M532" s="110"/>
      <c r="N532" s="110"/>
      <c r="O532" s="110"/>
      <c r="P532" s="110"/>
      <c r="Q532" s="110"/>
      <c r="R532" s="110"/>
      <c r="S532" s="110"/>
      <c r="T532" s="110"/>
      <c r="U532" s="49"/>
      <c r="V532" s="49"/>
      <c r="W532" s="49"/>
      <c r="X532" s="49"/>
      <c r="Y532" s="49"/>
      <c r="Z532" s="49"/>
      <c r="AA532" s="49"/>
      <c r="AB532" s="49"/>
      <c r="AC532" s="49"/>
      <c r="AD532" s="113"/>
      <c r="AE532" s="49"/>
      <c r="AF532" s="50"/>
      <c r="AG532" s="50"/>
      <c r="AH532" s="50"/>
      <c r="AI532" s="50"/>
      <c r="AJ532" s="50"/>
      <c r="AK532" s="50"/>
      <c r="AL532" s="50"/>
      <c r="AM532" s="50"/>
      <c r="AN532" s="50"/>
      <c r="AO532" s="9"/>
      <c r="AP532" s="9"/>
    </row>
    <row r="533" spans="1:42" x14ac:dyDescent="0.55000000000000004">
      <c r="A533" t="str">
        <f t="shared" si="8"/>
        <v/>
      </c>
      <c r="C533" s="103"/>
      <c r="D533" s="110"/>
      <c r="E533" s="110"/>
      <c r="F533" s="110"/>
      <c r="G533" s="110"/>
      <c r="H533" s="110"/>
      <c r="I533" s="110"/>
      <c r="J533" s="110"/>
      <c r="K533" s="110"/>
      <c r="L533" s="110"/>
      <c r="M533" s="110"/>
      <c r="N533" s="110"/>
      <c r="O533" s="110"/>
      <c r="P533" s="110"/>
      <c r="Q533" s="110"/>
      <c r="R533" s="110"/>
      <c r="S533" s="110"/>
      <c r="T533" s="110"/>
      <c r="U533" s="49"/>
      <c r="V533" s="49"/>
      <c r="W533" s="49"/>
      <c r="X533" s="49"/>
      <c r="Y533" s="49"/>
      <c r="Z533" s="49"/>
      <c r="AA533" s="49"/>
      <c r="AB533" s="49"/>
      <c r="AC533" s="49"/>
      <c r="AD533" s="113"/>
      <c r="AE533" s="49"/>
      <c r="AF533" s="50"/>
      <c r="AG533" s="50"/>
      <c r="AH533" s="50"/>
      <c r="AI533" s="50"/>
      <c r="AJ533" s="50"/>
      <c r="AK533" s="50"/>
      <c r="AL533" s="50"/>
      <c r="AM533" s="50"/>
      <c r="AN533" s="50"/>
      <c r="AO533" s="9"/>
      <c r="AP533" s="9"/>
    </row>
    <row r="534" spans="1:42" x14ac:dyDescent="0.55000000000000004">
      <c r="A534" t="str">
        <f t="shared" si="8"/>
        <v/>
      </c>
      <c r="C534" s="103"/>
      <c r="D534" s="110"/>
      <c r="E534" s="110"/>
      <c r="F534" s="110"/>
      <c r="G534" s="110"/>
      <c r="H534" s="110"/>
      <c r="I534" s="110"/>
      <c r="J534" s="110"/>
      <c r="K534" s="110"/>
      <c r="L534" s="110"/>
      <c r="M534" s="110"/>
      <c r="N534" s="110"/>
      <c r="O534" s="110"/>
      <c r="P534" s="110"/>
      <c r="Q534" s="110"/>
      <c r="R534" s="110"/>
      <c r="S534" s="110"/>
      <c r="T534" s="110"/>
      <c r="U534" s="49"/>
      <c r="V534" s="49"/>
      <c r="W534" s="49"/>
      <c r="X534" s="49"/>
      <c r="Y534" s="49"/>
      <c r="Z534" s="49"/>
      <c r="AA534" s="49"/>
      <c r="AB534" s="49"/>
      <c r="AC534" s="49"/>
      <c r="AD534" s="113"/>
      <c r="AE534" s="49"/>
      <c r="AF534" s="50"/>
      <c r="AG534" s="50"/>
      <c r="AH534" s="50"/>
      <c r="AI534" s="50"/>
      <c r="AJ534" s="50"/>
      <c r="AK534" s="50"/>
      <c r="AL534" s="50"/>
      <c r="AM534" s="50"/>
      <c r="AN534" s="50"/>
      <c r="AO534" s="9"/>
      <c r="AP534" s="9"/>
    </row>
    <row r="535" spans="1:42" x14ac:dyDescent="0.55000000000000004">
      <c r="A535" t="str">
        <f t="shared" si="8"/>
        <v/>
      </c>
      <c r="C535" s="103"/>
      <c r="D535" s="110"/>
      <c r="E535" s="110"/>
      <c r="F535" s="110"/>
      <c r="G535" s="110"/>
      <c r="H535" s="110"/>
      <c r="I535" s="110"/>
      <c r="J535" s="110"/>
      <c r="K535" s="110"/>
      <c r="L535" s="110"/>
      <c r="M535" s="110"/>
      <c r="N535" s="110"/>
      <c r="O535" s="110"/>
      <c r="P535" s="110"/>
      <c r="Q535" s="110"/>
      <c r="R535" s="110"/>
      <c r="S535" s="110"/>
      <c r="T535" s="110"/>
      <c r="U535" s="49"/>
      <c r="V535" s="49"/>
      <c r="W535" s="49"/>
      <c r="X535" s="49"/>
      <c r="Y535" s="49"/>
      <c r="Z535" s="49"/>
      <c r="AA535" s="49"/>
      <c r="AB535" s="49"/>
      <c r="AC535" s="49"/>
      <c r="AD535" s="113"/>
      <c r="AE535" s="49"/>
      <c r="AF535" s="50"/>
      <c r="AG535" s="50"/>
      <c r="AH535" s="50"/>
      <c r="AI535" s="50"/>
      <c r="AJ535" s="50"/>
      <c r="AK535" s="50"/>
      <c r="AL535" s="50"/>
      <c r="AM535" s="50"/>
      <c r="AN535" s="50"/>
      <c r="AO535" s="9"/>
      <c r="AP535" s="9"/>
    </row>
    <row r="536" spans="1:42" x14ac:dyDescent="0.55000000000000004">
      <c r="A536" t="str">
        <f t="shared" si="8"/>
        <v/>
      </c>
      <c r="C536" s="103"/>
      <c r="D536" s="110"/>
      <c r="E536" s="110"/>
      <c r="F536" s="110"/>
      <c r="G536" s="110"/>
      <c r="H536" s="110"/>
      <c r="I536" s="110"/>
      <c r="J536" s="110"/>
      <c r="K536" s="110"/>
      <c r="L536" s="110"/>
      <c r="M536" s="110"/>
      <c r="N536" s="110"/>
      <c r="O536" s="110"/>
      <c r="P536" s="110"/>
      <c r="Q536" s="110"/>
      <c r="R536" s="110"/>
      <c r="S536" s="110"/>
      <c r="T536" s="110"/>
      <c r="U536" s="49"/>
      <c r="V536" s="49"/>
      <c r="W536" s="49"/>
      <c r="X536" s="49"/>
      <c r="Y536" s="49"/>
      <c r="Z536" s="49"/>
      <c r="AA536" s="49"/>
      <c r="AB536" s="49"/>
      <c r="AC536" s="49"/>
      <c r="AD536" s="113"/>
      <c r="AE536" s="49"/>
      <c r="AF536" s="50"/>
      <c r="AG536" s="50"/>
      <c r="AH536" s="50"/>
      <c r="AI536" s="50"/>
      <c r="AJ536" s="50"/>
      <c r="AK536" s="50"/>
      <c r="AL536" s="50"/>
      <c r="AM536" s="50"/>
      <c r="AN536" s="50"/>
      <c r="AO536" s="9"/>
      <c r="AP536" s="9"/>
    </row>
    <row r="537" spans="1:42" x14ac:dyDescent="0.55000000000000004">
      <c r="A537" t="str">
        <f t="shared" si="8"/>
        <v/>
      </c>
      <c r="C537" s="103"/>
      <c r="D537" s="110"/>
      <c r="E537" s="110"/>
      <c r="F537" s="110"/>
      <c r="G537" s="110"/>
      <c r="H537" s="110"/>
      <c r="I537" s="110"/>
      <c r="J537" s="110"/>
      <c r="K537" s="110"/>
      <c r="L537" s="110"/>
      <c r="M537" s="110"/>
      <c r="N537" s="110"/>
      <c r="O537" s="110"/>
      <c r="P537" s="110"/>
      <c r="Q537" s="110"/>
      <c r="R537" s="110"/>
      <c r="S537" s="110"/>
      <c r="T537" s="110"/>
      <c r="U537" s="49"/>
      <c r="V537" s="49"/>
      <c r="W537" s="49"/>
      <c r="X537" s="49"/>
      <c r="Y537" s="49"/>
      <c r="Z537" s="49"/>
      <c r="AA537" s="49"/>
      <c r="AB537" s="49"/>
      <c r="AC537" s="49"/>
      <c r="AD537" s="113"/>
      <c r="AE537" s="49"/>
      <c r="AF537" s="50"/>
      <c r="AG537" s="50"/>
      <c r="AH537" s="50"/>
      <c r="AI537" s="50"/>
      <c r="AJ537" s="50"/>
      <c r="AK537" s="50"/>
      <c r="AL537" s="50"/>
      <c r="AM537" s="50"/>
      <c r="AN537" s="50"/>
      <c r="AO537" s="9"/>
      <c r="AP537" s="9"/>
    </row>
    <row r="538" spans="1:42" x14ac:dyDescent="0.55000000000000004">
      <c r="A538" t="str">
        <f t="shared" si="8"/>
        <v/>
      </c>
      <c r="C538" s="103"/>
      <c r="D538" s="110"/>
      <c r="E538" s="110"/>
      <c r="F538" s="110"/>
      <c r="G538" s="110"/>
      <c r="H538" s="110"/>
      <c r="I538" s="110"/>
      <c r="J538" s="110"/>
      <c r="K538" s="110"/>
      <c r="L538" s="110"/>
      <c r="M538" s="110"/>
      <c r="N538" s="110"/>
      <c r="O538" s="110"/>
      <c r="P538" s="110"/>
      <c r="Q538" s="110"/>
      <c r="R538" s="110"/>
      <c r="S538" s="110"/>
      <c r="T538" s="110"/>
      <c r="U538" s="49"/>
      <c r="V538" s="49"/>
      <c r="W538" s="49"/>
      <c r="X538" s="49"/>
      <c r="Y538" s="49"/>
      <c r="Z538" s="49"/>
      <c r="AA538" s="49"/>
      <c r="AB538" s="49"/>
      <c r="AC538" s="49"/>
      <c r="AD538" s="113"/>
      <c r="AE538" s="49"/>
      <c r="AF538" s="50"/>
      <c r="AG538" s="50"/>
      <c r="AH538" s="50"/>
      <c r="AI538" s="50"/>
      <c r="AJ538" s="50"/>
      <c r="AK538" s="50"/>
      <c r="AL538" s="50"/>
      <c r="AM538" s="50"/>
      <c r="AN538" s="50"/>
      <c r="AO538" s="9"/>
      <c r="AP538" s="9"/>
    </row>
    <row r="539" spans="1:42" x14ac:dyDescent="0.55000000000000004">
      <c r="A539" t="str">
        <f t="shared" si="8"/>
        <v/>
      </c>
      <c r="C539" s="103"/>
      <c r="D539" s="110"/>
      <c r="E539" s="110"/>
      <c r="F539" s="110"/>
      <c r="G539" s="110"/>
      <c r="H539" s="110"/>
      <c r="I539" s="110"/>
      <c r="J539" s="110"/>
      <c r="K539" s="110"/>
      <c r="L539" s="110"/>
      <c r="M539" s="110"/>
      <c r="N539" s="110"/>
      <c r="O539" s="110"/>
      <c r="P539" s="110"/>
      <c r="Q539" s="110"/>
      <c r="R539" s="110"/>
      <c r="S539" s="110"/>
      <c r="T539" s="110"/>
      <c r="U539" s="49"/>
      <c r="V539" s="49"/>
      <c r="W539" s="49"/>
      <c r="X539" s="49"/>
      <c r="Y539" s="49"/>
      <c r="Z539" s="49"/>
      <c r="AA539" s="49"/>
      <c r="AB539" s="49"/>
      <c r="AC539" s="49"/>
      <c r="AD539" s="113"/>
      <c r="AE539" s="49"/>
      <c r="AF539" s="50"/>
      <c r="AG539" s="50"/>
      <c r="AH539" s="50"/>
      <c r="AI539" s="50"/>
      <c r="AJ539" s="50"/>
      <c r="AK539" s="50"/>
      <c r="AL539" s="50"/>
      <c r="AM539" s="50"/>
      <c r="AN539" s="50"/>
      <c r="AO539" s="9"/>
      <c r="AP539" s="9"/>
    </row>
    <row r="540" spans="1:42" x14ac:dyDescent="0.55000000000000004">
      <c r="A540" t="str">
        <f t="shared" si="8"/>
        <v/>
      </c>
      <c r="C540" s="103"/>
      <c r="D540" s="110"/>
      <c r="E540" s="110"/>
      <c r="F540" s="110"/>
      <c r="G540" s="110"/>
      <c r="H540" s="110"/>
      <c r="I540" s="110"/>
      <c r="J540" s="110"/>
      <c r="K540" s="110"/>
      <c r="L540" s="110"/>
      <c r="M540" s="110"/>
      <c r="N540" s="110"/>
      <c r="O540" s="110"/>
      <c r="P540" s="110"/>
      <c r="Q540" s="110"/>
      <c r="R540" s="110"/>
      <c r="S540" s="110"/>
      <c r="T540" s="110"/>
      <c r="U540" s="49"/>
      <c r="V540" s="49"/>
      <c r="W540" s="49"/>
      <c r="X540" s="49"/>
      <c r="Y540" s="49"/>
      <c r="Z540" s="49"/>
      <c r="AA540" s="49"/>
      <c r="AB540" s="49"/>
      <c r="AC540" s="49"/>
      <c r="AD540" s="113"/>
      <c r="AE540" s="49"/>
      <c r="AF540" s="50"/>
      <c r="AG540" s="50"/>
      <c r="AH540" s="50"/>
      <c r="AI540" s="50"/>
      <c r="AJ540" s="50"/>
      <c r="AK540" s="50"/>
      <c r="AL540" s="50"/>
      <c r="AM540" s="50"/>
      <c r="AN540" s="50"/>
      <c r="AO540" s="9"/>
      <c r="AP540" s="9"/>
    </row>
    <row r="541" spans="1:42" x14ac:dyDescent="0.55000000000000004">
      <c r="A541" t="str">
        <f t="shared" si="8"/>
        <v/>
      </c>
      <c r="C541" s="103"/>
      <c r="D541" s="110"/>
      <c r="E541" s="110"/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10"/>
      <c r="Q541" s="110"/>
      <c r="R541" s="110"/>
      <c r="S541" s="110"/>
      <c r="T541" s="110"/>
      <c r="U541" s="49"/>
      <c r="V541" s="49"/>
      <c r="W541" s="49"/>
      <c r="X541" s="49"/>
      <c r="Y541" s="49"/>
      <c r="Z541" s="49"/>
      <c r="AA541" s="49"/>
      <c r="AB541" s="49"/>
      <c r="AC541" s="49"/>
      <c r="AD541" s="113"/>
      <c r="AE541" s="49"/>
      <c r="AF541" s="50"/>
      <c r="AG541" s="50"/>
      <c r="AH541" s="50"/>
      <c r="AI541" s="50"/>
      <c r="AJ541" s="50"/>
      <c r="AK541" s="50"/>
      <c r="AL541" s="50"/>
      <c r="AM541" s="50"/>
      <c r="AN541" s="50"/>
      <c r="AO541" s="9"/>
      <c r="AP541" s="9"/>
    </row>
    <row r="542" spans="1:42" x14ac:dyDescent="0.55000000000000004">
      <c r="A542" t="str">
        <f t="shared" si="8"/>
        <v/>
      </c>
      <c r="C542" s="103"/>
      <c r="D542" s="110"/>
      <c r="E542" s="110"/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10"/>
      <c r="Q542" s="110"/>
      <c r="R542" s="110"/>
      <c r="S542" s="110"/>
      <c r="T542" s="110"/>
      <c r="U542" s="49"/>
      <c r="V542" s="49"/>
      <c r="W542" s="49"/>
      <c r="X542" s="49"/>
      <c r="Y542" s="49"/>
      <c r="Z542" s="49"/>
      <c r="AA542" s="49"/>
      <c r="AB542" s="49"/>
      <c r="AC542" s="49"/>
      <c r="AD542" s="113"/>
      <c r="AE542" s="49"/>
      <c r="AF542" s="50"/>
      <c r="AG542" s="50"/>
      <c r="AH542" s="50"/>
      <c r="AI542" s="50"/>
      <c r="AJ542" s="50"/>
      <c r="AK542" s="50"/>
      <c r="AL542" s="50"/>
      <c r="AM542" s="50"/>
      <c r="AN542" s="50"/>
      <c r="AO542" s="9"/>
      <c r="AP542" s="9"/>
    </row>
    <row r="543" spans="1:42" x14ac:dyDescent="0.55000000000000004">
      <c r="A543" t="str">
        <f t="shared" si="8"/>
        <v/>
      </c>
      <c r="C543" s="103"/>
      <c r="D543" s="110"/>
      <c r="E543" s="110"/>
      <c r="F543" s="110"/>
      <c r="G543" s="110"/>
      <c r="H543" s="110"/>
      <c r="I543" s="110"/>
      <c r="J543" s="110"/>
      <c r="K543" s="110"/>
      <c r="L543" s="110"/>
      <c r="M543" s="110"/>
      <c r="N543" s="110"/>
      <c r="O543" s="110"/>
      <c r="P543" s="110"/>
      <c r="Q543" s="110"/>
      <c r="R543" s="110"/>
      <c r="S543" s="110"/>
      <c r="T543" s="110"/>
      <c r="U543" s="49"/>
      <c r="V543" s="49"/>
      <c r="W543" s="49"/>
      <c r="X543" s="49"/>
      <c r="Y543" s="49"/>
      <c r="Z543" s="49"/>
      <c r="AA543" s="49"/>
      <c r="AB543" s="49"/>
      <c r="AC543" s="49"/>
      <c r="AD543" s="113"/>
      <c r="AE543" s="49"/>
      <c r="AF543" s="50"/>
      <c r="AG543" s="50"/>
      <c r="AH543" s="50"/>
      <c r="AI543" s="50"/>
      <c r="AJ543" s="50"/>
      <c r="AK543" s="50"/>
      <c r="AL543" s="50"/>
      <c r="AM543" s="50"/>
      <c r="AN543" s="50"/>
      <c r="AO543" s="9"/>
      <c r="AP543" s="9"/>
    </row>
    <row r="544" spans="1:42" x14ac:dyDescent="0.55000000000000004">
      <c r="A544" t="str">
        <f t="shared" si="8"/>
        <v/>
      </c>
      <c r="C544" s="103"/>
      <c r="D544" s="110"/>
      <c r="E544" s="110"/>
      <c r="F544" s="110"/>
      <c r="G544" s="110"/>
      <c r="H544" s="110"/>
      <c r="I544" s="110"/>
      <c r="J544" s="110"/>
      <c r="K544" s="110"/>
      <c r="L544" s="110"/>
      <c r="M544" s="110"/>
      <c r="N544" s="110"/>
      <c r="O544" s="110"/>
      <c r="P544" s="110"/>
      <c r="Q544" s="110"/>
      <c r="R544" s="110"/>
      <c r="S544" s="110"/>
      <c r="T544" s="110"/>
      <c r="U544" s="49"/>
      <c r="V544" s="49"/>
      <c r="W544" s="49"/>
      <c r="X544" s="49"/>
      <c r="Y544" s="49"/>
      <c r="Z544" s="49"/>
      <c r="AA544" s="49"/>
      <c r="AB544" s="49"/>
      <c r="AC544" s="49"/>
      <c r="AD544" s="113"/>
      <c r="AE544" s="49"/>
      <c r="AF544" s="50"/>
      <c r="AG544" s="50"/>
      <c r="AH544" s="50"/>
      <c r="AI544" s="50"/>
      <c r="AJ544" s="50"/>
      <c r="AK544" s="50"/>
      <c r="AL544" s="50"/>
      <c r="AM544" s="50"/>
      <c r="AN544" s="50"/>
      <c r="AO544" s="9"/>
      <c r="AP544" s="9"/>
    </row>
    <row r="545" spans="1:42" x14ac:dyDescent="0.55000000000000004">
      <c r="A545" t="str">
        <f t="shared" si="8"/>
        <v/>
      </c>
      <c r="C545" s="103"/>
      <c r="D545" s="110"/>
      <c r="E545" s="110"/>
      <c r="F545" s="110"/>
      <c r="G545" s="110"/>
      <c r="H545" s="110"/>
      <c r="I545" s="110"/>
      <c r="J545" s="110"/>
      <c r="K545" s="110"/>
      <c r="L545" s="110"/>
      <c r="M545" s="110"/>
      <c r="N545" s="110"/>
      <c r="O545" s="110"/>
      <c r="P545" s="110"/>
      <c r="Q545" s="110"/>
      <c r="R545" s="110"/>
      <c r="S545" s="110"/>
      <c r="T545" s="110"/>
      <c r="U545" s="49"/>
      <c r="V545" s="49"/>
      <c r="W545" s="49"/>
      <c r="X545" s="49"/>
      <c r="Y545" s="49"/>
      <c r="Z545" s="49"/>
      <c r="AA545" s="49"/>
      <c r="AB545" s="49"/>
      <c r="AC545" s="49"/>
      <c r="AD545" s="113"/>
      <c r="AE545" s="49"/>
      <c r="AF545" s="50"/>
      <c r="AG545" s="50"/>
      <c r="AH545" s="50"/>
      <c r="AI545" s="50"/>
      <c r="AJ545" s="50"/>
      <c r="AK545" s="50"/>
      <c r="AL545" s="50"/>
      <c r="AM545" s="50"/>
      <c r="AN545" s="50"/>
      <c r="AO545" s="9"/>
      <c r="AP545" s="9"/>
    </row>
    <row r="546" spans="1:42" x14ac:dyDescent="0.55000000000000004">
      <c r="A546" t="str">
        <f t="shared" si="8"/>
        <v/>
      </c>
      <c r="C546" s="103"/>
      <c r="D546" s="110"/>
      <c r="E546" s="110"/>
      <c r="F546" s="110"/>
      <c r="G546" s="110"/>
      <c r="H546" s="110"/>
      <c r="I546" s="110"/>
      <c r="J546" s="110"/>
      <c r="K546" s="110"/>
      <c r="L546" s="110"/>
      <c r="M546" s="110"/>
      <c r="N546" s="110"/>
      <c r="O546" s="110"/>
      <c r="P546" s="110"/>
      <c r="Q546" s="110"/>
      <c r="R546" s="110"/>
      <c r="S546" s="110"/>
      <c r="T546" s="110"/>
      <c r="U546" s="49"/>
      <c r="V546" s="49"/>
      <c r="W546" s="49"/>
      <c r="X546" s="49"/>
      <c r="Y546" s="49"/>
      <c r="Z546" s="49"/>
      <c r="AA546" s="49"/>
      <c r="AB546" s="49"/>
      <c r="AC546" s="49"/>
      <c r="AD546" s="113"/>
      <c r="AE546" s="49"/>
      <c r="AF546" s="50"/>
      <c r="AG546" s="50"/>
      <c r="AH546" s="50"/>
      <c r="AI546" s="50"/>
      <c r="AJ546" s="50"/>
      <c r="AK546" s="50"/>
      <c r="AL546" s="50"/>
      <c r="AM546" s="50"/>
      <c r="AN546" s="50"/>
      <c r="AO546" s="9"/>
      <c r="AP546" s="9"/>
    </row>
    <row r="547" spans="1:42" x14ac:dyDescent="0.55000000000000004">
      <c r="A547" t="str">
        <f t="shared" si="8"/>
        <v/>
      </c>
      <c r="C547" s="103"/>
      <c r="D547" s="110"/>
      <c r="E547" s="110"/>
      <c r="F547" s="110"/>
      <c r="G547" s="110"/>
      <c r="H547" s="110"/>
      <c r="I547" s="110"/>
      <c r="J547" s="110"/>
      <c r="K547" s="110"/>
      <c r="L547" s="110"/>
      <c r="M547" s="110"/>
      <c r="N547" s="110"/>
      <c r="O547" s="110"/>
      <c r="P547" s="110"/>
      <c r="Q547" s="110"/>
      <c r="R547" s="110"/>
      <c r="S547" s="110"/>
      <c r="T547" s="110"/>
      <c r="U547" s="49"/>
      <c r="V547" s="49"/>
      <c r="W547" s="49"/>
      <c r="X547" s="49"/>
      <c r="Y547" s="49"/>
      <c r="Z547" s="49"/>
      <c r="AA547" s="49"/>
      <c r="AB547" s="49"/>
      <c r="AC547" s="49"/>
      <c r="AD547" s="113"/>
      <c r="AE547" s="49"/>
      <c r="AF547" s="50"/>
      <c r="AG547" s="50"/>
      <c r="AH547" s="50"/>
      <c r="AI547" s="50"/>
      <c r="AJ547" s="50"/>
      <c r="AK547" s="50"/>
      <c r="AL547" s="50"/>
      <c r="AM547" s="50"/>
      <c r="AN547" s="50"/>
      <c r="AO547" s="9"/>
      <c r="AP547" s="9"/>
    </row>
    <row r="548" spans="1:42" x14ac:dyDescent="0.55000000000000004">
      <c r="A548" t="str">
        <f t="shared" si="8"/>
        <v/>
      </c>
      <c r="C548" s="103"/>
      <c r="D548" s="110"/>
      <c r="E548" s="110"/>
      <c r="F548" s="110"/>
      <c r="G548" s="110"/>
      <c r="H548" s="110"/>
      <c r="I548" s="110"/>
      <c r="J548" s="110"/>
      <c r="K548" s="110"/>
      <c r="L548" s="110"/>
      <c r="M548" s="110"/>
      <c r="N548" s="110"/>
      <c r="O548" s="110"/>
      <c r="P548" s="110"/>
      <c r="Q548" s="110"/>
      <c r="R548" s="110"/>
      <c r="S548" s="110"/>
      <c r="T548" s="110"/>
      <c r="U548" s="49"/>
      <c r="V548" s="49"/>
      <c r="W548" s="49"/>
      <c r="X548" s="49"/>
      <c r="Y548" s="49"/>
      <c r="Z548" s="49"/>
      <c r="AA548" s="49"/>
      <c r="AB548" s="49"/>
      <c r="AC548" s="49"/>
      <c r="AD548" s="113"/>
      <c r="AE548" s="49"/>
      <c r="AF548" s="50"/>
      <c r="AG548" s="50"/>
      <c r="AH548" s="50"/>
      <c r="AI548" s="50"/>
      <c r="AJ548" s="50"/>
      <c r="AK548" s="50"/>
      <c r="AL548" s="50"/>
      <c r="AM548" s="50"/>
      <c r="AN548" s="50"/>
      <c r="AO548" s="9"/>
      <c r="AP548" s="9"/>
    </row>
    <row r="549" spans="1:42" x14ac:dyDescent="0.55000000000000004">
      <c r="A549" t="str">
        <f t="shared" si="8"/>
        <v/>
      </c>
      <c r="C549" s="103"/>
      <c r="D549" s="110"/>
      <c r="E549" s="110"/>
      <c r="F549" s="110"/>
      <c r="G549" s="110"/>
      <c r="H549" s="110"/>
      <c r="I549" s="110"/>
      <c r="J549" s="110"/>
      <c r="K549" s="110"/>
      <c r="L549" s="110"/>
      <c r="M549" s="110"/>
      <c r="N549" s="110"/>
      <c r="O549" s="110"/>
      <c r="P549" s="110"/>
      <c r="Q549" s="110"/>
      <c r="R549" s="110"/>
      <c r="S549" s="110"/>
      <c r="T549" s="110"/>
      <c r="U549" s="49"/>
      <c r="V549" s="49"/>
      <c r="W549" s="49"/>
      <c r="X549" s="49"/>
      <c r="Y549" s="49"/>
      <c r="Z549" s="49"/>
      <c r="AA549" s="49"/>
      <c r="AB549" s="49"/>
      <c r="AC549" s="49"/>
      <c r="AD549" s="113"/>
      <c r="AE549" s="49"/>
      <c r="AF549" s="50"/>
      <c r="AG549" s="50"/>
      <c r="AH549" s="50"/>
      <c r="AI549" s="50"/>
      <c r="AJ549" s="50"/>
      <c r="AK549" s="50"/>
      <c r="AL549" s="50"/>
      <c r="AM549" s="50"/>
      <c r="AN549" s="50"/>
      <c r="AO549" s="9"/>
      <c r="AP549" s="9"/>
    </row>
    <row r="550" spans="1:42" x14ac:dyDescent="0.55000000000000004">
      <c r="A550" t="str">
        <f t="shared" si="8"/>
        <v/>
      </c>
      <c r="C550" s="103"/>
      <c r="D550" s="110"/>
      <c r="E550" s="110"/>
      <c r="F550" s="110"/>
      <c r="G550" s="110"/>
      <c r="H550" s="110"/>
      <c r="I550" s="110"/>
      <c r="J550" s="110"/>
      <c r="K550" s="110"/>
      <c r="L550" s="110"/>
      <c r="M550" s="110"/>
      <c r="N550" s="110"/>
      <c r="O550" s="110"/>
      <c r="P550" s="110"/>
      <c r="Q550" s="110"/>
      <c r="R550" s="110"/>
      <c r="S550" s="110"/>
      <c r="T550" s="110"/>
      <c r="U550" s="49"/>
      <c r="V550" s="49"/>
      <c r="W550" s="49"/>
      <c r="X550" s="49"/>
      <c r="Y550" s="49"/>
      <c r="Z550" s="49"/>
      <c r="AA550" s="49"/>
      <c r="AB550" s="49"/>
      <c r="AC550" s="49"/>
      <c r="AD550" s="113"/>
      <c r="AE550" s="49"/>
      <c r="AF550" s="50"/>
      <c r="AG550" s="50"/>
      <c r="AH550" s="50"/>
      <c r="AI550" s="50"/>
      <c r="AJ550" s="50"/>
      <c r="AK550" s="50"/>
      <c r="AL550" s="50"/>
      <c r="AM550" s="50"/>
      <c r="AN550" s="50"/>
      <c r="AO550" s="9"/>
      <c r="AP550" s="9"/>
    </row>
    <row r="551" spans="1:42" x14ac:dyDescent="0.55000000000000004">
      <c r="A551" t="str">
        <f t="shared" si="8"/>
        <v/>
      </c>
      <c r="C551" s="103"/>
      <c r="D551" s="110"/>
      <c r="E551" s="110"/>
      <c r="F551" s="110"/>
      <c r="G551" s="110"/>
      <c r="H551" s="110"/>
      <c r="I551" s="110"/>
      <c r="J551" s="110"/>
      <c r="K551" s="110"/>
      <c r="L551" s="110"/>
      <c r="M551" s="110"/>
      <c r="N551" s="110"/>
      <c r="O551" s="110"/>
      <c r="P551" s="110"/>
      <c r="Q551" s="110"/>
      <c r="R551" s="110"/>
      <c r="S551" s="110"/>
      <c r="T551" s="110"/>
      <c r="U551" s="49"/>
      <c r="V551" s="49"/>
      <c r="W551" s="49"/>
      <c r="X551" s="49"/>
      <c r="Y551" s="49"/>
      <c r="Z551" s="49"/>
      <c r="AA551" s="49"/>
      <c r="AB551" s="49"/>
      <c r="AC551" s="49"/>
      <c r="AD551" s="113"/>
      <c r="AE551" s="49"/>
      <c r="AF551" s="50"/>
      <c r="AG551" s="50"/>
      <c r="AH551" s="50"/>
      <c r="AI551" s="50"/>
      <c r="AJ551" s="50"/>
      <c r="AK551" s="50"/>
      <c r="AL551" s="50"/>
      <c r="AM551" s="50"/>
      <c r="AN551" s="50"/>
      <c r="AO551" s="9"/>
      <c r="AP551" s="9"/>
    </row>
    <row r="552" spans="1:42" x14ac:dyDescent="0.55000000000000004">
      <c r="A552" t="str">
        <f t="shared" si="8"/>
        <v/>
      </c>
      <c r="C552" s="103"/>
      <c r="D552" s="110"/>
      <c r="E552" s="110"/>
      <c r="F552" s="110"/>
      <c r="G552" s="110"/>
      <c r="H552" s="110"/>
      <c r="I552" s="110"/>
      <c r="J552" s="110"/>
      <c r="K552" s="110"/>
      <c r="L552" s="110"/>
      <c r="M552" s="110"/>
      <c r="N552" s="110"/>
      <c r="O552" s="110"/>
      <c r="P552" s="110"/>
      <c r="Q552" s="110"/>
      <c r="R552" s="110"/>
      <c r="S552" s="110"/>
      <c r="T552" s="110"/>
      <c r="U552" s="49"/>
      <c r="V552" s="49"/>
      <c r="W552" s="49"/>
      <c r="X552" s="49"/>
      <c r="Y552" s="49"/>
      <c r="Z552" s="49"/>
      <c r="AA552" s="49"/>
      <c r="AB552" s="49"/>
      <c r="AC552" s="49"/>
      <c r="AD552" s="113"/>
      <c r="AE552" s="49"/>
      <c r="AF552" s="50"/>
      <c r="AG552" s="50"/>
      <c r="AH552" s="50"/>
      <c r="AI552" s="50"/>
      <c r="AJ552" s="50"/>
      <c r="AK552" s="50"/>
      <c r="AL552" s="50"/>
      <c r="AM552" s="50"/>
      <c r="AN552" s="50"/>
      <c r="AO552" s="9"/>
      <c r="AP552" s="9"/>
    </row>
    <row r="553" spans="1:42" x14ac:dyDescent="0.55000000000000004">
      <c r="A553" t="str">
        <f t="shared" si="8"/>
        <v/>
      </c>
      <c r="C553" s="103"/>
      <c r="D553" s="110"/>
      <c r="E553" s="110"/>
      <c r="F553" s="110"/>
      <c r="G553" s="110"/>
      <c r="H553" s="110"/>
      <c r="I553" s="110"/>
      <c r="J553" s="110"/>
      <c r="K553" s="110"/>
      <c r="L553" s="110"/>
      <c r="M553" s="110"/>
      <c r="N553" s="110"/>
      <c r="O553" s="110"/>
      <c r="P553" s="110"/>
      <c r="Q553" s="110"/>
      <c r="R553" s="110"/>
      <c r="S553" s="110"/>
      <c r="T553" s="110"/>
      <c r="U553" s="49"/>
      <c r="V553" s="49"/>
      <c r="W553" s="49"/>
      <c r="X553" s="49"/>
      <c r="Y553" s="49"/>
      <c r="Z553" s="49"/>
      <c r="AA553" s="49"/>
      <c r="AB553" s="49"/>
      <c r="AC553" s="49"/>
      <c r="AD553" s="113"/>
      <c r="AE553" s="49"/>
      <c r="AF553" s="50"/>
      <c r="AG553" s="50"/>
      <c r="AH553" s="50"/>
      <c r="AI553" s="50"/>
      <c r="AJ553" s="50"/>
      <c r="AK553" s="50"/>
      <c r="AL553" s="50"/>
      <c r="AM553" s="50"/>
      <c r="AN553" s="50"/>
      <c r="AO553" s="9"/>
      <c r="AP553" s="9"/>
    </row>
    <row r="554" spans="1:42" x14ac:dyDescent="0.55000000000000004">
      <c r="A554" t="str">
        <f t="shared" si="8"/>
        <v/>
      </c>
      <c r="C554" s="103"/>
      <c r="D554" s="110"/>
      <c r="E554" s="110"/>
      <c r="F554" s="110"/>
      <c r="G554" s="110"/>
      <c r="H554" s="110"/>
      <c r="I554" s="110"/>
      <c r="J554" s="110"/>
      <c r="K554" s="110"/>
      <c r="L554" s="110"/>
      <c r="M554" s="110"/>
      <c r="N554" s="110"/>
      <c r="O554" s="110"/>
      <c r="P554" s="110"/>
      <c r="Q554" s="110"/>
      <c r="R554" s="110"/>
      <c r="S554" s="110"/>
      <c r="T554" s="110"/>
      <c r="U554" s="49"/>
      <c r="V554" s="49"/>
      <c r="W554" s="49"/>
      <c r="X554" s="49"/>
      <c r="Y554" s="49"/>
      <c r="Z554" s="49"/>
      <c r="AA554" s="49"/>
      <c r="AB554" s="49"/>
      <c r="AC554" s="49"/>
      <c r="AD554" s="113"/>
      <c r="AE554" s="49"/>
      <c r="AF554" s="50"/>
      <c r="AG554" s="50"/>
      <c r="AH554" s="50"/>
      <c r="AI554" s="50"/>
      <c r="AJ554" s="50"/>
      <c r="AK554" s="50"/>
      <c r="AL554" s="50"/>
      <c r="AM554" s="50"/>
      <c r="AN554" s="50"/>
      <c r="AO554" s="9"/>
      <c r="AP554" s="9"/>
    </row>
    <row r="555" spans="1:42" x14ac:dyDescent="0.55000000000000004">
      <c r="A555" t="str">
        <f t="shared" si="8"/>
        <v/>
      </c>
      <c r="C555" s="103"/>
      <c r="D555" s="110"/>
      <c r="E555" s="110"/>
      <c r="F555" s="110"/>
      <c r="G555" s="110"/>
      <c r="H555" s="110"/>
      <c r="I555" s="110"/>
      <c r="J555" s="110"/>
      <c r="K555" s="110"/>
      <c r="L555" s="110"/>
      <c r="M555" s="110"/>
      <c r="N555" s="110"/>
      <c r="O555" s="110"/>
      <c r="P555" s="110"/>
      <c r="Q555" s="110"/>
      <c r="R555" s="110"/>
      <c r="S555" s="110"/>
      <c r="T555" s="110"/>
      <c r="U555" s="49"/>
      <c r="V555" s="49"/>
      <c r="W555" s="49"/>
      <c r="X555" s="49"/>
      <c r="Y555" s="49"/>
      <c r="Z555" s="49"/>
      <c r="AA555" s="49"/>
      <c r="AB555" s="49"/>
      <c r="AC555" s="49"/>
      <c r="AD555" s="113"/>
      <c r="AE555" s="49"/>
      <c r="AF555" s="50"/>
      <c r="AG555" s="50"/>
      <c r="AH555" s="50"/>
      <c r="AI555" s="50"/>
      <c r="AJ555" s="50"/>
      <c r="AK555" s="50"/>
      <c r="AL555" s="50"/>
      <c r="AM555" s="50"/>
      <c r="AN555" s="50"/>
      <c r="AO555" s="9"/>
      <c r="AP555" s="9"/>
    </row>
    <row r="556" spans="1:42" x14ac:dyDescent="0.55000000000000004">
      <c r="A556" t="str">
        <f t="shared" si="8"/>
        <v/>
      </c>
      <c r="C556" s="103"/>
      <c r="D556" s="110"/>
      <c r="E556" s="110"/>
      <c r="F556" s="110"/>
      <c r="G556" s="110"/>
      <c r="H556" s="110"/>
      <c r="I556" s="110"/>
      <c r="J556" s="110"/>
      <c r="K556" s="110"/>
      <c r="L556" s="110"/>
      <c r="M556" s="110"/>
      <c r="N556" s="110"/>
      <c r="O556" s="110"/>
      <c r="P556" s="110"/>
      <c r="Q556" s="110"/>
      <c r="R556" s="110"/>
      <c r="S556" s="110"/>
      <c r="T556" s="110"/>
      <c r="U556" s="49"/>
      <c r="V556" s="49"/>
      <c r="W556" s="49"/>
      <c r="X556" s="49"/>
      <c r="Y556" s="49"/>
      <c r="Z556" s="49"/>
      <c r="AA556" s="49"/>
      <c r="AB556" s="49"/>
      <c r="AC556" s="49"/>
      <c r="AD556" s="113"/>
      <c r="AE556" s="49"/>
      <c r="AF556" s="50"/>
      <c r="AG556" s="50"/>
      <c r="AH556" s="50"/>
      <c r="AI556" s="50"/>
      <c r="AJ556" s="50"/>
      <c r="AK556" s="50"/>
      <c r="AL556" s="50"/>
      <c r="AM556" s="50"/>
      <c r="AN556" s="50"/>
      <c r="AO556" s="9"/>
      <c r="AP556" s="9"/>
    </row>
    <row r="557" spans="1:42" x14ac:dyDescent="0.55000000000000004">
      <c r="A557" t="str">
        <f t="shared" si="8"/>
        <v/>
      </c>
      <c r="C557" s="103"/>
      <c r="D557" s="110"/>
      <c r="E557" s="112"/>
      <c r="F557" s="110"/>
      <c r="G557" s="112"/>
      <c r="H557" s="110"/>
      <c r="I557" s="110"/>
      <c r="J557" s="110"/>
      <c r="K557" s="110"/>
      <c r="L557" s="110"/>
      <c r="M557" s="110"/>
      <c r="N557" s="110"/>
      <c r="O557" s="110"/>
      <c r="P557" s="110"/>
      <c r="Q557" s="110"/>
      <c r="R557" s="110"/>
      <c r="S557" s="110"/>
      <c r="T557" s="110"/>
      <c r="U557" s="49"/>
      <c r="V557" s="49"/>
      <c r="W557" s="49"/>
      <c r="X557" s="49"/>
      <c r="Y557" s="49"/>
      <c r="Z557" s="49"/>
      <c r="AA557" s="49"/>
      <c r="AB557" s="49"/>
      <c r="AC557" s="49"/>
      <c r="AD557" s="113"/>
      <c r="AE557" s="49"/>
      <c r="AF557" s="50"/>
      <c r="AG557" s="50"/>
      <c r="AH557" s="50"/>
      <c r="AI557" s="50"/>
      <c r="AJ557" s="50"/>
      <c r="AK557" s="50"/>
      <c r="AL557" s="50"/>
      <c r="AM557" s="50"/>
      <c r="AN557" s="50"/>
      <c r="AO557" s="9"/>
      <c r="AP557" s="9"/>
    </row>
    <row r="558" spans="1:42" x14ac:dyDescent="0.55000000000000004">
      <c r="A558" t="str">
        <f t="shared" si="8"/>
        <v/>
      </c>
      <c r="C558" s="103"/>
      <c r="D558" s="110"/>
      <c r="E558" s="112"/>
      <c r="F558" s="110"/>
      <c r="G558" s="112"/>
      <c r="H558" s="110"/>
      <c r="I558" s="110"/>
      <c r="J558" s="110"/>
      <c r="K558" s="110"/>
      <c r="L558" s="110"/>
      <c r="M558" s="110"/>
      <c r="N558" s="110"/>
      <c r="O558" s="110"/>
      <c r="P558" s="110"/>
      <c r="Q558" s="110"/>
      <c r="R558" s="110"/>
      <c r="S558" s="110"/>
      <c r="T558" s="110"/>
      <c r="U558" s="49"/>
      <c r="V558" s="49"/>
      <c r="W558" s="49"/>
      <c r="X558" s="49"/>
      <c r="Y558" s="49"/>
      <c r="Z558" s="49"/>
      <c r="AA558" s="49"/>
      <c r="AB558" s="49"/>
      <c r="AC558" s="49"/>
      <c r="AD558" s="113"/>
      <c r="AE558" s="49"/>
      <c r="AF558" s="50"/>
      <c r="AG558" s="50"/>
      <c r="AH558" s="50"/>
      <c r="AI558" s="50"/>
      <c r="AJ558" s="50"/>
      <c r="AK558" s="50"/>
      <c r="AL558" s="50"/>
      <c r="AM558" s="50"/>
      <c r="AN558" s="50"/>
      <c r="AO558" s="9"/>
      <c r="AP558" s="9"/>
    </row>
    <row r="559" spans="1:42" x14ac:dyDescent="0.55000000000000004">
      <c r="A559" t="str">
        <f t="shared" si="8"/>
        <v/>
      </c>
      <c r="C559" s="103"/>
      <c r="D559" s="110"/>
      <c r="E559" s="112"/>
      <c r="F559" s="110"/>
      <c r="G559" s="112"/>
      <c r="H559" s="110"/>
      <c r="I559" s="110"/>
      <c r="J559" s="110"/>
      <c r="K559" s="110"/>
      <c r="L559" s="110"/>
      <c r="M559" s="110"/>
      <c r="N559" s="110"/>
      <c r="O559" s="110"/>
      <c r="P559" s="110"/>
      <c r="Q559" s="110"/>
      <c r="R559" s="110"/>
      <c r="S559" s="110"/>
      <c r="T559" s="110"/>
      <c r="U559" s="49"/>
      <c r="V559" s="49"/>
      <c r="W559" s="49"/>
      <c r="X559" s="49"/>
      <c r="Y559" s="49"/>
      <c r="Z559" s="49"/>
      <c r="AA559" s="49"/>
      <c r="AB559" s="49"/>
      <c r="AC559" s="49"/>
      <c r="AD559" s="113"/>
      <c r="AE559" s="49"/>
      <c r="AF559" s="50"/>
      <c r="AG559" s="50"/>
      <c r="AH559" s="50"/>
      <c r="AI559" s="50"/>
      <c r="AJ559" s="50"/>
      <c r="AK559" s="50"/>
      <c r="AL559" s="50"/>
      <c r="AM559" s="50"/>
      <c r="AN559" s="50"/>
      <c r="AO559" s="9"/>
      <c r="AP559" s="9"/>
    </row>
    <row r="560" spans="1:42" x14ac:dyDescent="0.55000000000000004">
      <c r="A560" t="str">
        <f t="shared" si="8"/>
        <v/>
      </c>
      <c r="C560" s="103"/>
      <c r="D560" s="110"/>
      <c r="E560" s="112"/>
      <c r="F560" s="110"/>
      <c r="G560" s="112"/>
      <c r="H560" s="110"/>
      <c r="I560" s="110"/>
      <c r="J560" s="110"/>
      <c r="K560" s="110"/>
      <c r="L560" s="110"/>
      <c r="M560" s="110"/>
      <c r="N560" s="110"/>
      <c r="O560" s="110"/>
      <c r="P560" s="110"/>
      <c r="Q560" s="110"/>
      <c r="R560" s="110"/>
      <c r="S560" s="110"/>
      <c r="T560" s="110"/>
      <c r="U560" s="49"/>
      <c r="V560" s="49"/>
      <c r="W560" s="49"/>
      <c r="X560" s="49"/>
      <c r="Y560" s="49"/>
      <c r="Z560" s="49"/>
      <c r="AA560" s="49"/>
      <c r="AB560" s="49"/>
      <c r="AC560" s="49"/>
      <c r="AD560" s="113"/>
      <c r="AE560" s="49"/>
      <c r="AF560" s="50"/>
      <c r="AG560" s="50"/>
      <c r="AH560" s="50"/>
      <c r="AI560" s="50"/>
      <c r="AJ560" s="50"/>
      <c r="AK560" s="50"/>
      <c r="AL560" s="50"/>
      <c r="AM560" s="50"/>
      <c r="AN560" s="50"/>
      <c r="AO560" s="9"/>
      <c r="AP560" s="9"/>
    </row>
    <row r="561" spans="1:42" x14ac:dyDescent="0.55000000000000004">
      <c r="A561" t="str">
        <f t="shared" si="8"/>
        <v/>
      </c>
      <c r="C561" s="103"/>
      <c r="D561" s="110"/>
      <c r="E561" s="112"/>
      <c r="F561" s="110"/>
      <c r="G561" s="112"/>
      <c r="H561" s="110"/>
      <c r="I561" s="110"/>
      <c r="J561" s="110"/>
      <c r="K561" s="110"/>
      <c r="L561" s="110"/>
      <c r="M561" s="110"/>
      <c r="N561" s="110"/>
      <c r="O561" s="110"/>
      <c r="P561" s="110"/>
      <c r="Q561" s="110"/>
      <c r="R561" s="110"/>
      <c r="S561" s="110"/>
      <c r="T561" s="110"/>
      <c r="U561" s="49"/>
      <c r="V561" s="49"/>
      <c r="W561" s="49"/>
      <c r="X561" s="49"/>
      <c r="Y561" s="49"/>
      <c r="Z561" s="49"/>
      <c r="AA561" s="49"/>
      <c r="AB561" s="49"/>
      <c r="AC561" s="49"/>
      <c r="AD561" s="113"/>
      <c r="AE561" s="49"/>
      <c r="AF561" s="50"/>
      <c r="AG561" s="50"/>
      <c r="AH561" s="50"/>
      <c r="AI561" s="50"/>
      <c r="AJ561" s="50"/>
      <c r="AK561" s="50"/>
      <c r="AL561" s="50"/>
      <c r="AM561" s="50"/>
      <c r="AN561" s="50"/>
      <c r="AO561" s="9"/>
      <c r="AP561" s="9"/>
    </row>
    <row r="562" spans="1:42" x14ac:dyDescent="0.55000000000000004">
      <c r="A562" t="str">
        <f t="shared" si="8"/>
        <v/>
      </c>
      <c r="C562" s="103"/>
      <c r="D562" s="110"/>
      <c r="E562" s="112"/>
      <c r="F562" s="110"/>
      <c r="G562" s="112"/>
      <c r="H562" s="110"/>
      <c r="I562" s="110"/>
      <c r="J562" s="110"/>
      <c r="K562" s="110"/>
      <c r="L562" s="110"/>
      <c r="M562" s="110"/>
      <c r="N562" s="110"/>
      <c r="O562" s="110"/>
      <c r="P562" s="110"/>
      <c r="Q562" s="110"/>
      <c r="R562" s="110"/>
      <c r="S562" s="110"/>
      <c r="T562" s="110"/>
      <c r="U562" s="49"/>
      <c r="V562" s="49"/>
      <c r="W562" s="49"/>
      <c r="X562" s="49"/>
      <c r="Y562" s="49"/>
      <c r="Z562" s="49"/>
      <c r="AA562" s="49"/>
      <c r="AB562" s="49"/>
      <c r="AC562" s="49"/>
      <c r="AD562" s="113"/>
      <c r="AE562" s="49"/>
      <c r="AF562" s="50"/>
      <c r="AG562" s="50"/>
      <c r="AH562" s="50"/>
      <c r="AI562" s="50"/>
      <c r="AJ562" s="50"/>
      <c r="AK562" s="50"/>
      <c r="AL562" s="50"/>
      <c r="AM562" s="50"/>
      <c r="AN562" s="50"/>
      <c r="AO562" s="9"/>
      <c r="AP562" s="9"/>
    </row>
    <row r="563" spans="1:42" x14ac:dyDescent="0.55000000000000004">
      <c r="A563" t="str">
        <f t="shared" si="8"/>
        <v/>
      </c>
      <c r="C563" s="103"/>
      <c r="D563" s="110"/>
      <c r="E563" s="112"/>
      <c r="F563" s="110"/>
      <c r="G563" s="112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49"/>
      <c r="V563" s="49"/>
      <c r="W563" s="49"/>
      <c r="X563" s="49"/>
      <c r="Y563" s="49"/>
      <c r="Z563" s="49"/>
      <c r="AA563" s="49"/>
      <c r="AB563" s="49"/>
      <c r="AC563" s="49"/>
      <c r="AD563" s="113"/>
      <c r="AE563" s="49"/>
      <c r="AF563" s="50"/>
      <c r="AG563" s="50"/>
      <c r="AH563" s="50"/>
      <c r="AI563" s="50"/>
      <c r="AJ563" s="50"/>
      <c r="AK563" s="50"/>
      <c r="AL563" s="50"/>
      <c r="AM563" s="50"/>
      <c r="AN563" s="50"/>
      <c r="AO563" s="9"/>
      <c r="AP563" s="9"/>
    </row>
    <row r="564" spans="1:42" x14ac:dyDescent="0.55000000000000004">
      <c r="A564" t="str">
        <f t="shared" si="8"/>
        <v/>
      </c>
      <c r="C564" s="103"/>
      <c r="D564" s="110"/>
      <c r="E564" s="112"/>
      <c r="F564" s="110"/>
      <c r="G564" s="112"/>
      <c r="H564" s="110"/>
      <c r="I564" s="110"/>
      <c r="J564" s="110"/>
      <c r="K564" s="110"/>
      <c r="L564" s="110"/>
      <c r="M564" s="110"/>
      <c r="N564" s="110"/>
      <c r="O564" s="110"/>
      <c r="P564" s="110"/>
      <c r="Q564" s="110"/>
      <c r="R564" s="110"/>
      <c r="S564" s="110"/>
      <c r="T564" s="110"/>
      <c r="U564" s="49"/>
      <c r="V564" s="49"/>
      <c r="W564" s="49"/>
      <c r="X564" s="49"/>
      <c r="Y564" s="49"/>
      <c r="Z564" s="49"/>
      <c r="AA564" s="49"/>
      <c r="AB564" s="49"/>
      <c r="AC564" s="49"/>
      <c r="AD564" s="113"/>
      <c r="AE564" s="49"/>
      <c r="AF564" s="50"/>
      <c r="AG564" s="50"/>
      <c r="AH564" s="50"/>
      <c r="AI564" s="50"/>
      <c r="AJ564" s="50"/>
      <c r="AK564" s="50"/>
      <c r="AL564" s="50"/>
      <c r="AM564" s="50"/>
      <c r="AN564" s="50"/>
      <c r="AO564" s="9"/>
      <c r="AP564" s="9"/>
    </row>
    <row r="565" spans="1:42" x14ac:dyDescent="0.55000000000000004">
      <c r="A565" t="str">
        <f t="shared" si="8"/>
        <v/>
      </c>
      <c r="C565" s="103"/>
      <c r="D565" s="110"/>
      <c r="E565" s="110"/>
      <c r="F565" s="110"/>
      <c r="G565" s="110"/>
      <c r="H565" s="110"/>
      <c r="I565" s="110"/>
      <c r="J565" s="110"/>
      <c r="K565" s="110"/>
      <c r="L565" s="110"/>
      <c r="M565" s="110"/>
      <c r="N565" s="110"/>
      <c r="O565" s="110"/>
      <c r="P565" s="110"/>
      <c r="Q565" s="110"/>
      <c r="R565" s="110"/>
      <c r="S565" s="110"/>
      <c r="T565" s="110"/>
      <c r="U565" s="49"/>
      <c r="V565" s="49"/>
      <c r="W565" s="49"/>
      <c r="X565" s="49"/>
      <c r="Y565" s="49"/>
      <c r="Z565" s="49"/>
      <c r="AA565" s="49"/>
      <c r="AB565" s="49"/>
      <c r="AC565" s="49"/>
      <c r="AD565" s="113"/>
      <c r="AE565" s="49"/>
      <c r="AF565" s="50"/>
      <c r="AG565" s="50"/>
      <c r="AH565" s="50"/>
      <c r="AI565" s="50"/>
      <c r="AJ565" s="50"/>
      <c r="AK565" s="50"/>
      <c r="AL565" s="50"/>
      <c r="AM565" s="50"/>
      <c r="AN565" s="50"/>
      <c r="AO565" s="9"/>
      <c r="AP565" s="9"/>
    </row>
    <row r="566" spans="1:42" x14ac:dyDescent="0.55000000000000004">
      <c r="A566" t="str">
        <f t="shared" si="8"/>
        <v/>
      </c>
      <c r="C566" s="103"/>
      <c r="D566" s="110"/>
      <c r="E566" s="110"/>
      <c r="F566" s="110"/>
      <c r="G566" s="110"/>
      <c r="H566" s="110"/>
      <c r="I566" s="110"/>
      <c r="J566" s="110"/>
      <c r="K566" s="110"/>
      <c r="L566" s="110"/>
      <c r="M566" s="110"/>
      <c r="N566" s="110"/>
      <c r="O566" s="110"/>
      <c r="P566" s="110"/>
      <c r="Q566" s="110"/>
      <c r="R566" s="110"/>
      <c r="S566" s="110"/>
      <c r="T566" s="110"/>
      <c r="U566" s="49"/>
      <c r="V566" s="49"/>
      <c r="W566" s="49"/>
      <c r="X566" s="49"/>
      <c r="Y566" s="49"/>
      <c r="Z566" s="49"/>
      <c r="AA566" s="49"/>
      <c r="AB566" s="49"/>
      <c r="AC566" s="49"/>
      <c r="AD566" s="113"/>
      <c r="AE566" s="49"/>
      <c r="AF566" s="50"/>
      <c r="AG566" s="50"/>
      <c r="AH566" s="50"/>
      <c r="AI566" s="50"/>
      <c r="AJ566" s="50"/>
      <c r="AK566" s="50"/>
      <c r="AL566" s="50"/>
      <c r="AM566" s="50"/>
      <c r="AN566" s="50"/>
      <c r="AO566" s="9"/>
      <c r="AP566" s="9"/>
    </row>
    <row r="567" spans="1:42" x14ac:dyDescent="0.55000000000000004">
      <c r="A567" t="str">
        <f t="shared" si="8"/>
        <v/>
      </c>
      <c r="C567" s="103"/>
      <c r="D567" s="110"/>
      <c r="E567" s="110"/>
      <c r="F567" s="110"/>
      <c r="G567" s="110"/>
      <c r="H567" s="110"/>
      <c r="I567" s="110"/>
      <c r="J567" s="110"/>
      <c r="K567" s="110"/>
      <c r="L567" s="110"/>
      <c r="M567" s="110"/>
      <c r="N567" s="110"/>
      <c r="O567" s="110"/>
      <c r="P567" s="110"/>
      <c r="Q567" s="110"/>
      <c r="R567" s="110"/>
      <c r="S567" s="110"/>
      <c r="T567" s="110"/>
      <c r="U567" s="49"/>
      <c r="V567" s="49"/>
      <c r="W567" s="49"/>
      <c r="X567" s="49"/>
      <c r="Y567" s="49"/>
      <c r="Z567" s="49"/>
      <c r="AA567" s="49"/>
      <c r="AB567" s="49"/>
      <c r="AC567" s="49"/>
      <c r="AD567" s="113"/>
      <c r="AE567" s="49"/>
      <c r="AF567" s="50"/>
      <c r="AG567" s="50"/>
      <c r="AH567" s="50"/>
      <c r="AI567" s="50"/>
      <c r="AJ567" s="50"/>
      <c r="AK567" s="50"/>
      <c r="AL567" s="50"/>
      <c r="AM567" s="50"/>
      <c r="AN567" s="50"/>
      <c r="AO567" s="9"/>
      <c r="AP567" s="9"/>
    </row>
    <row r="568" spans="1:42" x14ac:dyDescent="0.55000000000000004">
      <c r="A568" t="str">
        <f t="shared" si="8"/>
        <v/>
      </c>
      <c r="C568" s="103"/>
      <c r="D568" s="110"/>
      <c r="E568" s="110"/>
      <c r="F568" s="110"/>
      <c r="G568" s="110"/>
      <c r="H568" s="110"/>
      <c r="I568" s="110"/>
      <c r="J568" s="110"/>
      <c r="K568" s="110"/>
      <c r="L568" s="110"/>
      <c r="M568" s="110"/>
      <c r="N568" s="110"/>
      <c r="O568" s="110"/>
      <c r="P568" s="110"/>
      <c r="Q568" s="110"/>
      <c r="R568" s="110"/>
      <c r="S568" s="110"/>
      <c r="T568" s="110"/>
      <c r="U568" s="49"/>
      <c r="V568" s="49"/>
      <c r="W568" s="49"/>
      <c r="X568" s="49"/>
      <c r="Y568" s="49"/>
      <c r="Z568" s="49"/>
      <c r="AA568" s="49"/>
      <c r="AB568" s="49"/>
      <c r="AC568" s="49"/>
      <c r="AD568" s="113"/>
      <c r="AE568" s="49"/>
      <c r="AF568" s="50"/>
      <c r="AG568" s="50"/>
      <c r="AH568" s="50"/>
      <c r="AI568" s="50"/>
      <c r="AJ568" s="50"/>
      <c r="AK568" s="50"/>
      <c r="AL568" s="50"/>
      <c r="AM568" s="50"/>
      <c r="AN568" s="50"/>
      <c r="AO568" s="9"/>
      <c r="AP568" s="9"/>
    </row>
    <row r="569" spans="1:42" x14ac:dyDescent="0.55000000000000004">
      <c r="A569" t="str">
        <f t="shared" si="8"/>
        <v/>
      </c>
      <c r="C569" s="103"/>
      <c r="D569" s="110"/>
      <c r="E569" s="110"/>
      <c r="F569" s="110"/>
      <c r="G569" s="110"/>
      <c r="H569" s="110"/>
      <c r="I569" s="110"/>
      <c r="J569" s="110"/>
      <c r="K569" s="110"/>
      <c r="L569" s="110"/>
      <c r="M569" s="110"/>
      <c r="N569" s="110"/>
      <c r="O569" s="110"/>
      <c r="P569" s="110"/>
      <c r="Q569" s="110"/>
      <c r="R569" s="110"/>
      <c r="S569" s="110"/>
      <c r="T569" s="110"/>
      <c r="U569" s="49"/>
      <c r="V569" s="49"/>
      <c r="W569" s="49"/>
      <c r="X569" s="49"/>
      <c r="Y569" s="49"/>
      <c r="Z569" s="49"/>
      <c r="AA569" s="49"/>
      <c r="AB569" s="49"/>
      <c r="AC569" s="49"/>
      <c r="AD569" s="113"/>
      <c r="AE569" s="49"/>
      <c r="AF569" s="50"/>
      <c r="AG569" s="50"/>
      <c r="AH569" s="50"/>
      <c r="AI569" s="50"/>
      <c r="AJ569" s="50"/>
      <c r="AK569" s="50"/>
      <c r="AL569" s="50"/>
      <c r="AM569" s="50"/>
      <c r="AN569" s="50"/>
      <c r="AO569" s="9"/>
      <c r="AP569" s="9"/>
    </row>
    <row r="570" spans="1:42" x14ac:dyDescent="0.55000000000000004">
      <c r="A570" t="str">
        <f t="shared" si="8"/>
        <v/>
      </c>
      <c r="C570" s="103"/>
      <c r="D570" s="110"/>
      <c r="E570" s="110"/>
      <c r="F570" s="110"/>
      <c r="G570" s="110"/>
      <c r="H570" s="110"/>
      <c r="I570" s="110"/>
      <c r="J570" s="110"/>
      <c r="K570" s="110"/>
      <c r="L570" s="110"/>
      <c r="M570" s="110"/>
      <c r="N570" s="110"/>
      <c r="O570" s="110"/>
      <c r="P570" s="110"/>
      <c r="Q570" s="110"/>
      <c r="R570" s="110"/>
      <c r="S570" s="110"/>
      <c r="T570" s="110"/>
      <c r="U570" s="49"/>
      <c r="V570" s="49"/>
      <c r="W570" s="49"/>
      <c r="X570" s="49"/>
      <c r="Y570" s="49"/>
      <c r="Z570" s="49"/>
      <c r="AA570" s="49"/>
      <c r="AB570" s="49"/>
      <c r="AC570" s="49"/>
      <c r="AD570" s="113"/>
      <c r="AE570" s="49"/>
      <c r="AF570" s="50"/>
      <c r="AG570" s="50"/>
      <c r="AH570" s="50"/>
      <c r="AI570" s="50"/>
      <c r="AJ570" s="50"/>
      <c r="AK570" s="50"/>
      <c r="AL570" s="50"/>
      <c r="AM570" s="50"/>
      <c r="AN570" s="50"/>
      <c r="AO570" s="9"/>
      <c r="AP570" s="9"/>
    </row>
    <row r="571" spans="1:42" x14ac:dyDescent="0.55000000000000004">
      <c r="A571" t="str">
        <f t="shared" si="8"/>
        <v/>
      </c>
      <c r="C571" s="103"/>
      <c r="D571" s="110"/>
      <c r="E571" s="110"/>
      <c r="F571" s="110"/>
      <c r="G571" s="110"/>
      <c r="H571" s="110"/>
      <c r="I571" s="110"/>
      <c r="J571" s="110"/>
      <c r="K571" s="110"/>
      <c r="L571" s="110"/>
      <c r="M571" s="110"/>
      <c r="N571" s="110"/>
      <c r="O571" s="110"/>
      <c r="P571" s="110"/>
      <c r="Q571" s="110"/>
      <c r="R571" s="110"/>
      <c r="S571" s="110"/>
      <c r="T571" s="110"/>
      <c r="U571" s="49"/>
      <c r="V571" s="49"/>
      <c r="W571" s="49"/>
      <c r="X571" s="49"/>
      <c r="Y571" s="49"/>
      <c r="Z571" s="49"/>
      <c r="AA571" s="49"/>
      <c r="AB571" s="49"/>
      <c r="AC571" s="49"/>
      <c r="AD571" s="113"/>
      <c r="AE571" s="49"/>
      <c r="AF571" s="50"/>
      <c r="AG571" s="50"/>
      <c r="AH571" s="50"/>
      <c r="AI571" s="50"/>
      <c r="AJ571" s="50"/>
      <c r="AK571" s="50"/>
      <c r="AL571" s="50"/>
      <c r="AM571" s="50"/>
      <c r="AN571" s="50"/>
      <c r="AO571" s="9"/>
      <c r="AP571" s="9"/>
    </row>
    <row r="572" spans="1:42" x14ac:dyDescent="0.55000000000000004">
      <c r="A572" t="str">
        <f t="shared" si="8"/>
        <v/>
      </c>
      <c r="C572" s="103"/>
      <c r="D572" s="110"/>
      <c r="E572" s="110"/>
      <c r="F572" s="110"/>
      <c r="G572" s="110"/>
      <c r="H572" s="110"/>
      <c r="I572" s="110"/>
      <c r="J572" s="110"/>
      <c r="K572" s="110"/>
      <c r="L572" s="110"/>
      <c r="M572" s="110"/>
      <c r="N572" s="110"/>
      <c r="O572" s="110"/>
      <c r="P572" s="110"/>
      <c r="Q572" s="110"/>
      <c r="R572" s="110"/>
      <c r="S572" s="110"/>
      <c r="T572" s="110"/>
      <c r="U572" s="49"/>
      <c r="V572" s="49"/>
      <c r="W572" s="49"/>
      <c r="X572" s="49"/>
      <c r="Y572" s="49"/>
      <c r="Z572" s="49"/>
      <c r="AA572" s="49"/>
      <c r="AB572" s="49"/>
      <c r="AC572" s="49"/>
      <c r="AD572" s="113"/>
      <c r="AE572" s="49"/>
      <c r="AF572" s="50"/>
      <c r="AG572" s="50"/>
      <c r="AH572" s="50"/>
      <c r="AI572" s="50"/>
      <c r="AJ572" s="50"/>
      <c r="AK572" s="50"/>
      <c r="AL572" s="50"/>
      <c r="AM572" s="50"/>
      <c r="AN572" s="50"/>
      <c r="AO572" s="9"/>
      <c r="AP572" s="9"/>
    </row>
    <row r="573" spans="1:42" x14ac:dyDescent="0.55000000000000004">
      <c r="A573" t="str">
        <f t="shared" si="8"/>
        <v/>
      </c>
      <c r="C573" s="103"/>
      <c r="D573" s="110"/>
      <c r="E573" s="110"/>
      <c r="F573" s="110"/>
      <c r="G573" s="110"/>
      <c r="H573" s="110"/>
      <c r="I573" s="110"/>
      <c r="J573" s="110"/>
      <c r="K573" s="110"/>
      <c r="L573" s="110"/>
      <c r="M573" s="110"/>
      <c r="N573" s="110"/>
      <c r="O573" s="110"/>
      <c r="P573" s="110"/>
      <c r="Q573" s="110"/>
      <c r="R573" s="110"/>
      <c r="S573" s="110"/>
      <c r="T573" s="110"/>
      <c r="U573" s="49"/>
      <c r="V573" s="49"/>
      <c r="W573" s="49"/>
      <c r="X573" s="49"/>
      <c r="Y573" s="49"/>
      <c r="Z573" s="49"/>
      <c r="AA573" s="49"/>
      <c r="AB573" s="49"/>
      <c r="AC573" s="49"/>
      <c r="AD573" s="113"/>
      <c r="AE573" s="49"/>
      <c r="AF573" s="50"/>
      <c r="AG573" s="50"/>
      <c r="AH573" s="50"/>
      <c r="AI573" s="50"/>
      <c r="AJ573" s="50"/>
      <c r="AK573" s="50"/>
      <c r="AL573" s="50"/>
      <c r="AM573" s="50"/>
      <c r="AN573" s="50"/>
      <c r="AO573" s="9"/>
      <c r="AP573" s="9"/>
    </row>
    <row r="574" spans="1:42" x14ac:dyDescent="0.55000000000000004">
      <c r="A574" t="str">
        <f t="shared" si="8"/>
        <v/>
      </c>
      <c r="C574" s="103"/>
      <c r="D574" s="110"/>
      <c r="E574" s="110"/>
      <c r="F574" s="110"/>
      <c r="G574" s="110"/>
      <c r="H574" s="110"/>
      <c r="I574" s="110"/>
      <c r="J574" s="110"/>
      <c r="K574" s="110"/>
      <c r="L574" s="110"/>
      <c r="M574" s="110"/>
      <c r="N574" s="110"/>
      <c r="O574" s="110"/>
      <c r="P574" s="110"/>
      <c r="Q574" s="110"/>
      <c r="R574" s="110"/>
      <c r="S574" s="110"/>
      <c r="T574" s="110"/>
      <c r="U574" s="49"/>
      <c r="V574" s="49"/>
      <c r="W574" s="49"/>
      <c r="X574" s="49"/>
      <c r="Y574" s="49"/>
      <c r="Z574" s="49"/>
      <c r="AA574" s="49"/>
      <c r="AB574" s="49"/>
      <c r="AC574" s="49"/>
      <c r="AD574" s="113"/>
      <c r="AE574" s="49"/>
      <c r="AF574" s="50"/>
      <c r="AG574" s="50"/>
      <c r="AH574" s="50"/>
      <c r="AI574" s="50"/>
      <c r="AJ574" s="50"/>
      <c r="AK574" s="50"/>
      <c r="AL574" s="50"/>
      <c r="AM574" s="50"/>
      <c r="AN574" s="50"/>
      <c r="AO574" s="9"/>
      <c r="AP574" s="9"/>
    </row>
    <row r="575" spans="1:42" x14ac:dyDescent="0.55000000000000004">
      <c r="A575" t="str">
        <f t="shared" si="8"/>
        <v/>
      </c>
      <c r="C575" s="103"/>
      <c r="D575" s="110"/>
      <c r="E575" s="110"/>
      <c r="F575" s="110"/>
      <c r="G575" s="110"/>
      <c r="H575" s="110"/>
      <c r="I575" s="110"/>
      <c r="J575" s="110"/>
      <c r="K575" s="110"/>
      <c r="L575" s="110"/>
      <c r="M575" s="110"/>
      <c r="N575" s="110"/>
      <c r="O575" s="110"/>
      <c r="P575" s="110"/>
      <c r="Q575" s="110"/>
      <c r="R575" s="110"/>
      <c r="S575" s="110"/>
      <c r="T575" s="110"/>
      <c r="U575" s="49"/>
      <c r="V575" s="49"/>
      <c r="W575" s="49"/>
      <c r="X575" s="49"/>
      <c r="Y575" s="49"/>
      <c r="Z575" s="49"/>
      <c r="AA575" s="49"/>
      <c r="AB575" s="49"/>
      <c r="AC575" s="49"/>
      <c r="AD575" s="113"/>
      <c r="AE575" s="49"/>
      <c r="AF575" s="50"/>
      <c r="AG575" s="50"/>
      <c r="AH575" s="50"/>
      <c r="AI575" s="50"/>
      <c r="AJ575" s="50"/>
      <c r="AK575" s="50"/>
      <c r="AL575" s="50"/>
      <c r="AM575" s="50"/>
      <c r="AN575" s="50"/>
      <c r="AO575" s="9"/>
      <c r="AP575" s="9"/>
    </row>
    <row r="576" spans="1:42" x14ac:dyDescent="0.55000000000000004">
      <c r="A576" t="str">
        <f t="shared" si="8"/>
        <v/>
      </c>
      <c r="C576" s="103"/>
      <c r="D576" s="110"/>
      <c r="E576" s="110"/>
      <c r="F576" s="110"/>
      <c r="G576" s="110"/>
      <c r="H576" s="110"/>
      <c r="I576" s="110"/>
      <c r="J576" s="110"/>
      <c r="K576" s="110"/>
      <c r="L576" s="110"/>
      <c r="M576" s="110"/>
      <c r="N576" s="110"/>
      <c r="O576" s="110"/>
      <c r="P576" s="110"/>
      <c r="Q576" s="110"/>
      <c r="R576" s="110"/>
      <c r="S576" s="110"/>
      <c r="T576" s="110"/>
      <c r="U576" s="49"/>
      <c r="V576" s="49"/>
      <c r="W576" s="49"/>
      <c r="X576" s="49"/>
      <c r="Y576" s="49"/>
      <c r="Z576" s="49"/>
      <c r="AA576" s="49"/>
      <c r="AB576" s="49"/>
      <c r="AC576" s="49"/>
      <c r="AD576" s="113"/>
      <c r="AE576" s="49"/>
      <c r="AF576" s="50"/>
      <c r="AG576" s="50"/>
      <c r="AH576" s="50"/>
      <c r="AI576" s="50"/>
      <c r="AJ576" s="50"/>
      <c r="AK576" s="50"/>
      <c r="AL576" s="50"/>
      <c r="AM576" s="50"/>
      <c r="AN576" s="50"/>
      <c r="AO576" s="9"/>
      <c r="AP576" s="9"/>
    </row>
    <row r="577" spans="1:42" x14ac:dyDescent="0.55000000000000004">
      <c r="A577" t="str">
        <f t="shared" si="8"/>
        <v/>
      </c>
      <c r="C577" s="103"/>
      <c r="D577" s="110"/>
      <c r="E577" s="110"/>
      <c r="F577" s="110"/>
      <c r="G577" s="110"/>
      <c r="H577" s="110"/>
      <c r="I577" s="110"/>
      <c r="J577" s="110"/>
      <c r="K577" s="110"/>
      <c r="L577" s="110"/>
      <c r="M577" s="110"/>
      <c r="N577" s="110"/>
      <c r="O577" s="110"/>
      <c r="P577" s="110"/>
      <c r="Q577" s="110"/>
      <c r="R577" s="110"/>
      <c r="S577" s="110"/>
      <c r="T577" s="110"/>
      <c r="U577" s="49"/>
      <c r="V577" s="49"/>
      <c r="W577" s="49"/>
      <c r="X577" s="49"/>
      <c r="Y577" s="49"/>
      <c r="Z577" s="49"/>
      <c r="AA577" s="49"/>
      <c r="AB577" s="49"/>
      <c r="AC577" s="49"/>
      <c r="AD577" s="113"/>
      <c r="AE577" s="49"/>
      <c r="AF577" s="50"/>
      <c r="AG577" s="50"/>
      <c r="AH577" s="50"/>
      <c r="AI577" s="50"/>
      <c r="AJ577" s="50"/>
      <c r="AK577" s="50"/>
      <c r="AL577" s="50"/>
      <c r="AM577" s="50"/>
      <c r="AN577" s="50"/>
      <c r="AO577" s="9"/>
      <c r="AP577" s="9"/>
    </row>
    <row r="578" spans="1:42" x14ac:dyDescent="0.55000000000000004">
      <c r="A578" t="str">
        <f t="shared" si="8"/>
        <v/>
      </c>
      <c r="C578" s="103"/>
      <c r="D578" s="110"/>
      <c r="E578" s="110"/>
      <c r="F578" s="110"/>
      <c r="G578" s="110"/>
      <c r="H578" s="110"/>
      <c r="I578" s="110"/>
      <c r="J578" s="110"/>
      <c r="K578" s="110"/>
      <c r="L578" s="110"/>
      <c r="M578" s="110"/>
      <c r="N578" s="110"/>
      <c r="O578" s="110"/>
      <c r="P578" s="110"/>
      <c r="Q578" s="110"/>
      <c r="R578" s="110"/>
      <c r="S578" s="110"/>
      <c r="T578" s="110"/>
      <c r="U578" s="49"/>
      <c r="V578" s="49"/>
      <c r="W578" s="49"/>
      <c r="X578" s="49"/>
      <c r="Y578" s="49"/>
      <c r="Z578" s="49"/>
      <c r="AA578" s="49"/>
      <c r="AB578" s="49"/>
      <c r="AC578" s="49"/>
      <c r="AD578" s="113"/>
      <c r="AE578" s="49"/>
      <c r="AF578" s="50"/>
      <c r="AG578" s="50"/>
      <c r="AH578" s="50"/>
      <c r="AI578" s="50"/>
      <c r="AJ578" s="50"/>
      <c r="AK578" s="50"/>
      <c r="AL578" s="50"/>
      <c r="AM578" s="50"/>
      <c r="AN578" s="50"/>
      <c r="AO578" s="9"/>
      <c r="AP578" s="9"/>
    </row>
    <row r="579" spans="1:42" x14ac:dyDescent="0.55000000000000004">
      <c r="A579" t="str">
        <f t="shared" ref="A579:A642" si="9">H579&amp;I579&amp;J579</f>
        <v/>
      </c>
      <c r="C579" s="103"/>
      <c r="D579" s="110"/>
      <c r="E579" s="112"/>
      <c r="F579" s="110"/>
      <c r="G579" s="112"/>
      <c r="H579" s="110"/>
      <c r="I579" s="110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49"/>
      <c r="V579" s="49"/>
      <c r="W579" s="49"/>
      <c r="X579" s="49"/>
      <c r="Y579" s="49"/>
      <c r="Z579" s="49"/>
      <c r="AA579" s="49"/>
      <c r="AB579" s="49"/>
      <c r="AC579" s="49"/>
      <c r="AD579" s="113"/>
      <c r="AE579" s="49"/>
      <c r="AF579" s="50"/>
      <c r="AG579" s="50"/>
      <c r="AH579" s="50"/>
      <c r="AI579" s="50"/>
      <c r="AJ579" s="50"/>
      <c r="AK579" s="50"/>
      <c r="AL579" s="50"/>
      <c r="AM579" s="50"/>
      <c r="AN579" s="50"/>
      <c r="AO579" s="9"/>
      <c r="AP579" s="9"/>
    </row>
    <row r="580" spans="1:42" x14ac:dyDescent="0.55000000000000004">
      <c r="A580" t="str">
        <f t="shared" si="9"/>
        <v/>
      </c>
      <c r="C580" s="103"/>
      <c r="D580" s="110"/>
      <c r="E580" s="112"/>
      <c r="F580" s="110"/>
      <c r="G580" s="112"/>
      <c r="H580" s="110"/>
      <c r="I580" s="110"/>
      <c r="J580" s="110"/>
      <c r="K580" s="110"/>
      <c r="L580" s="110"/>
      <c r="M580" s="110"/>
      <c r="N580" s="110"/>
      <c r="O580" s="110"/>
      <c r="P580" s="110"/>
      <c r="Q580" s="110"/>
      <c r="R580" s="110"/>
      <c r="S580" s="110"/>
      <c r="T580" s="110"/>
      <c r="U580" s="49"/>
      <c r="V580" s="49"/>
      <c r="W580" s="49"/>
      <c r="X580" s="49"/>
      <c r="Y580" s="49"/>
      <c r="Z580" s="49"/>
      <c r="AA580" s="49"/>
      <c r="AB580" s="49"/>
      <c r="AC580" s="49"/>
      <c r="AD580" s="113"/>
      <c r="AE580" s="49"/>
      <c r="AF580" s="50"/>
      <c r="AG580" s="50"/>
      <c r="AH580" s="50"/>
      <c r="AI580" s="50"/>
      <c r="AJ580" s="50"/>
      <c r="AK580" s="50"/>
      <c r="AL580" s="50"/>
      <c r="AM580" s="50"/>
      <c r="AN580" s="50"/>
      <c r="AO580" s="9"/>
      <c r="AP580" s="9"/>
    </row>
    <row r="581" spans="1:42" x14ac:dyDescent="0.55000000000000004">
      <c r="A581" t="str">
        <f t="shared" si="9"/>
        <v/>
      </c>
      <c r="C581" s="103"/>
      <c r="D581" s="110"/>
      <c r="E581" s="112"/>
      <c r="F581" s="110"/>
      <c r="G581" s="112"/>
      <c r="H581" s="110"/>
      <c r="I581" s="110"/>
      <c r="J581" s="110"/>
      <c r="K581" s="110"/>
      <c r="L581" s="110"/>
      <c r="M581" s="110"/>
      <c r="N581" s="110"/>
      <c r="O581" s="110"/>
      <c r="P581" s="110"/>
      <c r="Q581" s="110"/>
      <c r="R581" s="110"/>
      <c r="S581" s="110"/>
      <c r="T581" s="110"/>
      <c r="U581" s="49"/>
      <c r="V581" s="49"/>
      <c r="W581" s="49"/>
      <c r="X581" s="49"/>
      <c r="Y581" s="49"/>
      <c r="Z581" s="49"/>
      <c r="AA581" s="49"/>
      <c r="AB581" s="49"/>
      <c r="AC581" s="49"/>
      <c r="AD581" s="113"/>
      <c r="AE581" s="49"/>
      <c r="AF581" s="50"/>
      <c r="AG581" s="50"/>
      <c r="AH581" s="50"/>
      <c r="AI581" s="50"/>
      <c r="AJ581" s="50"/>
      <c r="AK581" s="50"/>
      <c r="AL581" s="50"/>
      <c r="AM581" s="50"/>
      <c r="AN581" s="50"/>
      <c r="AO581" s="9"/>
      <c r="AP581" s="9"/>
    </row>
    <row r="582" spans="1:42" x14ac:dyDescent="0.55000000000000004">
      <c r="A582" t="str">
        <f t="shared" si="9"/>
        <v/>
      </c>
      <c r="C582" s="103"/>
      <c r="D582" s="110"/>
      <c r="E582" s="112"/>
      <c r="F582" s="110"/>
      <c r="G582" s="112"/>
      <c r="H582" s="110"/>
      <c r="I582" s="110"/>
      <c r="J582" s="110"/>
      <c r="K582" s="110"/>
      <c r="L582" s="110"/>
      <c r="M582" s="110"/>
      <c r="N582" s="110"/>
      <c r="O582" s="110"/>
      <c r="P582" s="110"/>
      <c r="Q582" s="110"/>
      <c r="R582" s="110"/>
      <c r="S582" s="110"/>
      <c r="T582" s="110"/>
      <c r="U582" s="49"/>
      <c r="V582" s="49"/>
      <c r="W582" s="49"/>
      <c r="X582" s="49"/>
      <c r="Y582" s="49"/>
      <c r="Z582" s="49"/>
      <c r="AA582" s="49"/>
      <c r="AB582" s="49"/>
      <c r="AC582" s="49"/>
      <c r="AD582" s="113"/>
      <c r="AE582" s="49"/>
      <c r="AF582" s="50"/>
      <c r="AG582" s="50"/>
      <c r="AH582" s="50"/>
      <c r="AI582" s="50"/>
      <c r="AJ582" s="50"/>
      <c r="AK582" s="50"/>
      <c r="AL582" s="50"/>
      <c r="AM582" s="50"/>
      <c r="AN582" s="50"/>
      <c r="AO582" s="9"/>
      <c r="AP582" s="9"/>
    </row>
    <row r="583" spans="1:42" x14ac:dyDescent="0.55000000000000004">
      <c r="A583" t="str">
        <f t="shared" si="9"/>
        <v/>
      </c>
      <c r="C583" s="103"/>
      <c r="D583" s="110"/>
      <c r="E583" s="112"/>
      <c r="F583" s="110"/>
      <c r="G583" s="112"/>
      <c r="H583" s="110"/>
      <c r="I583" s="110"/>
      <c r="J583" s="110"/>
      <c r="K583" s="110"/>
      <c r="L583" s="110"/>
      <c r="M583" s="110"/>
      <c r="N583" s="110"/>
      <c r="O583" s="110"/>
      <c r="P583" s="110"/>
      <c r="Q583" s="110"/>
      <c r="R583" s="110"/>
      <c r="S583" s="110"/>
      <c r="T583" s="110"/>
      <c r="U583" s="49"/>
      <c r="V583" s="49"/>
      <c r="W583" s="49"/>
      <c r="X583" s="49"/>
      <c r="Y583" s="49"/>
      <c r="Z583" s="49"/>
      <c r="AA583" s="49"/>
      <c r="AB583" s="49"/>
      <c r="AC583" s="49"/>
      <c r="AD583" s="113"/>
      <c r="AE583" s="49"/>
      <c r="AF583" s="50"/>
      <c r="AG583" s="50"/>
      <c r="AH583" s="50"/>
      <c r="AI583" s="50"/>
      <c r="AJ583" s="50"/>
      <c r="AK583" s="50"/>
      <c r="AL583" s="50"/>
      <c r="AM583" s="50"/>
      <c r="AN583" s="50"/>
      <c r="AO583" s="9"/>
      <c r="AP583" s="9"/>
    </row>
    <row r="584" spans="1:42" x14ac:dyDescent="0.55000000000000004">
      <c r="A584" t="str">
        <f t="shared" si="9"/>
        <v/>
      </c>
      <c r="C584" s="103"/>
      <c r="D584" s="110"/>
      <c r="E584" s="110"/>
      <c r="F584" s="110"/>
      <c r="G584" s="110"/>
      <c r="H584" s="110"/>
      <c r="I584" s="110"/>
      <c r="J584" s="110"/>
      <c r="K584" s="110"/>
      <c r="L584" s="110"/>
      <c r="M584" s="110"/>
      <c r="N584" s="110"/>
      <c r="O584" s="110"/>
      <c r="P584" s="110"/>
      <c r="Q584" s="110"/>
      <c r="R584" s="110"/>
      <c r="S584" s="110"/>
      <c r="T584" s="110"/>
      <c r="U584" s="49"/>
      <c r="V584" s="49"/>
      <c r="W584" s="49"/>
      <c r="X584" s="49"/>
      <c r="Y584" s="49"/>
      <c r="Z584" s="49"/>
      <c r="AA584" s="49"/>
      <c r="AB584" s="49"/>
      <c r="AC584" s="49"/>
      <c r="AD584" s="113"/>
      <c r="AE584" s="49"/>
      <c r="AF584" s="50"/>
      <c r="AG584" s="50"/>
      <c r="AH584" s="50"/>
      <c r="AI584" s="50"/>
      <c r="AJ584" s="50"/>
      <c r="AK584" s="50"/>
      <c r="AL584" s="50"/>
      <c r="AM584" s="50"/>
      <c r="AN584" s="50"/>
      <c r="AO584" s="9"/>
      <c r="AP584" s="9"/>
    </row>
    <row r="585" spans="1:42" x14ac:dyDescent="0.55000000000000004">
      <c r="A585" t="str">
        <f t="shared" si="9"/>
        <v/>
      </c>
      <c r="C585" s="103"/>
      <c r="D585" s="110"/>
      <c r="E585" s="110"/>
      <c r="F585" s="110"/>
      <c r="G585" s="110"/>
      <c r="H585" s="110"/>
      <c r="I585" s="110"/>
      <c r="J585" s="110"/>
      <c r="K585" s="110"/>
      <c r="L585" s="110"/>
      <c r="M585" s="110"/>
      <c r="N585" s="110"/>
      <c r="O585" s="110"/>
      <c r="P585" s="110"/>
      <c r="Q585" s="110"/>
      <c r="R585" s="110"/>
      <c r="S585" s="110"/>
      <c r="T585" s="110"/>
      <c r="U585" s="49"/>
      <c r="V585" s="49"/>
      <c r="W585" s="49"/>
      <c r="X585" s="49"/>
      <c r="Y585" s="49"/>
      <c r="Z585" s="49"/>
      <c r="AA585" s="49"/>
      <c r="AB585" s="49"/>
      <c r="AC585" s="49"/>
      <c r="AD585" s="113"/>
      <c r="AE585" s="49"/>
      <c r="AF585" s="50"/>
      <c r="AG585" s="50"/>
      <c r="AH585" s="50"/>
      <c r="AI585" s="50"/>
      <c r="AJ585" s="50"/>
      <c r="AK585" s="50"/>
      <c r="AL585" s="50"/>
      <c r="AM585" s="50"/>
      <c r="AN585" s="50"/>
      <c r="AO585" s="9"/>
      <c r="AP585" s="9"/>
    </row>
    <row r="586" spans="1:42" x14ac:dyDescent="0.55000000000000004">
      <c r="A586" t="str">
        <f t="shared" si="9"/>
        <v/>
      </c>
      <c r="C586" s="103"/>
      <c r="D586" s="110"/>
      <c r="E586" s="110"/>
      <c r="F586" s="110"/>
      <c r="G586" s="110"/>
      <c r="H586" s="110"/>
      <c r="I586" s="110"/>
      <c r="J586" s="110"/>
      <c r="K586" s="110"/>
      <c r="L586" s="110"/>
      <c r="M586" s="110"/>
      <c r="N586" s="110"/>
      <c r="O586" s="110"/>
      <c r="P586" s="110"/>
      <c r="Q586" s="110"/>
      <c r="R586" s="110"/>
      <c r="S586" s="110"/>
      <c r="T586" s="110"/>
      <c r="U586" s="49"/>
      <c r="V586" s="49"/>
      <c r="W586" s="49"/>
      <c r="X586" s="49"/>
      <c r="Y586" s="49"/>
      <c r="Z586" s="49"/>
      <c r="AA586" s="49"/>
      <c r="AB586" s="49"/>
      <c r="AC586" s="49"/>
      <c r="AD586" s="113"/>
      <c r="AE586" s="49"/>
      <c r="AF586" s="50"/>
      <c r="AG586" s="50"/>
      <c r="AH586" s="50"/>
      <c r="AI586" s="50"/>
      <c r="AJ586" s="50"/>
      <c r="AK586" s="50"/>
      <c r="AL586" s="50"/>
      <c r="AM586" s="50"/>
      <c r="AN586" s="50"/>
      <c r="AO586" s="9"/>
      <c r="AP586" s="9"/>
    </row>
    <row r="587" spans="1:42" x14ac:dyDescent="0.55000000000000004">
      <c r="A587" t="str">
        <f t="shared" si="9"/>
        <v/>
      </c>
      <c r="C587" s="103"/>
      <c r="D587" s="110"/>
      <c r="E587" s="110"/>
      <c r="F587" s="110"/>
      <c r="G587" s="110"/>
      <c r="H587" s="110"/>
      <c r="I587" s="110"/>
      <c r="J587" s="110"/>
      <c r="K587" s="110"/>
      <c r="L587" s="110"/>
      <c r="M587" s="110"/>
      <c r="N587" s="110"/>
      <c r="O587" s="110"/>
      <c r="P587" s="110"/>
      <c r="Q587" s="110"/>
      <c r="R587" s="110"/>
      <c r="S587" s="110"/>
      <c r="T587" s="110"/>
      <c r="U587" s="49"/>
      <c r="V587" s="49"/>
      <c r="W587" s="49"/>
      <c r="X587" s="49"/>
      <c r="Y587" s="49"/>
      <c r="Z587" s="49"/>
      <c r="AA587" s="49"/>
      <c r="AB587" s="49"/>
      <c r="AC587" s="49"/>
      <c r="AD587" s="113"/>
      <c r="AE587" s="49"/>
      <c r="AF587" s="50"/>
      <c r="AG587" s="50"/>
      <c r="AH587" s="50"/>
      <c r="AI587" s="50"/>
      <c r="AJ587" s="50"/>
      <c r="AK587" s="50"/>
      <c r="AL587" s="50"/>
      <c r="AM587" s="50"/>
      <c r="AN587" s="50"/>
      <c r="AO587" s="9"/>
      <c r="AP587" s="9"/>
    </row>
    <row r="588" spans="1:42" x14ac:dyDescent="0.55000000000000004">
      <c r="A588" t="str">
        <f t="shared" si="9"/>
        <v/>
      </c>
      <c r="C588" s="103"/>
      <c r="D588" s="110"/>
      <c r="E588" s="110"/>
      <c r="F588" s="110"/>
      <c r="G588" s="110"/>
      <c r="H588" s="110"/>
      <c r="I588" s="110"/>
      <c r="J588" s="110"/>
      <c r="K588" s="110"/>
      <c r="L588" s="110"/>
      <c r="M588" s="110"/>
      <c r="N588" s="110"/>
      <c r="O588" s="110"/>
      <c r="P588" s="110"/>
      <c r="Q588" s="110"/>
      <c r="R588" s="110"/>
      <c r="S588" s="110"/>
      <c r="T588" s="110"/>
      <c r="U588" s="49"/>
      <c r="V588" s="49"/>
      <c r="W588" s="49"/>
      <c r="X588" s="49"/>
      <c r="Y588" s="49"/>
      <c r="Z588" s="49"/>
      <c r="AA588" s="49"/>
      <c r="AB588" s="49"/>
      <c r="AC588" s="49"/>
      <c r="AD588" s="113"/>
      <c r="AE588" s="49"/>
      <c r="AF588" s="50"/>
      <c r="AG588" s="50"/>
      <c r="AH588" s="50"/>
      <c r="AI588" s="50"/>
      <c r="AJ588" s="50"/>
      <c r="AK588" s="50"/>
      <c r="AL588" s="50"/>
      <c r="AM588" s="50"/>
      <c r="AN588" s="50"/>
      <c r="AO588" s="9"/>
      <c r="AP588" s="9"/>
    </row>
    <row r="589" spans="1:42" x14ac:dyDescent="0.55000000000000004">
      <c r="A589" t="str">
        <f t="shared" si="9"/>
        <v/>
      </c>
      <c r="C589" s="103"/>
      <c r="D589" s="110"/>
      <c r="E589" s="110"/>
      <c r="F589" s="110"/>
      <c r="G589" s="110"/>
      <c r="H589" s="110"/>
      <c r="I589" s="110"/>
      <c r="J589" s="110"/>
      <c r="K589" s="110"/>
      <c r="L589" s="110"/>
      <c r="M589" s="110"/>
      <c r="N589" s="110"/>
      <c r="O589" s="110"/>
      <c r="P589" s="110"/>
      <c r="Q589" s="110"/>
      <c r="R589" s="110"/>
      <c r="S589" s="110"/>
      <c r="T589" s="110"/>
      <c r="U589" s="49"/>
      <c r="V589" s="49"/>
      <c r="W589" s="49"/>
      <c r="X589" s="49"/>
      <c r="Y589" s="49"/>
      <c r="Z589" s="49"/>
      <c r="AA589" s="49"/>
      <c r="AB589" s="49"/>
      <c r="AC589" s="49"/>
      <c r="AD589" s="113"/>
      <c r="AE589" s="49"/>
      <c r="AF589" s="50"/>
      <c r="AG589" s="50"/>
      <c r="AH589" s="50"/>
      <c r="AI589" s="50"/>
      <c r="AJ589" s="50"/>
      <c r="AK589" s="50"/>
      <c r="AL589" s="50"/>
      <c r="AM589" s="50"/>
      <c r="AN589" s="50"/>
      <c r="AO589" s="9"/>
      <c r="AP589" s="9"/>
    </row>
    <row r="590" spans="1:42" x14ac:dyDescent="0.55000000000000004">
      <c r="A590" t="str">
        <f t="shared" si="9"/>
        <v/>
      </c>
      <c r="C590" s="103"/>
      <c r="D590" s="110"/>
      <c r="E590" s="110"/>
      <c r="F590" s="110"/>
      <c r="G590" s="110"/>
      <c r="H590" s="110"/>
      <c r="I590" s="110"/>
      <c r="J590" s="110"/>
      <c r="K590" s="110"/>
      <c r="L590" s="110"/>
      <c r="M590" s="110"/>
      <c r="N590" s="110"/>
      <c r="O590" s="110"/>
      <c r="P590" s="110"/>
      <c r="Q590" s="110"/>
      <c r="R590" s="110"/>
      <c r="S590" s="110"/>
      <c r="T590" s="110"/>
      <c r="U590" s="49"/>
      <c r="V590" s="49"/>
      <c r="W590" s="49"/>
      <c r="X590" s="49"/>
      <c r="Y590" s="49"/>
      <c r="Z590" s="49"/>
      <c r="AA590" s="49"/>
      <c r="AB590" s="49"/>
      <c r="AC590" s="49"/>
      <c r="AD590" s="113"/>
      <c r="AE590" s="49"/>
      <c r="AF590" s="50"/>
      <c r="AG590" s="50"/>
      <c r="AH590" s="50"/>
      <c r="AI590" s="50"/>
      <c r="AJ590" s="50"/>
      <c r="AK590" s="50"/>
      <c r="AL590" s="50"/>
      <c r="AM590" s="50"/>
      <c r="AN590" s="50"/>
      <c r="AO590" s="9"/>
      <c r="AP590" s="9"/>
    </row>
    <row r="591" spans="1:42" x14ac:dyDescent="0.55000000000000004">
      <c r="A591" t="str">
        <f t="shared" si="9"/>
        <v/>
      </c>
      <c r="C591" s="103"/>
      <c r="D591" s="110"/>
      <c r="E591" s="110"/>
      <c r="F591" s="110"/>
      <c r="G591" s="110"/>
      <c r="H591" s="110"/>
      <c r="I591" s="110"/>
      <c r="J591" s="110"/>
      <c r="K591" s="110"/>
      <c r="L591" s="110"/>
      <c r="M591" s="110"/>
      <c r="N591" s="110"/>
      <c r="O591" s="110"/>
      <c r="P591" s="110"/>
      <c r="Q591" s="110"/>
      <c r="R591" s="110"/>
      <c r="S591" s="110"/>
      <c r="T591" s="110"/>
      <c r="U591" s="49"/>
      <c r="V591" s="49"/>
      <c r="W591" s="49"/>
      <c r="X591" s="49"/>
      <c r="Y591" s="49"/>
      <c r="Z591" s="49"/>
      <c r="AA591" s="49"/>
      <c r="AB591" s="49"/>
      <c r="AC591" s="49"/>
      <c r="AD591" s="113"/>
      <c r="AE591" s="49"/>
      <c r="AF591" s="50"/>
      <c r="AG591" s="50"/>
      <c r="AH591" s="50"/>
      <c r="AI591" s="50"/>
      <c r="AJ591" s="50"/>
      <c r="AK591" s="50"/>
      <c r="AL591" s="50"/>
      <c r="AM591" s="50"/>
      <c r="AN591" s="50"/>
      <c r="AO591" s="9"/>
      <c r="AP591" s="9"/>
    </row>
    <row r="592" spans="1:42" x14ac:dyDescent="0.55000000000000004">
      <c r="A592" t="str">
        <f t="shared" si="9"/>
        <v/>
      </c>
      <c r="C592" s="103"/>
      <c r="D592" s="110"/>
      <c r="E592" s="110"/>
      <c r="F592" s="110"/>
      <c r="G592" s="110"/>
      <c r="H592" s="110"/>
      <c r="I592" s="110"/>
      <c r="J592" s="110"/>
      <c r="K592" s="110"/>
      <c r="L592" s="110"/>
      <c r="M592" s="110"/>
      <c r="N592" s="110"/>
      <c r="O592" s="110"/>
      <c r="P592" s="110"/>
      <c r="Q592" s="110"/>
      <c r="R592" s="110"/>
      <c r="S592" s="110"/>
      <c r="T592" s="110"/>
      <c r="U592" s="49"/>
      <c r="V592" s="49"/>
      <c r="W592" s="49"/>
      <c r="X592" s="49"/>
      <c r="Y592" s="49"/>
      <c r="Z592" s="49"/>
      <c r="AA592" s="49"/>
      <c r="AB592" s="49"/>
      <c r="AC592" s="49"/>
      <c r="AD592" s="113"/>
      <c r="AE592" s="49"/>
      <c r="AF592" s="50"/>
      <c r="AG592" s="50"/>
      <c r="AH592" s="50"/>
      <c r="AI592" s="50"/>
      <c r="AJ592" s="50"/>
      <c r="AK592" s="50"/>
      <c r="AL592" s="50"/>
      <c r="AM592" s="50"/>
      <c r="AN592" s="50"/>
      <c r="AO592" s="9"/>
      <c r="AP592" s="9"/>
    </row>
    <row r="593" spans="1:42" x14ac:dyDescent="0.55000000000000004">
      <c r="A593" t="str">
        <f t="shared" si="9"/>
        <v/>
      </c>
      <c r="C593" s="103"/>
      <c r="D593" s="110"/>
      <c r="E593" s="110"/>
      <c r="F593" s="110"/>
      <c r="G593" s="110"/>
      <c r="H593" s="110"/>
      <c r="I593" s="110"/>
      <c r="J593" s="110"/>
      <c r="K593" s="110"/>
      <c r="L593" s="110"/>
      <c r="M593" s="110"/>
      <c r="N593" s="110"/>
      <c r="O593" s="110"/>
      <c r="P593" s="110"/>
      <c r="Q593" s="110"/>
      <c r="R593" s="110"/>
      <c r="S593" s="110"/>
      <c r="T593" s="110"/>
      <c r="U593" s="49"/>
      <c r="V593" s="49"/>
      <c r="W593" s="49"/>
      <c r="X593" s="49"/>
      <c r="Y593" s="49"/>
      <c r="Z593" s="49"/>
      <c r="AA593" s="49"/>
      <c r="AB593" s="49"/>
      <c r="AC593" s="49"/>
      <c r="AD593" s="113"/>
      <c r="AE593" s="49"/>
      <c r="AF593" s="50"/>
      <c r="AG593" s="50"/>
      <c r="AH593" s="50"/>
      <c r="AI593" s="50"/>
      <c r="AJ593" s="50"/>
      <c r="AK593" s="50"/>
      <c r="AL593" s="50"/>
      <c r="AM593" s="50"/>
      <c r="AN593" s="50"/>
      <c r="AO593" s="9"/>
      <c r="AP593" s="9"/>
    </row>
    <row r="594" spans="1:42" x14ac:dyDescent="0.55000000000000004">
      <c r="A594" t="str">
        <f t="shared" si="9"/>
        <v/>
      </c>
      <c r="C594" s="103"/>
      <c r="D594" s="110"/>
      <c r="E594" s="110"/>
      <c r="F594" s="110"/>
      <c r="G594" s="110"/>
      <c r="H594" s="110"/>
      <c r="I594" s="110"/>
      <c r="J594" s="110"/>
      <c r="K594" s="110"/>
      <c r="L594" s="110"/>
      <c r="M594" s="110"/>
      <c r="N594" s="110"/>
      <c r="O594" s="110"/>
      <c r="P594" s="110"/>
      <c r="Q594" s="110"/>
      <c r="R594" s="110"/>
      <c r="S594" s="110"/>
      <c r="T594" s="110"/>
      <c r="U594" s="49"/>
      <c r="V594" s="49"/>
      <c r="W594" s="49"/>
      <c r="X594" s="49"/>
      <c r="Y594" s="49"/>
      <c r="Z594" s="49"/>
      <c r="AA594" s="49"/>
      <c r="AB594" s="49"/>
      <c r="AC594" s="49"/>
      <c r="AD594" s="113"/>
      <c r="AE594" s="49"/>
      <c r="AF594" s="50"/>
      <c r="AG594" s="50"/>
      <c r="AH594" s="50"/>
      <c r="AI594" s="50"/>
      <c r="AJ594" s="50"/>
      <c r="AK594" s="50"/>
      <c r="AL594" s="50"/>
      <c r="AM594" s="50"/>
      <c r="AN594" s="50"/>
      <c r="AO594" s="9"/>
      <c r="AP594" s="9"/>
    </row>
    <row r="595" spans="1:42" x14ac:dyDescent="0.55000000000000004">
      <c r="A595" t="str">
        <f t="shared" si="9"/>
        <v/>
      </c>
      <c r="C595" s="103"/>
      <c r="D595" s="110"/>
      <c r="E595" s="110"/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49"/>
      <c r="V595" s="49"/>
      <c r="W595" s="49"/>
      <c r="X595" s="49"/>
      <c r="Y595" s="49"/>
      <c r="Z595" s="49"/>
      <c r="AA595" s="49"/>
      <c r="AB595" s="49"/>
      <c r="AC595" s="49"/>
      <c r="AD595" s="113"/>
      <c r="AE595" s="49"/>
      <c r="AF595" s="50"/>
      <c r="AG595" s="50"/>
      <c r="AH595" s="50"/>
      <c r="AI595" s="50"/>
      <c r="AJ595" s="50"/>
      <c r="AK595" s="50"/>
      <c r="AL595" s="50"/>
      <c r="AM595" s="50"/>
      <c r="AN595" s="50"/>
      <c r="AO595" s="9"/>
      <c r="AP595" s="9"/>
    </row>
    <row r="596" spans="1:42" x14ac:dyDescent="0.55000000000000004">
      <c r="A596" t="str">
        <f t="shared" si="9"/>
        <v/>
      </c>
      <c r="C596" s="103"/>
      <c r="D596" s="110"/>
      <c r="E596" s="110"/>
      <c r="F596" s="110"/>
      <c r="G596" s="110"/>
      <c r="H596" s="110"/>
      <c r="I596" s="110"/>
      <c r="J596" s="110"/>
      <c r="K596" s="110"/>
      <c r="L596" s="110"/>
      <c r="M596" s="110"/>
      <c r="N596" s="110"/>
      <c r="O596" s="110"/>
      <c r="P596" s="110"/>
      <c r="Q596" s="110"/>
      <c r="R596" s="110"/>
      <c r="S596" s="110"/>
      <c r="T596" s="110"/>
      <c r="U596" s="49"/>
      <c r="V596" s="49"/>
      <c r="W596" s="49"/>
      <c r="X596" s="49"/>
      <c r="Y596" s="49"/>
      <c r="Z596" s="49"/>
      <c r="AA596" s="49"/>
      <c r="AB596" s="49"/>
      <c r="AC596" s="49"/>
      <c r="AD596" s="113"/>
      <c r="AE596" s="49"/>
      <c r="AF596" s="50"/>
      <c r="AG596" s="50"/>
      <c r="AH596" s="50"/>
      <c r="AI596" s="50"/>
      <c r="AJ596" s="50"/>
      <c r="AK596" s="50"/>
      <c r="AL596" s="50"/>
      <c r="AM596" s="50"/>
      <c r="AN596" s="50"/>
      <c r="AO596" s="9"/>
      <c r="AP596" s="9"/>
    </row>
    <row r="597" spans="1:42" x14ac:dyDescent="0.55000000000000004">
      <c r="A597" t="str">
        <f t="shared" si="9"/>
        <v/>
      </c>
      <c r="C597" s="103"/>
      <c r="D597" s="110"/>
      <c r="E597" s="112"/>
      <c r="F597" s="110"/>
      <c r="G597" s="112"/>
      <c r="H597" s="110"/>
      <c r="I597" s="110"/>
      <c r="J597" s="110"/>
      <c r="K597" s="110"/>
      <c r="L597" s="110"/>
      <c r="M597" s="110"/>
      <c r="N597" s="110"/>
      <c r="O597" s="110"/>
      <c r="P597" s="110"/>
      <c r="Q597" s="110"/>
      <c r="R597" s="110"/>
      <c r="S597" s="110"/>
      <c r="T597" s="110"/>
      <c r="U597" s="49"/>
      <c r="V597" s="49"/>
      <c r="W597" s="49"/>
      <c r="X597" s="49"/>
      <c r="Y597" s="49"/>
      <c r="Z597" s="49"/>
      <c r="AA597" s="49"/>
      <c r="AB597" s="49"/>
      <c r="AC597" s="49"/>
      <c r="AD597" s="113"/>
      <c r="AE597" s="49"/>
      <c r="AF597" s="50"/>
      <c r="AG597" s="50"/>
      <c r="AH597" s="50"/>
      <c r="AI597" s="50"/>
      <c r="AJ597" s="50"/>
      <c r="AK597" s="50"/>
      <c r="AL597" s="50"/>
      <c r="AM597" s="50"/>
      <c r="AN597" s="50"/>
      <c r="AO597" s="9"/>
      <c r="AP597" s="9"/>
    </row>
    <row r="598" spans="1:42" x14ac:dyDescent="0.55000000000000004">
      <c r="A598" t="str">
        <f t="shared" si="9"/>
        <v/>
      </c>
      <c r="C598" s="103"/>
      <c r="D598" s="110"/>
      <c r="E598" s="112"/>
      <c r="F598" s="110"/>
      <c r="G598" s="112"/>
      <c r="H598" s="110"/>
      <c r="I598" s="110"/>
      <c r="J598" s="110"/>
      <c r="K598" s="110"/>
      <c r="L598" s="110"/>
      <c r="M598" s="110"/>
      <c r="N598" s="110"/>
      <c r="O598" s="110"/>
      <c r="P598" s="110"/>
      <c r="Q598" s="110"/>
      <c r="R598" s="110"/>
      <c r="S598" s="110"/>
      <c r="T598" s="110"/>
      <c r="U598" s="49"/>
      <c r="V598" s="49"/>
      <c r="W598" s="49"/>
      <c r="X598" s="49"/>
      <c r="Y598" s="49"/>
      <c r="Z598" s="49"/>
      <c r="AA598" s="49"/>
      <c r="AB598" s="49"/>
      <c r="AC598" s="49"/>
      <c r="AD598" s="113"/>
      <c r="AE598" s="49"/>
      <c r="AF598" s="50"/>
      <c r="AG598" s="50"/>
      <c r="AH598" s="50"/>
      <c r="AI598" s="50"/>
      <c r="AJ598" s="50"/>
      <c r="AK598" s="50"/>
      <c r="AL598" s="50"/>
      <c r="AM598" s="50"/>
      <c r="AN598" s="50"/>
      <c r="AO598" s="9"/>
      <c r="AP598" s="9"/>
    </row>
    <row r="599" spans="1:42" x14ac:dyDescent="0.55000000000000004">
      <c r="A599" t="str">
        <f t="shared" si="9"/>
        <v/>
      </c>
      <c r="C599" s="103"/>
      <c r="D599" s="110"/>
      <c r="E599" s="112"/>
      <c r="F599" s="110"/>
      <c r="G599" s="112"/>
      <c r="H599" s="110"/>
      <c r="I599" s="110"/>
      <c r="J599" s="110"/>
      <c r="K599" s="110"/>
      <c r="L599" s="110"/>
      <c r="M599" s="110"/>
      <c r="N599" s="110"/>
      <c r="O599" s="110"/>
      <c r="P599" s="110"/>
      <c r="Q599" s="110"/>
      <c r="R599" s="110"/>
      <c r="S599" s="110"/>
      <c r="T599" s="110"/>
      <c r="U599" s="49"/>
      <c r="V599" s="49"/>
      <c r="W599" s="49"/>
      <c r="X599" s="49"/>
      <c r="Y599" s="49"/>
      <c r="Z599" s="49"/>
      <c r="AA599" s="49"/>
      <c r="AB599" s="49"/>
      <c r="AC599" s="49"/>
      <c r="AD599" s="113"/>
      <c r="AE599" s="49"/>
      <c r="AF599" s="50"/>
      <c r="AG599" s="50"/>
      <c r="AH599" s="50"/>
      <c r="AI599" s="50"/>
      <c r="AJ599" s="50"/>
      <c r="AK599" s="50"/>
      <c r="AL599" s="50"/>
      <c r="AM599" s="50"/>
      <c r="AN599" s="50"/>
      <c r="AO599" s="9"/>
      <c r="AP599" s="9"/>
    </row>
    <row r="600" spans="1:42" x14ac:dyDescent="0.55000000000000004">
      <c r="A600" t="str">
        <f t="shared" si="9"/>
        <v/>
      </c>
      <c r="C600" s="103"/>
      <c r="D600" s="110"/>
      <c r="E600" s="112"/>
      <c r="F600" s="110"/>
      <c r="G600" s="112"/>
      <c r="H600" s="110"/>
      <c r="I600" s="110"/>
      <c r="J600" s="110"/>
      <c r="K600" s="110"/>
      <c r="L600" s="110"/>
      <c r="M600" s="110"/>
      <c r="N600" s="110"/>
      <c r="O600" s="110"/>
      <c r="P600" s="110"/>
      <c r="Q600" s="110"/>
      <c r="R600" s="110"/>
      <c r="S600" s="110"/>
      <c r="T600" s="110"/>
      <c r="U600" s="49"/>
      <c r="V600" s="49"/>
      <c r="W600" s="49"/>
      <c r="X600" s="49"/>
      <c r="Y600" s="49"/>
      <c r="Z600" s="49"/>
      <c r="AA600" s="49"/>
      <c r="AB600" s="49"/>
      <c r="AC600" s="49"/>
      <c r="AD600" s="113"/>
      <c r="AE600" s="49"/>
      <c r="AF600" s="50"/>
      <c r="AG600" s="50"/>
      <c r="AH600" s="50"/>
      <c r="AI600" s="50"/>
      <c r="AJ600" s="50"/>
      <c r="AK600" s="50"/>
      <c r="AL600" s="50"/>
      <c r="AM600" s="50"/>
      <c r="AN600" s="50"/>
      <c r="AO600" s="9"/>
      <c r="AP600" s="9"/>
    </row>
    <row r="601" spans="1:42" x14ac:dyDescent="0.55000000000000004">
      <c r="A601" t="str">
        <f t="shared" si="9"/>
        <v/>
      </c>
      <c r="C601" s="103"/>
      <c r="D601" s="110"/>
      <c r="E601" s="110"/>
      <c r="F601" s="110"/>
      <c r="G601" s="110"/>
      <c r="H601" s="110"/>
      <c r="I601" s="110"/>
      <c r="J601" s="110"/>
      <c r="K601" s="110"/>
      <c r="L601" s="110"/>
      <c r="M601" s="110"/>
      <c r="N601" s="110"/>
      <c r="O601" s="110"/>
      <c r="P601" s="110"/>
      <c r="Q601" s="110"/>
      <c r="R601" s="110"/>
      <c r="S601" s="110"/>
      <c r="T601" s="110"/>
      <c r="U601" s="49"/>
      <c r="V601" s="49"/>
      <c r="W601" s="49"/>
      <c r="X601" s="49"/>
      <c r="Y601" s="49"/>
      <c r="Z601" s="49"/>
      <c r="AA601" s="49"/>
      <c r="AB601" s="49"/>
      <c r="AC601" s="49"/>
      <c r="AD601" s="113"/>
      <c r="AE601" s="49"/>
      <c r="AF601" s="52"/>
      <c r="AG601" s="52"/>
      <c r="AH601" s="52"/>
      <c r="AI601" s="52"/>
      <c r="AJ601" s="52"/>
      <c r="AK601" s="50"/>
      <c r="AL601" s="50"/>
      <c r="AM601" s="50"/>
      <c r="AN601" s="50"/>
      <c r="AO601" s="9"/>
      <c r="AP601" s="9"/>
    </row>
    <row r="602" spans="1:42" x14ac:dyDescent="0.55000000000000004">
      <c r="A602" t="str">
        <f t="shared" si="9"/>
        <v/>
      </c>
      <c r="C602" s="103"/>
      <c r="D602" s="110"/>
      <c r="E602" s="110"/>
      <c r="F602" s="110"/>
      <c r="G602" s="110"/>
      <c r="H602" s="110"/>
      <c r="I602" s="110"/>
      <c r="J602" s="110"/>
      <c r="K602" s="110"/>
      <c r="L602" s="110"/>
      <c r="M602" s="110"/>
      <c r="N602" s="110"/>
      <c r="O602" s="110"/>
      <c r="P602" s="110"/>
      <c r="Q602" s="110"/>
      <c r="R602" s="110"/>
      <c r="S602" s="110"/>
      <c r="T602" s="110"/>
      <c r="U602" s="49"/>
      <c r="V602" s="49"/>
      <c r="W602" s="49"/>
      <c r="X602" s="49"/>
      <c r="Y602" s="49"/>
      <c r="Z602" s="49"/>
      <c r="AA602" s="49"/>
      <c r="AB602" s="49"/>
      <c r="AC602" s="49"/>
      <c r="AD602" s="113"/>
      <c r="AE602" s="49"/>
      <c r="AF602" s="52"/>
      <c r="AG602" s="52"/>
      <c r="AH602" s="52"/>
      <c r="AI602" s="52"/>
      <c r="AJ602" s="52"/>
      <c r="AK602" s="50"/>
      <c r="AL602" s="50"/>
      <c r="AM602" s="50"/>
      <c r="AN602" s="50"/>
      <c r="AO602" s="9"/>
      <c r="AP602" s="9"/>
    </row>
    <row r="603" spans="1:42" x14ac:dyDescent="0.55000000000000004">
      <c r="A603" t="str">
        <f t="shared" si="9"/>
        <v/>
      </c>
      <c r="C603" s="103"/>
      <c r="D603" s="110"/>
      <c r="E603" s="110"/>
      <c r="F603" s="110"/>
      <c r="G603" s="110"/>
      <c r="H603" s="110"/>
      <c r="I603" s="110"/>
      <c r="J603" s="110"/>
      <c r="K603" s="110"/>
      <c r="L603" s="110"/>
      <c r="M603" s="110"/>
      <c r="N603" s="110"/>
      <c r="O603" s="110"/>
      <c r="P603" s="110"/>
      <c r="Q603" s="110"/>
      <c r="R603" s="110"/>
      <c r="S603" s="110"/>
      <c r="T603" s="110"/>
      <c r="U603" s="49"/>
      <c r="V603" s="49"/>
      <c r="W603" s="49"/>
      <c r="X603" s="49"/>
      <c r="Y603" s="49"/>
      <c r="Z603" s="49"/>
      <c r="AA603" s="49"/>
      <c r="AB603" s="49"/>
      <c r="AC603" s="49"/>
      <c r="AD603" s="113"/>
      <c r="AE603" s="49"/>
      <c r="AF603" s="52"/>
      <c r="AG603" s="52"/>
      <c r="AH603" s="52"/>
      <c r="AI603" s="52"/>
      <c r="AJ603" s="52"/>
      <c r="AK603" s="50"/>
      <c r="AL603" s="50"/>
      <c r="AM603" s="50"/>
      <c r="AN603" s="50"/>
      <c r="AO603" s="9"/>
      <c r="AP603" s="9"/>
    </row>
    <row r="604" spans="1:42" x14ac:dyDescent="0.55000000000000004">
      <c r="A604" t="str">
        <f t="shared" si="9"/>
        <v/>
      </c>
      <c r="C604" s="103"/>
      <c r="D604" s="110"/>
      <c r="E604" s="110"/>
      <c r="F604" s="110"/>
      <c r="G604" s="110"/>
      <c r="H604" s="110"/>
      <c r="I604" s="110"/>
      <c r="J604" s="110"/>
      <c r="K604" s="110"/>
      <c r="L604" s="110"/>
      <c r="M604" s="110"/>
      <c r="N604" s="110"/>
      <c r="O604" s="110"/>
      <c r="P604" s="110"/>
      <c r="Q604" s="110"/>
      <c r="R604" s="110"/>
      <c r="S604" s="110"/>
      <c r="T604" s="110"/>
      <c r="U604" s="49"/>
      <c r="V604" s="49"/>
      <c r="W604" s="49"/>
      <c r="X604" s="49"/>
      <c r="Y604" s="49"/>
      <c r="Z604" s="49"/>
      <c r="AA604" s="49"/>
      <c r="AB604" s="49"/>
      <c r="AC604" s="49"/>
      <c r="AD604" s="113"/>
      <c r="AE604" s="49"/>
      <c r="AF604" s="52"/>
      <c r="AG604" s="52"/>
      <c r="AH604" s="52"/>
      <c r="AI604" s="52"/>
      <c r="AJ604" s="52"/>
      <c r="AK604" s="50"/>
      <c r="AL604" s="50"/>
      <c r="AM604" s="50"/>
      <c r="AN604" s="50"/>
      <c r="AO604" s="9"/>
      <c r="AP604" s="9"/>
    </row>
    <row r="605" spans="1:42" x14ac:dyDescent="0.55000000000000004">
      <c r="A605" t="str">
        <f t="shared" si="9"/>
        <v/>
      </c>
      <c r="C605" s="103"/>
      <c r="D605" s="110"/>
      <c r="E605" s="110"/>
      <c r="F605" s="110"/>
      <c r="G605" s="110"/>
      <c r="H605" s="110"/>
      <c r="I605" s="110"/>
      <c r="J605" s="110"/>
      <c r="K605" s="110"/>
      <c r="L605" s="110"/>
      <c r="M605" s="110"/>
      <c r="N605" s="110"/>
      <c r="O605" s="110"/>
      <c r="P605" s="110"/>
      <c r="Q605" s="110"/>
      <c r="R605" s="110"/>
      <c r="S605" s="110"/>
      <c r="T605" s="110"/>
      <c r="U605" s="49"/>
      <c r="V605" s="49"/>
      <c r="W605" s="49"/>
      <c r="X605" s="49"/>
      <c r="Y605" s="49"/>
      <c r="Z605" s="49"/>
      <c r="AA605" s="49"/>
      <c r="AB605" s="49"/>
      <c r="AC605" s="49"/>
      <c r="AD605" s="113"/>
      <c r="AE605" s="49"/>
      <c r="AF605" s="50"/>
      <c r="AG605" s="50"/>
      <c r="AH605" s="50"/>
      <c r="AI605" s="50"/>
      <c r="AJ605" s="50"/>
      <c r="AK605" s="50"/>
      <c r="AL605" s="50"/>
      <c r="AM605" s="50"/>
      <c r="AN605" s="50"/>
      <c r="AO605" s="9"/>
      <c r="AP605" s="9"/>
    </row>
    <row r="606" spans="1:42" x14ac:dyDescent="0.55000000000000004">
      <c r="A606" t="str">
        <f t="shared" si="9"/>
        <v/>
      </c>
      <c r="C606" s="103"/>
      <c r="D606" s="110"/>
      <c r="E606" s="110"/>
      <c r="F606" s="110"/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49"/>
      <c r="V606" s="49"/>
      <c r="W606" s="49"/>
      <c r="X606" s="49"/>
      <c r="Y606" s="49"/>
      <c r="Z606" s="49"/>
      <c r="AA606" s="49"/>
      <c r="AB606" s="49"/>
      <c r="AC606" s="49"/>
      <c r="AD606" s="113"/>
      <c r="AE606" s="49"/>
      <c r="AF606" s="50"/>
      <c r="AG606" s="50"/>
      <c r="AH606" s="50"/>
      <c r="AI606" s="50"/>
      <c r="AJ606" s="50"/>
      <c r="AK606" s="50"/>
      <c r="AL606" s="50"/>
      <c r="AM606" s="50"/>
      <c r="AN606" s="50"/>
      <c r="AO606" s="9"/>
      <c r="AP606" s="9"/>
    </row>
    <row r="607" spans="1:42" x14ac:dyDescent="0.55000000000000004">
      <c r="A607" t="str">
        <f t="shared" si="9"/>
        <v/>
      </c>
      <c r="C607" s="103"/>
      <c r="D607" s="110"/>
      <c r="E607" s="110"/>
      <c r="F607" s="110"/>
      <c r="G607" s="110"/>
      <c r="H607" s="110"/>
      <c r="I607" s="110"/>
      <c r="J607" s="110"/>
      <c r="K607" s="110"/>
      <c r="L607" s="110"/>
      <c r="M607" s="110"/>
      <c r="N607" s="110"/>
      <c r="O607" s="110"/>
      <c r="P607" s="110"/>
      <c r="Q607" s="110"/>
      <c r="R607" s="110"/>
      <c r="S607" s="110"/>
      <c r="T607" s="110"/>
      <c r="U607" s="49"/>
      <c r="V607" s="49"/>
      <c r="W607" s="49"/>
      <c r="X607" s="49"/>
      <c r="Y607" s="49"/>
      <c r="Z607" s="49"/>
      <c r="AA607" s="49"/>
      <c r="AB607" s="49"/>
      <c r="AC607" s="49"/>
      <c r="AD607" s="113"/>
      <c r="AE607" s="49"/>
      <c r="AF607" s="50"/>
      <c r="AG607" s="50"/>
      <c r="AH607" s="50"/>
      <c r="AI607" s="50"/>
      <c r="AJ607" s="50"/>
      <c r="AK607" s="50"/>
      <c r="AL607" s="50"/>
      <c r="AM607" s="50"/>
      <c r="AN607" s="50"/>
      <c r="AO607" s="9"/>
      <c r="AP607" s="9"/>
    </row>
    <row r="608" spans="1:42" x14ac:dyDescent="0.55000000000000004">
      <c r="A608" t="str">
        <f t="shared" si="9"/>
        <v/>
      </c>
      <c r="C608" s="103"/>
      <c r="D608" s="110"/>
      <c r="E608" s="110"/>
      <c r="F608" s="110"/>
      <c r="G608" s="110"/>
      <c r="H608" s="110"/>
      <c r="I608" s="110"/>
      <c r="J608" s="110"/>
      <c r="K608" s="110"/>
      <c r="L608" s="110"/>
      <c r="M608" s="110"/>
      <c r="N608" s="110"/>
      <c r="O608" s="110"/>
      <c r="P608" s="110"/>
      <c r="Q608" s="110"/>
      <c r="R608" s="110"/>
      <c r="S608" s="110"/>
      <c r="T608" s="110"/>
      <c r="U608" s="49"/>
      <c r="V608" s="49"/>
      <c r="W608" s="49"/>
      <c r="X608" s="49"/>
      <c r="Y608" s="49"/>
      <c r="Z608" s="49"/>
      <c r="AA608" s="49"/>
      <c r="AB608" s="49"/>
      <c r="AC608" s="49"/>
      <c r="AD608" s="113"/>
      <c r="AE608" s="49"/>
      <c r="AF608" s="50"/>
      <c r="AG608" s="50"/>
      <c r="AH608" s="50"/>
      <c r="AI608" s="50"/>
      <c r="AJ608" s="50"/>
      <c r="AK608" s="50"/>
      <c r="AL608" s="50"/>
      <c r="AM608" s="50"/>
      <c r="AN608" s="50"/>
      <c r="AO608" s="9"/>
      <c r="AP608" s="9"/>
    </row>
    <row r="609" spans="1:42" x14ac:dyDescent="0.55000000000000004">
      <c r="A609" t="str">
        <f t="shared" si="9"/>
        <v/>
      </c>
      <c r="C609" s="103"/>
      <c r="D609" s="110"/>
      <c r="E609" s="110"/>
      <c r="F609" s="110"/>
      <c r="G609" s="110"/>
      <c r="H609" s="110"/>
      <c r="I609" s="110"/>
      <c r="J609" s="110"/>
      <c r="K609" s="110"/>
      <c r="L609" s="110"/>
      <c r="M609" s="110"/>
      <c r="N609" s="110"/>
      <c r="O609" s="110"/>
      <c r="P609" s="110"/>
      <c r="Q609" s="110"/>
      <c r="R609" s="110"/>
      <c r="S609" s="110"/>
      <c r="T609" s="110"/>
      <c r="U609" s="49"/>
      <c r="V609" s="49"/>
      <c r="W609" s="49"/>
      <c r="X609" s="49"/>
      <c r="Y609" s="49"/>
      <c r="Z609" s="49"/>
      <c r="AA609" s="49"/>
      <c r="AB609" s="49"/>
      <c r="AC609" s="49"/>
      <c r="AD609" s="113"/>
      <c r="AE609" s="49"/>
      <c r="AF609" s="50"/>
      <c r="AG609" s="50"/>
      <c r="AH609" s="50"/>
      <c r="AI609" s="50"/>
      <c r="AJ609" s="50"/>
      <c r="AK609" s="50"/>
      <c r="AL609" s="50"/>
      <c r="AM609" s="50"/>
      <c r="AN609" s="50"/>
      <c r="AO609" s="9"/>
      <c r="AP609" s="9"/>
    </row>
    <row r="610" spans="1:42" x14ac:dyDescent="0.55000000000000004">
      <c r="A610" t="str">
        <f t="shared" si="9"/>
        <v/>
      </c>
      <c r="C610" s="103"/>
      <c r="D610" s="110"/>
      <c r="E610" s="110"/>
      <c r="F610" s="110"/>
      <c r="G610" s="110"/>
      <c r="H610" s="110"/>
      <c r="I610" s="110"/>
      <c r="J610" s="110"/>
      <c r="K610" s="110"/>
      <c r="L610" s="110"/>
      <c r="M610" s="110"/>
      <c r="N610" s="110"/>
      <c r="O610" s="110"/>
      <c r="P610" s="110"/>
      <c r="Q610" s="110"/>
      <c r="R610" s="110"/>
      <c r="S610" s="110"/>
      <c r="T610" s="110"/>
      <c r="U610" s="49"/>
      <c r="V610" s="49"/>
      <c r="W610" s="49"/>
      <c r="X610" s="49"/>
      <c r="Y610" s="49"/>
      <c r="Z610" s="49"/>
      <c r="AA610" s="49"/>
      <c r="AB610" s="49"/>
      <c r="AC610" s="49"/>
      <c r="AD610" s="113"/>
      <c r="AE610" s="49"/>
      <c r="AF610" s="50"/>
      <c r="AG610" s="50"/>
      <c r="AH610" s="50"/>
      <c r="AI610" s="50"/>
      <c r="AJ610" s="50"/>
      <c r="AK610" s="50"/>
      <c r="AL610" s="50"/>
      <c r="AM610" s="50"/>
      <c r="AN610" s="50"/>
      <c r="AO610" s="9"/>
      <c r="AP610" s="9"/>
    </row>
    <row r="611" spans="1:42" x14ac:dyDescent="0.55000000000000004">
      <c r="A611" t="str">
        <f t="shared" si="9"/>
        <v/>
      </c>
      <c r="C611" s="103"/>
      <c r="D611" s="110"/>
      <c r="E611" s="110"/>
      <c r="F611" s="110"/>
      <c r="G611" s="110"/>
      <c r="H611" s="110"/>
      <c r="I611" s="110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49"/>
      <c r="V611" s="49"/>
      <c r="W611" s="49"/>
      <c r="X611" s="49"/>
      <c r="Y611" s="49"/>
      <c r="Z611" s="49"/>
      <c r="AA611" s="49"/>
      <c r="AB611" s="49"/>
      <c r="AC611" s="49"/>
      <c r="AD611" s="113"/>
      <c r="AE611" s="49"/>
      <c r="AF611" s="51"/>
      <c r="AG611" s="51"/>
      <c r="AH611" s="51"/>
      <c r="AI611" s="51"/>
      <c r="AJ611" s="51"/>
      <c r="AK611" s="50"/>
      <c r="AL611" s="50"/>
      <c r="AM611" s="50"/>
      <c r="AN611" s="50"/>
      <c r="AO611" s="9"/>
      <c r="AP611" s="9"/>
    </row>
    <row r="612" spans="1:42" x14ac:dyDescent="0.55000000000000004">
      <c r="A612" t="str">
        <f t="shared" si="9"/>
        <v/>
      </c>
      <c r="C612" s="103"/>
      <c r="D612" s="110"/>
      <c r="E612" s="110"/>
      <c r="F612" s="110"/>
      <c r="G612" s="110"/>
      <c r="H612" s="110"/>
      <c r="I612" s="110"/>
      <c r="J612" s="110"/>
      <c r="K612" s="110"/>
      <c r="L612" s="110"/>
      <c r="M612" s="110"/>
      <c r="N612" s="110"/>
      <c r="O612" s="110"/>
      <c r="P612" s="110"/>
      <c r="Q612" s="110"/>
      <c r="R612" s="110"/>
      <c r="S612" s="110"/>
      <c r="T612" s="110"/>
      <c r="U612" s="49"/>
      <c r="V612" s="49"/>
      <c r="W612" s="49"/>
      <c r="X612" s="49"/>
      <c r="Y612" s="49"/>
      <c r="Z612" s="49"/>
      <c r="AA612" s="49"/>
      <c r="AB612" s="49"/>
      <c r="AC612" s="49"/>
      <c r="AD612" s="113"/>
      <c r="AE612" s="49"/>
      <c r="AF612" s="52"/>
      <c r="AG612" s="52"/>
      <c r="AH612" s="52"/>
      <c r="AI612" s="52"/>
      <c r="AJ612" s="52"/>
      <c r="AK612" s="50"/>
      <c r="AL612" s="50"/>
      <c r="AM612" s="50"/>
      <c r="AN612" s="50"/>
      <c r="AO612" s="9"/>
      <c r="AP612" s="9"/>
    </row>
    <row r="613" spans="1:42" x14ac:dyDescent="0.55000000000000004">
      <c r="A613" t="str">
        <f t="shared" si="9"/>
        <v/>
      </c>
      <c r="C613" s="103"/>
      <c r="D613" s="110"/>
      <c r="E613" s="110"/>
      <c r="F613" s="110"/>
      <c r="G613" s="110"/>
      <c r="H613" s="110"/>
      <c r="I613" s="110"/>
      <c r="J613" s="110"/>
      <c r="K613" s="110"/>
      <c r="L613" s="110"/>
      <c r="M613" s="110"/>
      <c r="N613" s="110"/>
      <c r="O613" s="110"/>
      <c r="P613" s="110"/>
      <c r="Q613" s="110"/>
      <c r="R613" s="110"/>
      <c r="S613" s="110"/>
      <c r="T613" s="110"/>
      <c r="U613" s="49"/>
      <c r="V613" s="49"/>
      <c r="W613" s="49"/>
      <c r="X613" s="49"/>
      <c r="Y613" s="49"/>
      <c r="Z613" s="49"/>
      <c r="AA613" s="49"/>
      <c r="AB613" s="49"/>
      <c r="AC613" s="49"/>
      <c r="AD613" s="113"/>
      <c r="AE613" s="49"/>
      <c r="AF613" s="50"/>
      <c r="AG613" s="50"/>
      <c r="AH613" s="50"/>
      <c r="AI613" s="50"/>
      <c r="AJ613" s="50"/>
      <c r="AK613" s="50"/>
      <c r="AL613" s="50"/>
      <c r="AM613" s="50"/>
      <c r="AN613" s="50"/>
      <c r="AO613" s="9"/>
      <c r="AP613" s="9"/>
    </row>
    <row r="614" spans="1:42" x14ac:dyDescent="0.55000000000000004">
      <c r="A614" t="str">
        <f t="shared" si="9"/>
        <v/>
      </c>
      <c r="C614" s="103"/>
      <c r="D614" s="110"/>
      <c r="E614" s="112"/>
      <c r="F614" s="110"/>
      <c r="G614" s="112"/>
      <c r="H614" s="110"/>
      <c r="I614" s="110"/>
      <c r="J614" s="110"/>
      <c r="K614" s="110"/>
      <c r="L614" s="110"/>
      <c r="M614" s="110"/>
      <c r="N614" s="110"/>
      <c r="O614" s="110"/>
      <c r="P614" s="110"/>
      <c r="Q614" s="110"/>
      <c r="R614" s="110"/>
      <c r="S614" s="110"/>
      <c r="T614" s="110"/>
      <c r="U614" s="49"/>
      <c r="V614" s="49"/>
      <c r="W614" s="49"/>
      <c r="X614" s="49"/>
      <c r="Y614" s="49"/>
      <c r="Z614" s="49"/>
      <c r="AA614" s="49"/>
      <c r="AB614" s="49"/>
      <c r="AC614" s="49"/>
      <c r="AD614" s="113"/>
      <c r="AE614" s="49"/>
      <c r="AF614" s="52"/>
      <c r="AG614" s="52"/>
      <c r="AH614" s="52"/>
      <c r="AI614" s="52"/>
      <c r="AJ614" s="52"/>
      <c r="AK614" s="50"/>
      <c r="AL614" s="50"/>
      <c r="AM614" s="50"/>
      <c r="AN614" s="50"/>
      <c r="AO614" s="9"/>
      <c r="AP614" s="9"/>
    </row>
    <row r="615" spans="1:42" x14ac:dyDescent="0.55000000000000004">
      <c r="A615" t="str">
        <f t="shared" si="9"/>
        <v/>
      </c>
      <c r="C615" s="103"/>
      <c r="D615" s="110"/>
      <c r="E615" s="110"/>
      <c r="F615" s="110"/>
      <c r="G615" s="110"/>
      <c r="H615" s="110"/>
      <c r="I615" s="110"/>
      <c r="J615" s="110"/>
      <c r="K615" s="110"/>
      <c r="L615" s="110"/>
      <c r="M615" s="110"/>
      <c r="N615" s="110"/>
      <c r="O615" s="110"/>
      <c r="P615" s="110"/>
      <c r="Q615" s="110"/>
      <c r="R615" s="110"/>
      <c r="S615" s="110"/>
      <c r="T615" s="110"/>
      <c r="U615" s="49"/>
      <c r="V615" s="49"/>
      <c r="W615" s="49"/>
      <c r="X615" s="49"/>
      <c r="Y615" s="49"/>
      <c r="Z615" s="49"/>
      <c r="AA615" s="49"/>
      <c r="AB615" s="49"/>
      <c r="AC615" s="49"/>
      <c r="AD615" s="113"/>
      <c r="AE615" s="49"/>
      <c r="AF615" s="50"/>
      <c r="AG615" s="50"/>
      <c r="AH615" s="50"/>
      <c r="AI615" s="50"/>
      <c r="AJ615" s="50"/>
      <c r="AK615" s="50"/>
      <c r="AL615" s="50"/>
      <c r="AM615" s="50"/>
      <c r="AN615" s="50"/>
      <c r="AO615" s="9"/>
      <c r="AP615" s="9"/>
    </row>
    <row r="616" spans="1:42" x14ac:dyDescent="0.55000000000000004">
      <c r="A616" t="str">
        <f t="shared" si="9"/>
        <v/>
      </c>
      <c r="C616" s="103"/>
      <c r="D616" s="110"/>
      <c r="E616" s="110"/>
      <c r="F616" s="110"/>
      <c r="G616" s="110"/>
      <c r="H616" s="110"/>
      <c r="I616" s="110"/>
      <c r="J616" s="110"/>
      <c r="K616" s="110"/>
      <c r="L616" s="110"/>
      <c r="M616" s="110"/>
      <c r="N616" s="110"/>
      <c r="O616" s="110"/>
      <c r="P616" s="110"/>
      <c r="Q616" s="110"/>
      <c r="R616" s="110"/>
      <c r="S616" s="110"/>
      <c r="T616" s="110"/>
      <c r="U616" s="49"/>
      <c r="V616" s="49"/>
      <c r="W616" s="49"/>
      <c r="X616" s="49"/>
      <c r="Y616" s="49"/>
      <c r="Z616" s="49"/>
      <c r="AA616" s="49"/>
      <c r="AB616" s="49"/>
      <c r="AC616" s="49"/>
      <c r="AD616" s="113"/>
      <c r="AE616" s="49"/>
      <c r="AF616" s="53"/>
      <c r="AG616" s="53"/>
      <c r="AH616" s="53"/>
      <c r="AI616" s="53"/>
      <c r="AJ616" s="53"/>
      <c r="AK616" s="50"/>
      <c r="AL616" s="50"/>
      <c r="AM616" s="50"/>
      <c r="AN616" s="50"/>
      <c r="AO616" s="9"/>
      <c r="AP616" s="9"/>
    </row>
    <row r="617" spans="1:42" x14ac:dyDescent="0.55000000000000004">
      <c r="A617" t="str">
        <f t="shared" si="9"/>
        <v/>
      </c>
      <c r="C617" s="103"/>
      <c r="D617" s="110"/>
      <c r="E617" s="110"/>
      <c r="F617" s="110"/>
      <c r="G617" s="110"/>
      <c r="H617" s="110"/>
      <c r="I617" s="110"/>
      <c r="J617" s="110"/>
      <c r="K617" s="110"/>
      <c r="L617" s="110"/>
      <c r="M617" s="110"/>
      <c r="N617" s="110"/>
      <c r="O617" s="110"/>
      <c r="P617" s="110"/>
      <c r="Q617" s="110"/>
      <c r="R617" s="110"/>
      <c r="S617" s="110"/>
      <c r="T617" s="110"/>
      <c r="U617" s="49"/>
      <c r="V617" s="49"/>
      <c r="W617" s="49"/>
      <c r="X617" s="49"/>
      <c r="Y617" s="49"/>
      <c r="Z617" s="49"/>
      <c r="AA617" s="49"/>
      <c r="AB617" s="49"/>
      <c r="AC617" s="49"/>
      <c r="AD617" s="113"/>
      <c r="AE617" s="49"/>
      <c r="AF617" s="50"/>
      <c r="AG617" s="50"/>
      <c r="AH617" s="50"/>
      <c r="AI617" s="50"/>
      <c r="AJ617" s="50"/>
      <c r="AK617" s="50"/>
      <c r="AL617" s="50"/>
      <c r="AM617" s="50"/>
      <c r="AN617" s="50"/>
      <c r="AO617" s="9"/>
      <c r="AP617" s="9"/>
    </row>
    <row r="618" spans="1:42" x14ac:dyDescent="0.55000000000000004">
      <c r="A618" t="str">
        <f t="shared" si="9"/>
        <v/>
      </c>
      <c r="C618" s="103"/>
      <c r="D618" s="110"/>
      <c r="E618" s="110"/>
      <c r="F618" s="110"/>
      <c r="G618" s="110"/>
      <c r="H618" s="110"/>
      <c r="I618" s="110"/>
      <c r="J618" s="110"/>
      <c r="K618" s="110"/>
      <c r="L618" s="110"/>
      <c r="M618" s="110"/>
      <c r="N618" s="110"/>
      <c r="O618" s="110"/>
      <c r="P618" s="110"/>
      <c r="Q618" s="110"/>
      <c r="R618" s="110"/>
      <c r="S618" s="110"/>
      <c r="T618" s="110"/>
      <c r="U618" s="49"/>
      <c r="V618" s="49"/>
      <c r="W618" s="49"/>
      <c r="X618" s="49"/>
      <c r="Y618" s="49"/>
      <c r="Z618" s="49"/>
      <c r="AA618" s="49"/>
      <c r="AB618" s="49"/>
      <c r="AC618" s="49"/>
      <c r="AD618" s="113"/>
      <c r="AE618" s="49"/>
      <c r="AF618" s="50"/>
      <c r="AG618" s="50"/>
      <c r="AH618" s="50"/>
      <c r="AI618" s="50"/>
      <c r="AJ618" s="50"/>
      <c r="AK618" s="50"/>
      <c r="AL618" s="50"/>
      <c r="AM618" s="50"/>
      <c r="AN618" s="50"/>
      <c r="AO618" s="9"/>
      <c r="AP618" s="9"/>
    </row>
    <row r="619" spans="1:42" x14ac:dyDescent="0.55000000000000004">
      <c r="A619" t="str">
        <f t="shared" si="9"/>
        <v/>
      </c>
      <c r="C619" s="103"/>
      <c r="D619" s="110"/>
      <c r="E619" s="110"/>
      <c r="F619" s="110"/>
      <c r="G619" s="110"/>
      <c r="H619" s="110"/>
      <c r="I619" s="110"/>
      <c r="J619" s="110"/>
      <c r="K619" s="110"/>
      <c r="L619" s="110"/>
      <c r="M619" s="110"/>
      <c r="N619" s="110"/>
      <c r="O619" s="110"/>
      <c r="P619" s="110"/>
      <c r="Q619" s="110"/>
      <c r="R619" s="110"/>
      <c r="S619" s="110"/>
      <c r="T619" s="110"/>
      <c r="U619" s="49"/>
      <c r="V619" s="49"/>
      <c r="W619" s="49"/>
      <c r="X619" s="49"/>
      <c r="Y619" s="49"/>
      <c r="Z619" s="49"/>
      <c r="AA619" s="49"/>
      <c r="AB619" s="49"/>
      <c r="AC619" s="49"/>
      <c r="AD619" s="113"/>
      <c r="AE619" s="49"/>
      <c r="AF619" s="53"/>
      <c r="AG619" s="53"/>
      <c r="AH619" s="53"/>
      <c r="AI619" s="53"/>
      <c r="AJ619" s="53"/>
      <c r="AK619" s="50"/>
      <c r="AL619" s="50"/>
      <c r="AM619" s="50"/>
      <c r="AN619" s="50"/>
      <c r="AO619" s="9"/>
      <c r="AP619" s="9"/>
    </row>
    <row r="620" spans="1:42" x14ac:dyDescent="0.55000000000000004">
      <c r="A620" t="str">
        <f t="shared" si="9"/>
        <v/>
      </c>
      <c r="C620" s="103"/>
      <c r="D620" s="110"/>
      <c r="E620" s="110"/>
      <c r="F620" s="110"/>
      <c r="G620" s="110"/>
      <c r="H620" s="110"/>
      <c r="I620" s="110"/>
      <c r="J620" s="110"/>
      <c r="K620" s="110"/>
      <c r="L620" s="110"/>
      <c r="M620" s="110"/>
      <c r="N620" s="110"/>
      <c r="O620" s="110"/>
      <c r="P620" s="110"/>
      <c r="Q620" s="110"/>
      <c r="R620" s="110"/>
      <c r="S620" s="110"/>
      <c r="T620" s="110"/>
      <c r="U620" s="49"/>
      <c r="V620" s="49"/>
      <c r="W620" s="49"/>
      <c r="X620" s="49"/>
      <c r="Y620" s="49"/>
      <c r="Z620" s="49"/>
      <c r="AA620" s="49"/>
      <c r="AB620" s="49"/>
      <c r="AC620" s="49"/>
      <c r="AD620" s="113"/>
      <c r="AE620" s="49"/>
      <c r="AF620" s="53"/>
      <c r="AG620" s="53"/>
      <c r="AH620" s="53"/>
      <c r="AI620" s="53"/>
      <c r="AJ620" s="53"/>
      <c r="AK620" s="50"/>
      <c r="AL620" s="50"/>
      <c r="AM620" s="50"/>
      <c r="AN620" s="50"/>
      <c r="AO620" s="9"/>
      <c r="AP620" s="9"/>
    </row>
    <row r="621" spans="1:42" x14ac:dyDescent="0.55000000000000004">
      <c r="A621" t="str">
        <f t="shared" si="9"/>
        <v/>
      </c>
      <c r="C621" s="103"/>
      <c r="D621" s="110"/>
      <c r="E621" s="110"/>
      <c r="F621" s="110"/>
      <c r="G621" s="110"/>
      <c r="H621" s="110"/>
      <c r="I621" s="110"/>
      <c r="J621" s="110"/>
      <c r="K621" s="110"/>
      <c r="L621" s="110"/>
      <c r="M621" s="110"/>
      <c r="N621" s="110"/>
      <c r="O621" s="110"/>
      <c r="P621" s="110"/>
      <c r="Q621" s="110"/>
      <c r="R621" s="110"/>
      <c r="S621" s="110"/>
      <c r="T621" s="110"/>
      <c r="U621" s="49"/>
      <c r="V621" s="49"/>
      <c r="W621" s="49"/>
      <c r="X621" s="49"/>
      <c r="Y621" s="49"/>
      <c r="Z621" s="49"/>
      <c r="AA621" s="49"/>
      <c r="AB621" s="49"/>
      <c r="AC621" s="49"/>
      <c r="AD621" s="113"/>
      <c r="AE621" s="49"/>
      <c r="AF621" s="53"/>
      <c r="AG621" s="53"/>
      <c r="AH621" s="53"/>
      <c r="AI621" s="53"/>
      <c r="AJ621" s="53"/>
      <c r="AK621" s="50"/>
      <c r="AL621" s="50"/>
      <c r="AM621" s="50"/>
      <c r="AN621" s="50"/>
      <c r="AO621" s="9"/>
      <c r="AP621" s="9"/>
    </row>
    <row r="622" spans="1:42" x14ac:dyDescent="0.55000000000000004">
      <c r="A622" t="str">
        <f t="shared" si="9"/>
        <v/>
      </c>
      <c r="C622" s="103"/>
      <c r="D622" s="110"/>
      <c r="E622" s="110"/>
      <c r="F622" s="110"/>
      <c r="G622" s="110"/>
      <c r="H622" s="110"/>
      <c r="I622" s="110"/>
      <c r="J622" s="110"/>
      <c r="K622" s="110"/>
      <c r="L622" s="110"/>
      <c r="M622" s="110"/>
      <c r="N622" s="110"/>
      <c r="O622" s="110"/>
      <c r="P622" s="110"/>
      <c r="Q622" s="110"/>
      <c r="R622" s="110"/>
      <c r="S622" s="110"/>
      <c r="T622" s="110"/>
      <c r="U622" s="49"/>
      <c r="V622" s="49"/>
      <c r="W622" s="49"/>
      <c r="X622" s="49"/>
      <c r="Y622" s="49"/>
      <c r="Z622" s="49"/>
      <c r="AA622" s="49"/>
      <c r="AB622" s="49"/>
      <c r="AC622" s="49"/>
      <c r="AD622" s="113"/>
      <c r="AE622" s="49"/>
      <c r="AF622" s="53"/>
      <c r="AG622" s="53"/>
      <c r="AH622" s="53"/>
      <c r="AI622" s="53"/>
      <c r="AJ622" s="53"/>
      <c r="AK622" s="50"/>
      <c r="AL622" s="50"/>
      <c r="AM622" s="50"/>
      <c r="AN622" s="50"/>
      <c r="AO622" s="9"/>
      <c r="AP622" s="9"/>
    </row>
    <row r="623" spans="1:42" x14ac:dyDescent="0.55000000000000004">
      <c r="A623" t="str">
        <f t="shared" si="9"/>
        <v/>
      </c>
      <c r="C623" s="103"/>
      <c r="D623" s="110"/>
      <c r="E623" s="110"/>
      <c r="F623" s="110"/>
      <c r="G623" s="110"/>
      <c r="H623" s="110"/>
      <c r="I623" s="110"/>
      <c r="J623" s="110"/>
      <c r="K623" s="110"/>
      <c r="L623" s="110"/>
      <c r="M623" s="110"/>
      <c r="N623" s="110"/>
      <c r="O623" s="110"/>
      <c r="P623" s="110"/>
      <c r="Q623" s="110"/>
      <c r="R623" s="110"/>
      <c r="S623" s="110"/>
      <c r="T623" s="110"/>
      <c r="U623" s="49"/>
      <c r="V623" s="49"/>
      <c r="W623" s="49"/>
      <c r="X623" s="49"/>
      <c r="Y623" s="49"/>
      <c r="Z623" s="49"/>
      <c r="AA623" s="49"/>
      <c r="AB623" s="49"/>
      <c r="AC623" s="49"/>
      <c r="AD623" s="113"/>
      <c r="AE623" s="49"/>
      <c r="AF623" s="53"/>
      <c r="AG623" s="53"/>
      <c r="AH623" s="53"/>
      <c r="AI623" s="53"/>
      <c r="AJ623" s="53"/>
      <c r="AK623" s="50"/>
      <c r="AL623" s="50"/>
      <c r="AM623" s="50"/>
      <c r="AN623" s="50"/>
      <c r="AO623" s="9"/>
      <c r="AP623" s="9"/>
    </row>
    <row r="624" spans="1:42" x14ac:dyDescent="0.55000000000000004">
      <c r="A624" t="str">
        <f t="shared" si="9"/>
        <v/>
      </c>
      <c r="C624" s="103"/>
      <c r="D624" s="110"/>
      <c r="E624" s="110"/>
      <c r="F624" s="110"/>
      <c r="G624" s="110"/>
      <c r="H624" s="110"/>
      <c r="I624" s="110"/>
      <c r="J624" s="110"/>
      <c r="K624" s="110"/>
      <c r="L624" s="110"/>
      <c r="M624" s="110"/>
      <c r="N624" s="110"/>
      <c r="O624" s="110"/>
      <c r="P624" s="110"/>
      <c r="Q624" s="110"/>
      <c r="R624" s="110"/>
      <c r="S624" s="110"/>
      <c r="T624" s="110"/>
      <c r="U624" s="49"/>
      <c r="V624" s="49"/>
      <c r="W624" s="49"/>
      <c r="X624" s="49"/>
      <c r="Y624" s="49"/>
      <c r="Z624" s="49"/>
      <c r="AA624" s="49"/>
      <c r="AB624" s="49"/>
      <c r="AC624" s="49"/>
      <c r="AD624" s="113"/>
      <c r="AE624" s="49"/>
      <c r="AF624" s="53"/>
      <c r="AG624" s="53"/>
      <c r="AH624" s="53"/>
      <c r="AI624" s="53"/>
      <c r="AJ624" s="53"/>
      <c r="AK624" s="50"/>
      <c r="AL624" s="50"/>
      <c r="AM624" s="50"/>
      <c r="AN624" s="50"/>
      <c r="AO624" s="9"/>
      <c r="AP624" s="9"/>
    </row>
    <row r="625" spans="1:42" x14ac:dyDescent="0.55000000000000004">
      <c r="A625" t="str">
        <f t="shared" si="9"/>
        <v/>
      </c>
      <c r="C625" s="103"/>
      <c r="D625" s="110"/>
      <c r="E625" s="110"/>
      <c r="F625" s="110"/>
      <c r="G625" s="110"/>
      <c r="H625" s="110"/>
      <c r="I625" s="110"/>
      <c r="J625" s="110"/>
      <c r="K625" s="110"/>
      <c r="L625" s="110"/>
      <c r="M625" s="110"/>
      <c r="N625" s="110"/>
      <c r="O625" s="110"/>
      <c r="P625" s="110"/>
      <c r="Q625" s="110"/>
      <c r="R625" s="110"/>
      <c r="S625" s="110"/>
      <c r="T625" s="110"/>
      <c r="U625" s="49"/>
      <c r="V625" s="49"/>
      <c r="W625" s="49"/>
      <c r="X625" s="49"/>
      <c r="Y625" s="49"/>
      <c r="Z625" s="49"/>
      <c r="AA625" s="49"/>
      <c r="AB625" s="49"/>
      <c r="AC625" s="49"/>
      <c r="AD625" s="113"/>
      <c r="AE625" s="49"/>
      <c r="AF625" s="53"/>
      <c r="AG625" s="53"/>
      <c r="AH625" s="53"/>
      <c r="AI625" s="53"/>
      <c r="AJ625" s="53"/>
      <c r="AK625" s="50"/>
      <c r="AL625" s="50"/>
      <c r="AM625" s="50"/>
      <c r="AN625" s="50"/>
      <c r="AO625" s="9"/>
      <c r="AP625" s="9"/>
    </row>
    <row r="626" spans="1:42" x14ac:dyDescent="0.55000000000000004">
      <c r="A626" t="str">
        <f t="shared" si="9"/>
        <v/>
      </c>
      <c r="C626" s="103"/>
      <c r="D626" s="110"/>
      <c r="E626" s="110"/>
      <c r="F626" s="110"/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49"/>
      <c r="V626" s="49"/>
      <c r="W626" s="49"/>
      <c r="X626" s="49"/>
      <c r="Y626" s="49"/>
      <c r="Z626" s="49"/>
      <c r="AA626" s="49"/>
      <c r="AB626" s="49"/>
      <c r="AC626" s="49"/>
      <c r="AD626" s="113"/>
      <c r="AE626" s="49"/>
      <c r="AF626" s="50"/>
      <c r="AG626" s="50"/>
      <c r="AH626" s="50"/>
      <c r="AI626" s="50"/>
      <c r="AJ626" s="50"/>
      <c r="AK626" s="50"/>
      <c r="AL626" s="50"/>
      <c r="AM626" s="50"/>
      <c r="AN626" s="50"/>
      <c r="AO626" s="9"/>
      <c r="AP626" s="9"/>
    </row>
    <row r="627" spans="1:42" x14ac:dyDescent="0.55000000000000004">
      <c r="A627" t="str">
        <f t="shared" si="9"/>
        <v/>
      </c>
      <c r="C627" s="103"/>
      <c r="D627" s="110"/>
      <c r="E627" s="110"/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49"/>
      <c r="V627" s="49"/>
      <c r="W627" s="49"/>
      <c r="X627" s="49"/>
      <c r="Y627" s="49"/>
      <c r="Z627" s="49"/>
      <c r="AA627" s="49"/>
      <c r="AB627" s="49"/>
      <c r="AC627" s="49"/>
      <c r="AD627" s="113"/>
      <c r="AE627" s="49"/>
      <c r="AF627" s="53"/>
      <c r="AG627" s="53"/>
      <c r="AH627" s="53"/>
      <c r="AI627" s="53"/>
      <c r="AJ627" s="53"/>
      <c r="AK627" s="50"/>
      <c r="AL627" s="50"/>
      <c r="AM627" s="50"/>
      <c r="AN627" s="50"/>
      <c r="AO627" s="9"/>
      <c r="AP627" s="9"/>
    </row>
    <row r="628" spans="1:42" x14ac:dyDescent="0.55000000000000004">
      <c r="A628" t="str">
        <f t="shared" si="9"/>
        <v/>
      </c>
      <c r="C628" s="103"/>
      <c r="D628" s="110"/>
      <c r="E628" s="112"/>
      <c r="F628" s="110"/>
      <c r="G628" s="112"/>
      <c r="H628" s="110"/>
      <c r="I628" s="110"/>
      <c r="J628" s="110"/>
      <c r="K628" s="110"/>
      <c r="L628" s="110"/>
      <c r="M628" s="110"/>
      <c r="N628" s="110"/>
      <c r="O628" s="110"/>
      <c r="P628" s="110"/>
      <c r="Q628" s="110"/>
      <c r="R628" s="110"/>
      <c r="S628" s="110"/>
      <c r="T628" s="110"/>
      <c r="U628" s="49"/>
      <c r="V628" s="49"/>
      <c r="W628" s="49"/>
      <c r="X628" s="49"/>
      <c r="Y628" s="49"/>
      <c r="Z628" s="49"/>
      <c r="AA628" s="49"/>
      <c r="AB628" s="49"/>
      <c r="AC628" s="49"/>
      <c r="AD628" s="113"/>
      <c r="AE628" s="49"/>
      <c r="AF628" s="53"/>
      <c r="AG628" s="53"/>
      <c r="AH628" s="53"/>
      <c r="AI628" s="53"/>
      <c r="AJ628" s="53"/>
      <c r="AK628" s="50"/>
      <c r="AL628" s="50"/>
      <c r="AM628" s="50"/>
      <c r="AN628" s="50"/>
      <c r="AO628" s="9"/>
      <c r="AP628" s="9"/>
    </row>
    <row r="629" spans="1:42" x14ac:dyDescent="0.55000000000000004">
      <c r="A629" t="str">
        <f t="shared" si="9"/>
        <v/>
      </c>
      <c r="C629" s="103"/>
      <c r="D629" s="110"/>
      <c r="E629" s="112"/>
      <c r="F629" s="110"/>
      <c r="G629" s="112"/>
      <c r="H629" s="110"/>
      <c r="I629" s="110"/>
      <c r="J629" s="110"/>
      <c r="K629" s="110"/>
      <c r="L629" s="110"/>
      <c r="M629" s="110"/>
      <c r="N629" s="110"/>
      <c r="O629" s="110"/>
      <c r="P629" s="110"/>
      <c r="Q629" s="110"/>
      <c r="R629" s="110"/>
      <c r="S629" s="110"/>
      <c r="T629" s="110"/>
      <c r="U629" s="49"/>
      <c r="V629" s="49"/>
      <c r="W629" s="49"/>
      <c r="X629" s="49"/>
      <c r="Y629" s="49"/>
      <c r="Z629" s="49"/>
      <c r="AA629" s="49"/>
      <c r="AB629" s="49"/>
      <c r="AC629" s="49"/>
      <c r="AD629" s="113"/>
      <c r="AE629" s="49"/>
      <c r="AF629" s="51"/>
      <c r="AG629" s="51"/>
      <c r="AH629" s="51"/>
      <c r="AI629" s="51"/>
      <c r="AJ629" s="51"/>
      <c r="AK629" s="50"/>
      <c r="AL629" s="50"/>
      <c r="AM629" s="50"/>
      <c r="AN629" s="50"/>
      <c r="AO629" s="9"/>
      <c r="AP629" s="9"/>
    </row>
    <row r="630" spans="1:42" x14ac:dyDescent="0.55000000000000004">
      <c r="A630" t="str">
        <f t="shared" si="9"/>
        <v/>
      </c>
      <c r="C630" s="103"/>
      <c r="D630" s="110"/>
      <c r="E630" s="112"/>
      <c r="F630" s="110"/>
      <c r="G630" s="112"/>
      <c r="H630" s="110"/>
      <c r="I630" s="110"/>
      <c r="J630" s="110"/>
      <c r="K630" s="110"/>
      <c r="L630" s="110"/>
      <c r="M630" s="110"/>
      <c r="N630" s="110"/>
      <c r="O630" s="110"/>
      <c r="P630" s="110"/>
      <c r="Q630" s="110"/>
      <c r="R630" s="110"/>
      <c r="S630" s="110"/>
      <c r="T630" s="110"/>
      <c r="U630" s="49"/>
      <c r="V630" s="49"/>
      <c r="W630" s="49"/>
      <c r="X630" s="49"/>
      <c r="Y630" s="49"/>
      <c r="Z630" s="49"/>
      <c r="AA630" s="49"/>
      <c r="AB630" s="49"/>
      <c r="AC630" s="49"/>
      <c r="AD630" s="113"/>
      <c r="AE630" s="49"/>
      <c r="AF630" s="51"/>
      <c r="AG630" s="51"/>
      <c r="AH630" s="51"/>
      <c r="AI630" s="51"/>
      <c r="AJ630" s="51"/>
      <c r="AK630" s="51"/>
      <c r="AL630" s="51"/>
      <c r="AM630" s="51"/>
      <c r="AN630" s="51"/>
      <c r="AO630" s="9"/>
      <c r="AP630" s="9"/>
    </row>
    <row r="631" spans="1:42" x14ac:dyDescent="0.55000000000000004">
      <c r="A631" t="str">
        <f t="shared" si="9"/>
        <v/>
      </c>
      <c r="C631" s="103"/>
      <c r="D631" s="110"/>
      <c r="E631" s="112"/>
      <c r="F631" s="110"/>
      <c r="G631" s="112"/>
      <c r="H631" s="110"/>
      <c r="I631" s="110"/>
      <c r="J631" s="110"/>
      <c r="K631" s="110"/>
      <c r="L631" s="110"/>
      <c r="M631" s="110"/>
      <c r="N631" s="110"/>
      <c r="O631" s="110"/>
      <c r="P631" s="110"/>
      <c r="Q631" s="110"/>
      <c r="R631" s="110"/>
      <c r="S631" s="110"/>
      <c r="T631" s="110"/>
      <c r="U631" s="49"/>
      <c r="V631" s="49"/>
      <c r="W631" s="49"/>
      <c r="X631" s="49"/>
      <c r="Y631" s="49"/>
      <c r="Z631" s="49"/>
      <c r="AA631" s="49"/>
      <c r="AB631" s="49"/>
      <c r="AC631" s="49"/>
      <c r="AD631" s="113"/>
      <c r="AE631" s="49"/>
      <c r="AF631" s="51"/>
      <c r="AG631" s="51"/>
      <c r="AH631" s="51"/>
      <c r="AI631" s="51"/>
      <c r="AJ631" s="51"/>
      <c r="AK631" s="51"/>
      <c r="AL631" s="51"/>
      <c r="AM631" s="51"/>
      <c r="AN631" s="51"/>
      <c r="AO631" s="9"/>
      <c r="AP631" s="9"/>
    </row>
    <row r="632" spans="1:42" x14ac:dyDescent="0.55000000000000004">
      <c r="A632" t="str">
        <f t="shared" si="9"/>
        <v/>
      </c>
      <c r="C632" s="103"/>
      <c r="D632" s="110"/>
      <c r="E632" s="110"/>
      <c r="F632" s="110"/>
      <c r="G632" s="110"/>
      <c r="H632" s="110"/>
      <c r="I632" s="110"/>
      <c r="J632" s="110"/>
      <c r="K632" s="110"/>
      <c r="L632" s="110"/>
      <c r="M632" s="110"/>
      <c r="N632" s="110"/>
      <c r="O632" s="110"/>
      <c r="P632" s="110"/>
      <c r="Q632" s="110"/>
      <c r="R632" s="110"/>
      <c r="S632" s="110"/>
      <c r="T632" s="110"/>
      <c r="U632" s="49"/>
      <c r="V632" s="49"/>
      <c r="W632" s="49"/>
      <c r="X632" s="49"/>
      <c r="Y632" s="49"/>
      <c r="Z632" s="49"/>
      <c r="AA632" s="49"/>
      <c r="AB632" s="49"/>
      <c r="AC632" s="49"/>
      <c r="AD632" s="113"/>
      <c r="AE632" s="49"/>
      <c r="AF632" s="51"/>
      <c r="AG632" s="51"/>
      <c r="AH632" s="51"/>
      <c r="AI632" s="51"/>
      <c r="AJ632" s="51"/>
      <c r="AK632" s="51"/>
      <c r="AL632" s="51"/>
      <c r="AM632" s="51"/>
      <c r="AN632" s="51"/>
      <c r="AO632" s="9"/>
      <c r="AP632" s="9"/>
    </row>
    <row r="633" spans="1:42" x14ac:dyDescent="0.55000000000000004">
      <c r="A633" t="str">
        <f t="shared" si="9"/>
        <v/>
      </c>
      <c r="C633" s="103"/>
      <c r="D633" s="110"/>
      <c r="E633" s="110"/>
      <c r="F633" s="110"/>
      <c r="G633" s="110"/>
      <c r="H633" s="110"/>
      <c r="I633" s="110"/>
      <c r="J633" s="110"/>
      <c r="K633" s="110"/>
      <c r="L633" s="110"/>
      <c r="M633" s="110"/>
      <c r="N633" s="110"/>
      <c r="O633" s="110"/>
      <c r="P633" s="110"/>
      <c r="Q633" s="110"/>
      <c r="R633" s="110"/>
      <c r="S633" s="110"/>
      <c r="T633" s="110"/>
      <c r="U633" s="49"/>
      <c r="V633" s="49"/>
      <c r="W633" s="49"/>
      <c r="X633" s="49"/>
      <c r="Y633" s="49"/>
      <c r="Z633" s="49"/>
      <c r="AA633" s="49"/>
      <c r="AB633" s="49"/>
      <c r="AC633" s="49"/>
      <c r="AD633" s="113"/>
      <c r="AE633" s="49"/>
      <c r="AF633" s="51"/>
      <c r="AG633" s="51"/>
      <c r="AH633" s="51"/>
      <c r="AI633" s="51"/>
      <c r="AJ633" s="51"/>
      <c r="AK633" s="51"/>
      <c r="AL633" s="51"/>
      <c r="AM633" s="51"/>
      <c r="AN633" s="51"/>
      <c r="AO633" s="9"/>
      <c r="AP633" s="9"/>
    </row>
    <row r="634" spans="1:42" x14ac:dyDescent="0.55000000000000004">
      <c r="A634" t="str">
        <f t="shared" si="9"/>
        <v/>
      </c>
      <c r="C634" s="103"/>
      <c r="D634" s="110"/>
      <c r="E634" s="110"/>
      <c r="F634" s="110"/>
      <c r="G634" s="110"/>
      <c r="H634" s="110"/>
      <c r="I634" s="110"/>
      <c r="J634" s="110"/>
      <c r="K634" s="110"/>
      <c r="L634" s="110"/>
      <c r="M634" s="110"/>
      <c r="N634" s="110"/>
      <c r="O634" s="110"/>
      <c r="P634" s="110"/>
      <c r="Q634" s="110"/>
      <c r="R634" s="110"/>
      <c r="S634" s="110"/>
      <c r="T634" s="110"/>
      <c r="U634" s="49"/>
      <c r="V634" s="49"/>
      <c r="W634" s="49"/>
      <c r="X634" s="49"/>
      <c r="Y634" s="49"/>
      <c r="Z634" s="49"/>
      <c r="AA634" s="49"/>
      <c r="AB634" s="49"/>
      <c r="AC634" s="49"/>
      <c r="AD634" s="113"/>
      <c r="AE634" s="49"/>
      <c r="AF634" s="51"/>
      <c r="AG634" s="51"/>
      <c r="AH634" s="51"/>
      <c r="AI634" s="51"/>
      <c r="AJ634" s="51"/>
      <c r="AK634" s="51"/>
      <c r="AL634" s="51"/>
      <c r="AM634" s="51"/>
      <c r="AN634" s="51"/>
      <c r="AO634" s="9"/>
      <c r="AP634" s="9"/>
    </row>
    <row r="635" spans="1:42" x14ac:dyDescent="0.55000000000000004">
      <c r="A635" t="str">
        <f t="shared" si="9"/>
        <v/>
      </c>
      <c r="C635" s="103"/>
      <c r="D635" s="110"/>
      <c r="E635" s="110"/>
      <c r="F635" s="110"/>
      <c r="G635" s="110"/>
      <c r="H635" s="110"/>
      <c r="I635" s="110"/>
      <c r="J635" s="110"/>
      <c r="K635" s="110"/>
      <c r="L635" s="110"/>
      <c r="M635" s="110"/>
      <c r="N635" s="110"/>
      <c r="O635" s="110"/>
      <c r="P635" s="110"/>
      <c r="Q635" s="110"/>
      <c r="R635" s="110"/>
      <c r="S635" s="110"/>
      <c r="T635" s="110"/>
      <c r="U635" s="49"/>
      <c r="V635" s="49"/>
      <c r="W635" s="49"/>
      <c r="X635" s="49"/>
      <c r="Y635" s="49"/>
      <c r="Z635" s="49"/>
      <c r="AA635" s="49"/>
      <c r="AB635" s="49"/>
      <c r="AC635" s="49"/>
      <c r="AD635" s="113"/>
      <c r="AE635" s="49"/>
      <c r="AF635" s="51"/>
      <c r="AG635" s="51"/>
      <c r="AH635" s="51"/>
      <c r="AI635" s="51"/>
      <c r="AJ635" s="51"/>
      <c r="AK635" s="51"/>
      <c r="AL635" s="51"/>
      <c r="AM635" s="51"/>
      <c r="AN635" s="51"/>
      <c r="AO635" s="9"/>
      <c r="AP635" s="9"/>
    </row>
    <row r="636" spans="1:42" x14ac:dyDescent="0.55000000000000004">
      <c r="A636" t="str">
        <f t="shared" si="9"/>
        <v/>
      </c>
      <c r="C636" s="103"/>
      <c r="D636" s="110"/>
      <c r="E636" s="110"/>
      <c r="F636" s="110"/>
      <c r="G636" s="110"/>
      <c r="H636" s="110"/>
      <c r="I636" s="110"/>
      <c r="J636" s="110"/>
      <c r="K636" s="110"/>
      <c r="L636" s="110"/>
      <c r="M636" s="110"/>
      <c r="N636" s="110"/>
      <c r="O636" s="110"/>
      <c r="P636" s="110"/>
      <c r="Q636" s="110"/>
      <c r="R636" s="110"/>
      <c r="S636" s="110"/>
      <c r="T636" s="110"/>
      <c r="U636" s="49"/>
      <c r="V636" s="49"/>
      <c r="W636" s="49"/>
      <c r="X636" s="49"/>
      <c r="Y636" s="49"/>
      <c r="Z636" s="49"/>
      <c r="AA636" s="49"/>
      <c r="AB636" s="49"/>
      <c r="AC636" s="49"/>
      <c r="AD636" s="113"/>
      <c r="AE636" s="49"/>
      <c r="AF636" s="50"/>
      <c r="AG636" s="50"/>
      <c r="AH636" s="50"/>
      <c r="AI636" s="50"/>
      <c r="AJ636" s="50"/>
      <c r="AK636" s="50"/>
      <c r="AL636" s="50"/>
      <c r="AM636" s="50"/>
      <c r="AN636" s="50"/>
      <c r="AO636" s="9"/>
      <c r="AP636" s="9"/>
    </row>
    <row r="637" spans="1:42" x14ac:dyDescent="0.55000000000000004">
      <c r="A637" t="str">
        <f t="shared" si="9"/>
        <v/>
      </c>
      <c r="C637" s="103"/>
      <c r="D637" s="110"/>
      <c r="E637" s="110"/>
      <c r="F637" s="110"/>
      <c r="G637" s="110"/>
      <c r="H637" s="110"/>
      <c r="I637" s="110"/>
      <c r="J637" s="110"/>
      <c r="K637" s="110"/>
      <c r="L637" s="110"/>
      <c r="M637" s="110"/>
      <c r="N637" s="110"/>
      <c r="O637" s="110"/>
      <c r="P637" s="110"/>
      <c r="Q637" s="110"/>
      <c r="R637" s="110"/>
      <c r="S637" s="110"/>
      <c r="T637" s="110"/>
      <c r="U637" s="49"/>
      <c r="V637" s="49"/>
      <c r="W637" s="49"/>
      <c r="X637" s="49"/>
      <c r="Y637" s="49"/>
      <c r="Z637" s="49"/>
      <c r="AA637" s="49"/>
      <c r="AB637" s="49"/>
      <c r="AC637" s="49"/>
      <c r="AD637" s="113"/>
      <c r="AE637" s="49"/>
      <c r="AF637" s="50"/>
      <c r="AG637" s="50"/>
      <c r="AH637" s="50"/>
      <c r="AI637" s="50"/>
      <c r="AJ637" s="50"/>
      <c r="AK637" s="50"/>
      <c r="AL637" s="50"/>
      <c r="AM637" s="50"/>
      <c r="AN637" s="50"/>
      <c r="AO637" s="9"/>
      <c r="AP637" s="9"/>
    </row>
    <row r="638" spans="1:42" x14ac:dyDescent="0.55000000000000004">
      <c r="A638" t="str">
        <f t="shared" si="9"/>
        <v/>
      </c>
      <c r="C638" s="103"/>
      <c r="D638" s="110"/>
      <c r="E638" s="110"/>
      <c r="F638" s="110"/>
      <c r="G638" s="110"/>
      <c r="H638" s="110"/>
      <c r="I638" s="110"/>
      <c r="J638" s="110"/>
      <c r="K638" s="110"/>
      <c r="L638" s="110"/>
      <c r="M638" s="110"/>
      <c r="N638" s="110"/>
      <c r="O638" s="110"/>
      <c r="P638" s="110"/>
      <c r="Q638" s="110"/>
      <c r="R638" s="110"/>
      <c r="S638" s="110"/>
      <c r="T638" s="110"/>
      <c r="U638" s="49"/>
      <c r="V638" s="49"/>
      <c r="W638" s="49"/>
      <c r="X638" s="49"/>
      <c r="Y638" s="49"/>
      <c r="Z638" s="49"/>
      <c r="AA638" s="49"/>
      <c r="AB638" s="49"/>
      <c r="AC638" s="49"/>
      <c r="AD638" s="113"/>
      <c r="AE638" s="49"/>
      <c r="AF638" s="50"/>
      <c r="AG638" s="50"/>
      <c r="AH638" s="50"/>
      <c r="AI638" s="50"/>
      <c r="AJ638" s="50"/>
      <c r="AK638" s="50"/>
      <c r="AL638" s="50"/>
      <c r="AM638" s="50"/>
      <c r="AN638" s="50"/>
      <c r="AO638" s="9"/>
      <c r="AP638" s="9"/>
    </row>
    <row r="639" spans="1:42" x14ac:dyDescent="0.55000000000000004">
      <c r="A639" t="str">
        <f t="shared" si="9"/>
        <v/>
      </c>
      <c r="C639" s="103"/>
      <c r="D639" s="110"/>
      <c r="E639" s="110"/>
      <c r="F639" s="110"/>
      <c r="G639" s="110"/>
      <c r="H639" s="110"/>
      <c r="I639" s="110"/>
      <c r="J639" s="110"/>
      <c r="K639" s="110"/>
      <c r="L639" s="110"/>
      <c r="M639" s="110"/>
      <c r="N639" s="110"/>
      <c r="O639" s="110"/>
      <c r="P639" s="110"/>
      <c r="Q639" s="110"/>
      <c r="R639" s="110"/>
      <c r="S639" s="110"/>
      <c r="T639" s="110"/>
      <c r="U639" s="49"/>
      <c r="V639" s="49"/>
      <c r="W639" s="49"/>
      <c r="X639" s="49"/>
      <c r="Y639" s="49"/>
      <c r="Z639" s="49"/>
      <c r="AA639" s="49"/>
      <c r="AB639" s="49"/>
      <c r="AC639" s="49"/>
      <c r="AD639" s="113"/>
      <c r="AE639" s="49"/>
      <c r="AF639" s="50"/>
      <c r="AG639" s="50"/>
      <c r="AH639" s="50"/>
      <c r="AI639" s="50"/>
      <c r="AJ639" s="50"/>
      <c r="AK639" s="50"/>
      <c r="AL639" s="50"/>
      <c r="AM639" s="50"/>
      <c r="AN639" s="50"/>
      <c r="AO639" s="9"/>
      <c r="AP639" s="9"/>
    </row>
    <row r="640" spans="1:42" x14ac:dyDescent="0.55000000000000004">
      <c r="A640" t="str">
        <f t="shared" si="9"/>
        <v/>
      </c>
      <c r="C640" s="103"/>
      <c r="D640" s="110"/>
      <c r="E640" s="110"/>
      <c r="F640" s="110"/>
      <c r="G640" s="110"/>
      <c r="H640" s="110"/>
      <c r="I640" s="110"/>
      <c r="J640" s="110"/>
      <c r="K640" s="110"/>
      <c r="L640" s="110"/>
      <c r="M640" s="110"/>
      <c r="N640" s="110"/>
      <c r="O640" s="110"/>
      <c r="P640" s="110"/>
      <c r="Q640" s="110"/>
      <c r="R640" s="110"/>
      <c r="S640" s="110"/>
      <c r="T640" s="110"/>
      <c r="U640" s="49"/>
      <c r="V640" s="49"/>
      <c r="W640" s="49"/>
      <c r="X640" s="49"/>
      <c r="Y640" s="49"/>
      <c r="Z640" s="49"/>
      <c r="AA640" s="49"/>
      <c r="AB640" s="49"/>
      <c r="AC640" s="49"/>
      <c r="AD640" s="113"/>
      <c r="AE640" s="49"/>
      <c r="AF640" s="50"/>
      <c r="AG640" s="50"/>
      <c r="AH640" s="50"/>
      <c r="AI640" s="50"/>
      <c r="AJ640" s="50"/>
      <c r="AK640" s="50"/>
      <c r="AL640" s="50"/>
      <c r="AM640" s="50"/>
      <c r="AN640" s="50"/>
      <c r="AO640" s="9"/>
      <c r="AP640" s="9"/>
    </row>
    <row r="641" spans="1:42" x14ac:dyDescent="0.55000000000000004">
      <c r="A641" t="str">
        <f t="shared" si="9"/>
        <v/>
      </c>
      <c r="C641" s="103"/>
      <c r="D641" s="110"/>
      <c r="E641" s="110"/>
      <c r="F641" s="110"/>
      <c r="G641" s="110"/>
      <c r="H641" s="110"/>
      <c r="I641" s="110"/>
      <c r="J641" s="110"/>
      <c r="K641" s="110"/>
      <c r="L641" s="110"/>
      <c r="M641" s="110"/>
      <c r="N641" s="110"/>
      <c r="O641" s="110"/>
      <c r="P641" s="110"/>
      <c r="Q641" s="110"/>
      <c r="R641" s="110"/>
      <c r="S641" s="110"/>
      <c r="T641" s="110"/>
      <c r="U641" s="49"/>
      <c r="V641" s="49"/>
      <c r="W641" s="49"/>
      <c r="X641" s="49"/>
      <c r="Y641" s="49"/>
      <c r="Z641" s="49"/>
      <c r="AA641" s="49"/>
      <c r="AB641" s="49"/>
      <c r="AC641" s="49"/>
      <c r="AD641" s="113"/>
      <c r="AE641" s="49"/>
      <c r="AF641" s="50"/>
      <c r="AG641" s="50"/>
      <c r="AH641" s="50"/>
      <c r="AI641" s="50"/>
      <c r="AJ641" s="50"/>
      <c r="AK641" s="50"/>
      <c r="AL641" s="50"/>
      <c r="AM641" s="50"/>
      <c r="AN641" s="50"/>
      <c r="AO641" s="9"/>
      <c r="AP641" s="9"/>
    </row>
    <row r="642" spans="1:42" x14ac:dyDescent="0.55000000000000004">
      <c r="A642" t="str">
        <f t="shared" si="9"/>
        <v/>
      </c>
      <c r="C642" s="103"/>
      <c r="D642" s="110"/>
      <c r="E642" s="110"/>
      <c r="F642" s="110"/>
      <c r="G642" s="110"/>
      <c r="H642" s="110"/>
      <c r="I642" s="110"/>
      <c r="J642" s="110"/>
      <c r="K642" s="110"/>
      <c r="L642" s="110"/>
      <c r="M642" s="110"/>
      <c r="N642" s="110"/>
      <c r="O642" s="110"/>
      <c r="P642" s="110"/>
      <c r="Q642" s="110"/>
      <c r="R642" s="110"/>
      <c r="S642" s="110"/>
      <c r="T642" s="110"/>
      <c r="U642" s="49"/>
      <c r="V642" s="49"/>
      <c r="W642" s="49"/>
      <c r="X642" s="49"/>
      <c r="Y642" s="49"/>
      <c r="Z642" s="49"/>
      <c r="AA642" s="49"/>
      <c r="AB642" s="49"/>
      <c r="AC642" s="49"/>
      <c r="AD642" s="113"/>
      <c r="AE642" s="49"/>
      <c r="AF642" s="50"/>
      <c r="AG642" s="50"/>
      <c r="AH642" s="50"/>
      <c r="AI642" s="50"/>
      <c r="AJ642" s="50"/>
      <c r="AK642" s="50"/>
      <c r="AL642" s="50"/>
      <c r="AM642" s="50"/>
      <c r="AN642" s="50"/>
      <c r="AO642" s="9"/>
      <c r="AP642" s="9"/>
    </row>
    <row r="643" spans="1:42" x14ac:dyDescent="0.55000000000000004">
      <c r="A643" t="str">
        <f t="shared" ref="A643:A706" si="10">H643&amp;I643&amp;J643</f>
        <v/>
      </c>
      <c r="C643" s="103"/>
      <c r="D643" s="110"/>
      <c r="E643" s="110"/>
      <c r="F643" s="110"/>
      <c r="G643" s="110"/>
      <c r="H643" s="110"/>
      <c r="I643" s="110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49"/>
      <c r="V643" s="49"/>
      <c r="W643" s="49"/>
      <c r="X643" s="49"/>
      <c r="Y643" s="49"/>
      <c r="Z643" s="49"/>
      <c r="AA643" s="49"/>
      <c r="AB643" s="49"/>
      <c r="AC643" s="49"/>
      <c r="AD643" s="113"/>
      <c r="AE643" s="49"/>
      <c r="AF643" s="50"/>
      <c r="AG643" s="50"/>
      <c r="AH643" s="50"/>
      <c r="AI643" s="50"/>
      <c r="AJ643" s="50"/>
      <c r="AK643" s="50"/>
      <c r="AL643" s="50"/>
      <c r="AM643" s="50"/>
      <c r="AN643" s="50"/>
      <c r="AO643" s="9"/>
      <c r="AP643" s="9"/>
    </row>
    <row r="644" spans="1:42" x14ac:dyDescent="0.55000000000000004">
      <c r="A644" t="str">
        <f t="shared" si="10"/>
        <v/>
      </c>
      <c r="C644" s="103"/>
      <c r="D644" s="110"/>
      <c r="E644" s="110"/>
      <c r="F644" s="110"/>
      <c r="G644" s="110"/>
      <c r="H644" s="110"/>
      <c r="I644" s="110"/>
      <c r="J644" s="110"/>
      <c r="K644" s="110"/>
      <c r="L644" s="110"/>
      <c r="M644" s="110"/>
      <c r="N644" s="110"/>
      <c r="O644" s="110"/>
      <c r="P644" s="110"/>
      <c r="Q644" s="110"/>
      <c r="R644" s="110"/>
      <c r="S644" s="110"/>
      <c r="T644" s="110"/>
      <c r="U644" s="49"/>
      <c r="V644" s="49"/>
      <c r="W644" s="49"/>
      <c r="X644" s="49"/>
      <c r="Y644" s="49"/>
      <c r="Z644" s="49"/>
      <c r="AA644" s="49"/>
      <c r="AB644" s="49"/>
      <c r="AC644" s="49"/>
      <c r="AD644" s="113"/>
      <c r="AE644" s="49"/>
      <c r="AF644" s="50"/>
      <c r="AG644" s="50"/>
      <c r="AH644" s="50"/>
      <c r="AI644" s="50"/>
      <c r="AJ644" s="50"/>
      <c r="AK644" s="50"/>
      <c r="AL644" s="50"/>
      <c r="AM644" s="50"/>
      <c r="AN644" s="50"/>
      <c r="AO644" s="9"/>
      <c r="AP644" s="9"/>
    </row>
    <row r="645" spans="1:42" x14ac:dyDescent="0.55000000000000004">
      <c r="A645" t="str">
        <f t="shared" si="10"/>
        <v/>
      </c>
      <c r="C645" s="103"/>
      <c r="D645" s="110"/>
      <c r="E645" s="112"/>
      <c r="F645" s="110"/>
      <c r="G645" s="112"/>
      <c r="H645" s="110"/>
      <c r="I645" s="110"/>
      <c r="J645" s="110"/>
      <c r="K645" s="110"/>
      <c r="L645" s="110"/>
      <c r="M645" s="110"/>
      <c r="N645" s="110"/>
      <c r="O645" s="110"/>
      <c r="P645" s="110"/>
      <c r="Q645" s="110"/>
      <c r="R645" s="110"/>
      <c r="S645" s="110"/>
      <c r="T645" s="110"/>
      <c r="U645" s="49"/>
      <c r="V645" s="49"/>
      <c r="W645" s="49"/>
      <c r="X645" s="49"/>
      <c r="Y645" s="49"/>
      <c r="Z645" s="49"/>
      <c r="AA645" s="49"/>
      <c r="AB645" s="49"/>
      <c r="AC645" s="49"/>
      <c r="AD645" s="113"/>
      <c r="AE645" s="49"/>
      <c r="AF645" s="50"/>
      <c r="AG645" s="50"/>
      <c r="AH645" s="50"/>
      <c r="AI645" s="50"/>
      <c r="AJ645" s="50"/>
      <c r="AK645" s="50"/>
      <c r="AL645" s="50"/>
      <c r="AM645" s="50"/>
      <c r="AN645" s="50"/>
      <c r="AO645" s="9"/>
      <c r="AP645" s="9"/>
    </row>
    <row r="646" spans="1:42" x14ac:dyDescent="0.55000000000000004">
      <c r="A646" t="str">
        <f t="shared" si="10"/>
        <v/>
      </c>
      <c r="C646" s="103"/>
      <c r="D646" s="110"/>
      <c r="E646" s="110"/>
      <c r="F646" s="110"/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49"/>
      <c r="V646" s="49"/>
      <c r="W646" s="49"/>
      <c r="X646" s="49"/>
      <c r="Y646" s="49"/>
      <c r="Z646" s="49"/>
      <c r="AA646" s="49"/>
      <c r="AB646" s="49"/>
      <c r="AC646" s="49"/>
      <c r="AD646" s="113"/>
      <c r="AE646" s="49"/>
      <c r="AF646" s="51"/>
      <c r="AG646" s="51"/>
      <c r="AH646" s="51"/>
      <c r="AI646" s="51"/>
      <c r="AJ646" s="51"/>
      <c r="AK646" s="50"/>
      <c r="AL646" s="50"/>
      <c r="AM646" s="50"/>
      <c r="AN646" s="50"/>
      <c r="AO646" s="9"/>
      <c r="AP646" s="9"/>
    </row>
    <row r="647" spans="1:42" x14ac:dyDescent="0.55000000000000004">
      <c r="A647" t="str">
        <f t="shared" si="10"/>
        <v/>
      </c>
      <c r="C647" s="103"/>
      <c r="D647" s="110"/>
      <c r="E647" s="110"/>
      <c r="F647" s="110"/>
      <c r="G647" s="110"/>
      <c r="H647" s="110"/>
      <c r="I647" s="110"/>
      <c r="J647" s="110"/>
      <c r="K647" s="110"/>
      <c r="L647" s="110"/>
      <c r="M647" s="110"/>
      <c r="N647" s="110"/>
      <c r="O647" s="110"/>
      <c r="P647" s="110"/>
      <c r="Q647" s="110"/>
      <c r="R647" s="110"/>
      <c r="S647" s="110"/>
      <c r="T647" s="110"/>
      <c r="U647" s="49"/>
      <c r="V647" s="49"/>
      <c r="W647" s="49"/>
      <c r="X647" s="49"/>
      <c r="Y647" s="49"/>
      <c r="Z647" s="49"/>
      <c r="AA647" s="49"/>
      <c r="AB647" s="49"/>
      <c r="AC647" s="49"/>
      <c r="AD647" s="113"/>
      <c r="AE647" s="49"/>
      <c r="AF647" s="51"/>
      <c r="AG647" s="51"/>
      <c r="AH647" s="51"/>
      <c r="AI647" s="51"/>
      <c r="AJ647" s="51"/>
      <c r="AK647" s="50"/>
      <c r="AL647" s="50"/>
      <c r="AM647" s="50"/>
      <c r="AN647" s="50"/>
      <c r="AO647" s="9"/>
      <c r="AP647" s="9"/>
    </row>
    <row r="648" spans="1:42" x14ac:dyDescent="0.55000000000000004">
      <c r="A648" t="str">
        <f t="shared" si="10"/>
        <v/>
      </c>
      <c r="C648" s="103"/>
      <c r="D648" s="110"/>
      <c r="E648" s="110"/>
      <c r="F648" s="110"/>
      <c r="G648" s="110"/>
      <c r="H648" s="110"/>
      <c r="I648" s="110"/>
      <c r="J648" s="110"/>
      <c r="K648" s="110"/>
      <c r="L648" s="110"/>
      <c r="M648" s="110"/>
      <c r="N648" s="110"/>
      <c r="O648" s="110"/>
      <c r="P648" s="110"/>
      <c r="Q648" s="110"/>
      <c r="R648" s="110"/>
      <c r="S648" s="110"/>
      <c r="T648" s="110"/>
      <c r="U648" s="49"/>
      <c r="V648" s="49"/>
      <c r="W648" s="49"/>
      <c r="X648" s="49"/>
      <c r="Y648" s="49"/>
      <c r="Z648" s="49"/>
      <c r="AA648" s="49"/>
      <c r="AB648" s="49"/>
      <c r="AC648" s="49"/>
      <c r="AD648" s="113"/>
      <c r="AE648" s="49"/>
      <c r="AF648" s="51"/>
      <c r="AG648" s="51"/>
      <c r="AH648" s="51"/>
      <c r="AI648" s="51"/>
      <c r="AJ648" s="51"/>
      <c r="AK648" s="50"/>
      <c r="AL648" s="50"/>
      <c r="AM648" s="50"/>
      <c r="AN648" s="50"/>
      <c r="AO648" s="9"/>
      <c r="AP648" s="9"/>
    </row>
    <row r="649" spans="1:42" x14ac:dyDescent="0.55000000000000004">
      <c r="A649" t="str">
        <f t="shared" si="10"/>
        <v/>
      </c>
      <c r="C649" s="103"/>
      <c r="D649" s="110"/>
      <c r="E649" s="110"/>
      <c r="F649" s="110"/>
      <c r="G649" s="110"/>
      <c r="H649" s="110"/>
      <c r="I649" s="110"/>
      <c r="J649" s="110"/>
      <c r="K649" s="110"/>
      <c r="L649" s="110"/>
      <c r="M649" s="110"/>
      <c r="N649" s="110"/>
      <c r="O649" s="110"/>
      <c r="P649" s="110"/>
      <c r="Q649" s="110"/>
      <c r="R649" s="110"/>
      <c r="S649" s="110"/>
      <c r="T649" s="110"/>
      <c r="U649" s="49"/>
      <c r="V649" s="49"/>
      <c r="W649" s="49"/>
      <c r="X649" s="49"/>
      <c r="Y649" s="49"/>
      <c r="Z649" s="49"/>
      <c r="AA649" s="49"/>
      <c r="AB649" s="49"/>
      <c r="AC649" s="49"/>
      <c r="AD649" s="113"/>
      <c r="AE649" s="49"/>
      <c r="AF649" s="53"/>
      <c r="AG649" s="53"/>
      <c r="AH649" s="53"/>
      <c r="AI649" s="53"/>
      <c r="AJ649" s="53"/>
      <c r="AK649" s="50"/>
      <c r="AL649" s="50"/>
      <c r="AM649" s="50"/>
      <c r="AN649" s="50"/>
      <c r="AO649" s="9"/>
      <c r="AP649" s="9"/>
    </row>
    <row r="650" spans="1:42" x14ac:dyDescent="0.55000000000000004">
      <c r="A650" t="str">
        <f t="shared" si="10"/>
        <v/>
      </c>
      <c r="C650" s="103"/>
      <c r="D650" s="110"/>
      <c r="E650" s="110"/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10"/>
      <c r="Q650" s="110"/>
      <c r="R650" s="110"/>
      <c r="S650" s="110"/>
      <c r="T650" s="110"/>
      <c r="U650" s="49"/>
      <c r="V650" s="49"/>
      <c r="W650" s="49"/>
      <c r="X650" s="49"/>
      <c r="Y650" s="49"/>
      <c r="Z650" s="49"/>
      <c r="AA650" s="49"/>
      <c r="AB650" s="49"/>
      <c r="AC650" s="49"/>
      <c r="AD650" s="113"/>
      <c r="AE650" s="49"/>
      <c r="AF650" s="53"/>
      <c r="AG650" s="53"/>
      <c r="AH650" s="53"/>
      <c r="AI650" s="53"/>
      <c r="AJ650" s="53"/>
      <c r="AK650" s="50"/>
      <c r="AL650" s="50"/>
      <c r="AM650" s="50"/>
      <c r="AN650" s="50"/>
      <c r="AO650" s="9"/>
      <c r="AP650" s="9"/>
    </row>
    <row r="651" spans="1:42" x14ac:dyDescent="0.55000000000000004">
      <c r="A651" t="str">
        <f t="shared" si="10"/>
        <v/>
      </c>
      <c r="C651" s="103"/>
      <c r="D651" s="110"/>
      <c r="E651" s="110"/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10"/>
      <c r="Q651" s="110"/>
      <c r="R651" s="110"/>
      <c r="S651" s="110"/>
      <c r="T651" s="110"/>
      <c r="U651" s="49"/>
      <c r="V651" s="49"/>
      <c r="W651" s="49"/>
      <c r="X651" s="49"/>
      <c r="Y651" s="49"/>
      <c r="Z651" s="49"/>
      <c r="AA651" s="49"/>
      <c r="AB651" s="49"/>
      <c r="AC651" s="49"/>
      <c r="AD651" s="113"/>
      <c r="AE651" s="49"/>
      <c r="AF651" s="53"/>
      <c r="AG651" s="53"/>
      <c r="AH651" s="53"/>
      <c r="AI651" s="53"/>
      <c r="AJ651" s="53"/>
      <c r="AK651" s="50"/>
      <c r="AL651" s="50"/>
      <c r="AM651" s="50"/>
      <c r="AN651" s="50"/>
      <c r="AO651" s="9"/>
      <c r="AP651" s="9"/>
    </row>
    <row r="652" spans="1:42" x14ac:dyDescent="0.55000000000000004">
      <c r="A652" t="str">
        <f t="shared" si="10"/>
        <v/>
      </c>
      <c r="C652" s="103"/>
      <c r="D652" s="110"/>
      <c r="E652" s="110"/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10"/>
      <c r="Q652" s="110"/>
      <c r="R652" s="110"/>
      <c r="S652" s="110"/>
      <c r="T652" s="110"/>
      <c r="U652" s="49"/>
      <c r="V652" s="49"/>
      <c r="W652" s="49"/>
      <c r="X652" s="49"/>
      <c r="Y652" s="49"/>
      <c r="Z652" s="49"/>
      <c r="AA652" s="49"/>
      <c r="AB652" s="49"/>
      <c r="AC652" s="49"/>
      <c r="AD652" s="113"/>
      <c r="AE652" s="49"/>
      <c r="AF652" s="53"/>
      <c r="AG652" s="53"/>
      <c r="AH652" s="53"/>
      <c r="AI652" s="53"/>
      <c r="AJ652" s="53"/>
      <c r="AK652" s="50"/>
      <c r="AL652" s="50"/>
      <c r="AM652" s="50"/>
      <c r="AN652" s="50"/>
      <c r="AO652" s="9"/>
      <c r="AP652" s="9"/>
    </row>
    <row r="653" spans="1:42" x14ac:dyDescent="0.55000000000000004">
      <c r="A653" t="str">
        <f t="shared" si="10"/>
        <v/>
      </c>
      <c r="C653" s="103"/>
      <c r="D653" s="110"/>
      <c r="E653" s="110"/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10"/>
      <c r="Q653" s="110"/>
      <c r="R653" s="110"/>
      <c r="S653" s="110"/>
      <c r="T653" s="110"/>
      <c r="U653" s="49"/>
      <c r="V653" s="49"/>
      <c r="W653" s="49"/>
      <c r="X653" s="49"/>
      <c r="Y653" s="49"/>
      <c r="Z653" s="49"/>
      <c r="AA653" s="49"/>
      <c r="AB653" s="49"/>
      <c r="AC653" s="49"/>
      <c r="AD653" s="113"/>
      <c r="AE653" s="49"/>
      <c r="AF653" s="53"/>
      <c r="AG653" s="53"/>
      <c r="AH653" s="53"/>
      <c r="AI653" s="53"/>
      <c r="AJ653" s="53"/>
      <c r="AK653" s="50"/>
      <c r="AL653" s="50"/>
      <c r="AM653" s="50"/>
      <c r="AN653" s="50"/>
      <c r="AO653" s="9"/>
      <c r="AP653" s="9"/>
    </row>
    <row r="654" spans="1:42" x14ac:dyDescent="0.55000000000000004">
      <c r="A654" t="str">
        <f t="shared" si="10"/>
        <v/>
      </c>
      <c r="C654" s="103"/>
      <c r="D654" s="110"/>
      <c r="E654" s="110"/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10"/>
      <c r="Q654" s="110"/>
      <c r="R654" s="110"/>
      <c r="S654" s="110"/>
      <c r="T654" s="110"/>
      <c r="U654" s="49"/>
      <c r="V654" s="49"/>
      <c r="W654" s="49"/>
      <c r="X654" s="49"/>
      <c r="Y654" s="49"/>
      <c r="Z654" s="49"/>
      <c r="AA654" s="49"/>
      <c r="AB654" s="49"/>
      <c r="AC654" s="49"/>
      <c r="AD654" s="113"/>
      <c r="AE654" s="49"/>
      <c r="AF654" s="53"/>
      <c r="AG654" s="53"/>
      <c r="AH654" s="53"/>
      <c r="AI654" s="53"/>
      <c r="AJ654" s="53"/>
      <c r="AK654" s="50"/>
      <c r="AL654" s="50"/>
      <c r="AM654" s="50"/>
      <c r="AN654" s="50"/>
      <c r="AO654" s="9"/>
      <c r="AP654" s="9"/>
    </row>
    <row r="655" spans="1:42" x14ac:dyDescent="0.55000000000000004">
      <c r="A655" t="str">
        <f t="shared" si="10"/>
        <v/>
      </c>
      <c r="C655" s="103"/>
      <c r="D655" s="110"/>
      <c r="E655" s="110"/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10"/>
      <c r="Q655" s="110"/>
      <c r="R655" s="110"/>
      <c r="S655" s="110"/>
      <c r="T655" s="110"/>
      <c r="U655" s="49"/>
      <c r="V655" s="49"/>
      <c r="W655" s="49"/>
      <c r="X655" s="49"/>
      <c r="Y655" s="49"/>
      <c r="Z655" s="49"/>
      <c r="AA655" s="49"/>
      <c r="AB655" s="49"/>
      <c r="AC655" s="49"/>
      <c r="AD655" s="113"/>
      <c r="AE655" s="49"/>
      <c r="AF655" s="53"/>
      <c r="AG655" s="53"/>
      <c r="AH655" s="53"/>
      <c r="AI655" s="53"/>
      <c r="AJ655" s="53"/>
      <c r="AK655" s="50"/>
      <c r="AL655" s="50"/>
      <c r="AM655" s="50"/>
      <c r="AN655" s="50"/>
      <c r="AO655" s="9"/>
      <c r="AP655" s="9"/>
    </row>
    <row r="656" spans="1:42" x14ac:dyDescent="0.55000000000000004">
      <c r="A656" t="str">
        <f t="shared" si="10"/>
        <v/>
      </c>
      <c r="C656" s="103"/>
      <c r="D656" s="110"/>
      <c r="E656" s="110"/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10"/>
      <c r="Q656" s="110"/>
      <c r="R656" s="110"/>
      <c r="S656" s="110"/>
      <c r="T656" s="110"/>
      <c r="U656" s="49"/>
      <c r="V656" s="49"/>
      <c r="W656" s="49"/>
      <c r="X656" s="49"/>
      <c r="Y656" s="49"/>
      <c r="Z656" s="49"/>
      <c r="AA656" s="49"/>
      <c r="AB656" s="49"/>
      <c r="AC656" s="49"/>
      <c r="AD656" s="113"/>
      <c r="AE656" s="49"/>
      <c r="AF656" s="53"/>
      <c r="AG656" s="53"/>
      <c r="AH656" s="53"/>
      <c r="AI656" s="53"/>
      <c r="AJ656" s="53"/>
      <c r="AK656" s="50"/>
      <c r="AL656" s="50"/>
      <c r="AM656" s="50"/>
      <c r="AN656" s="50"/>
      <c r="AO656" s="9"/>
      <c r="AP656" s="9"/>
    </row>
    <row r="657" spans="1:42" x14ac:dyDescent="0.55000000000000004">
      <c r="A657" t="str">
        <f t="shared" si="10"/>
        <v/>
      </c>
      <c r="C657" s="103"/>
      <c r="D657" s="110"/>
      <c r="E657" s="110"/>
      <c r="F657" s="110"/>
      <c r="G657" s="110"/>
      <c r="H657" s="110"/>
      <c r="I657" s="110"/>
      <c r="J657" s="110"/>
      <c r="K657" s="110"/>
      <c r="L657" s="110"/>
      <c r="M657" s="110"/>
      <c r="N657" s="110"/>
      <c r="O657" s="110"/>
      <c r="P657" s="110"/>
      <c r="Q657" s="110"/>
      <c r="R657" s="110"/>
      <c r="S657" s="110"/>
      <c r="T657" s="110"/>
      <c r="U657" s="49"/>
      <c r="V657" s="49"/>
      <c r="W657" s="49"/>
      <c r="X657" s="49"/>
      <c r="Y657" s="49"/>
      <c r="Z657" s="49"/>
      <c r="AA657" s="49"/>
      <c r="AB657" s="49"/>
      <c r="AC657" s="49"/>
      <c r="AD657" s="113"/>
      <c r="AE657" s="49"/>
      <c r="AF657" s="53"/>
      <c r="AG657" s="53"/>
      <c r="AH657" s="53"/>
      <c r="AI657" s="53"/>
      <c r="AJ657" s="53"/>
      <c r="AK657" s="50"/>
      <c r="AL657" s="50"/>
      <c r="AM657" s="50"/>
      <c r="AN657" s="50"/>
      <c r="AO657" s="9"/>
      <c r="AP657" s="9"/>
    </row>
    <row r="658" spans="1:42" x14ac:dyDescent="0.55000000000000004">
      <c r="A658" t="str">
        <f t="shared" si="10"/>
        <v/>
      </c>
      <c r="C658" s="103"/>
      <c r="D658" s="110"/>
      <c r="E658" s="110"/>
      <c r="F658" s="110"/>
      <c r="G658" s="110"/>
      <c r="H658" s="110"/>
      <c r="I658" s="110"/>
      <c r="J658" s="110"/>
      <c r="K658" s="110"/>
      <c r="L658" s="110"/>
      <c r="M658" s="110"/>
      <c r="N658" s="110"/>
      <c r="O658" s="110"/>
      <c r="P658" s="110"/>
      <c r="Q658" s="110"/>
      <c r="R658" s="110"/>
      <c r="S658" s="110"/>
      <c r="T658" s="110"/>
      <c r="U658" s="49"/>
      <c r="V658" s="49"/>
      <c r="W658" s="49"/>
      <c r="X658" s="49"/>
      <c r="Y658" s="49"/>
      <c r="Z658" s="49"/>
      <c r="AA658" s="49"/>
      <c r="AB658" s="49"/>
      <c r="AC658" s="49"/>
      <c r="AD658" s="113"/>
      <c r="AE658" s="49"/>
      <c r="AF658" s="50"/>
      <c r="AG658" s="50"/>
      <c r="AH658" s="50"/>
      <c r="AI658" s="50"/>
      <c r="AJ658" s="50"/>
      <c r="AK658" s="50"/>
      <c r="AL658" s="50"/>
      <c r="AM658" s="50"/>
      <c r="AN658" s="50"/>
      <c r="AO658" s="9"/>
      <c r="AP658" s="9"/>
    </row>
    <row r="659" spans="1:42" x14ac:dyDescent="0.55000000000000004">
      <c r="A659" t="str">
        <f t="shared" si="10"/>
        <v/>
      </c>
      <c r="C659" s="103"/>
      <c r="D659" s="110"/>
      <c r="E659" s="112"/>
      <c r="F659" s="110"/>
      <c r="G659" s="112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49"/>
      <c r="V659" s="49"/>
      <c r="W659" s="49"/>
      <c r="X659" s="49"/>
      <c r="Y659" s="49"/>
      <c r="Z659" s="49"/>
      <c r="AA659" s="49"/>
      <c r="AB659" s="49"/>
      <c r="AC659" s="49"/>
      <c r="AD659" s="113"/>
      <c r="AE659" s="49"/>
      <c r="AF659" s="50"/>
      <c r="AG659" s="50"/>
      <c r="AH659" s="50"/>
      <c r="AI659" s="50"/>
      <c r="AJ659" s="50"/>
      <c r="AK659" s="50"/>
      <c r="AL659" s="50"/>
      <c r="AM659" s="50"/>
      <c r="AN659" s="50"/>
      <c r="AO659" s="9"/>
      <c r="AP659" s="9"/>
    </row>
    <row r="660" spans="1:42" x14ac:dyDescent="0.55000000000000004">
      <c r="A660" t="str">
        <f t="shared" si="10"/>
        <v/>
      </c>
      <c r="C660" s="103"/>
      <c r="D660" s="110"/>
      <c r="E660" s="110"/>
      <c r="F660" s="110"/>
      <c r="G660" s="110"/>
      <c r="H660" s="110"/>
      <c r="I660" s="110"/>
      <c r="J660" s="110"/>
      <c r="K660" s="110"/>
      <c r="L660" s="110"/>
      <c r="M660" s="110"/>
      <c r="N660" s="110"/>
      <c r="O660" s="110"/>
      <c r="P660" s="110"/>
      <c r="Q660" s="110"/>
      <c r="R660" s="110"/>
      <c r="S660" s="110"/>
      <c r="T660" s="110"/>
      <c r="U660" s="49"/>
      <c r="V660" s="49"/>
      <c r="W660" s="49"/>
      <c r="X660" s="49"/>
      <c r="Y660" s="49"/>
      <c r="Z660" s="49"/>
      <c r="AA660" s="49"/>
      <c r="AB660" s="49"/>
      <c r="AC660" s="49"/>
      <c r="AD660" s="113"/>
      <c r="AE660" s="49"/>
      <c r="AF660" s="50"/>
      <c r="AG660" s="50"/>
      <c r="AH660" s="50"/>
      <c r="AI660" s="50"/>
      <c r="AJ660" s="50"/>
      <c r="AK660" s="50"/>
      <c r="AL660" s="50"/>
      <c r="AM660" s="50"/>
      <c r="AN660" s="50"/>
      <c r="AO660" s="9"/>
      <c r="AP660" s="9"/>
    </row>
    <row r="661" spans="1:42" x14ac:dyDescent="0.55000000000000004">
      <c r="A661" t="str">
        <f t="shared" si="10"/>
        <v/>
      </c>
      <c r="C661" s="103"/>
      <c r="D661" s="110"/>
      <c r="E661" s="110"/>
      <c r="F661" s="110"/>
      <c r="G661" s="110"/>
      <c r="H661" s="110"/>
      <c r="I661" s="110"/>
      <c r="J661" s="110"/>
      <c r="K661" s="110"/>
      <c r="L661" s="110"/>
      <c r="M661" s="110"/>
      <c r="N661" s="110"/>
      <c r="O661" s="110"/>
      <c r="P661" s="110"/>
      <c r="Q661" s="110"/>
      <c r="R661" s="110"/>
      <c r="S661" s="110"/>
      <c r="T661" s="110"/>
      <c r="U661" s="49"/>
      <c r="V661" s="49"/>
      <c r="W661" s="49"/>
      <c r="X661" s="49"/>
      <c r="Y661" s="49"/>
      <c r="Z661" s="49"/>
      <c r="AA661" s="49"/>
      <c r="AB661" s="49"/>
      <c r="AC661" s="49"/>
      <c r="AD661" s="113"/>
      <c r="AE661" s="49"/>
      <c r="AF661" s="50"/>
      <c r="AG661" s="50"/>
      <c r="AH661" s="50"/>
      <c r="AI661" s="50"/>
      <c r="AJ661" s="50"/>
      <c r="AK661" s="50"/>
      <c r="AL661" s="50"/>
      <c r="AM661" s="50"/>
      <c r="AN661" s="50"/>
      <c r="AO661" s="9"/>
      <c r="AP661" s="9"/>
    </row>
    <row r="662" spans="1:42" x14ac:dyDescent="0.55000000000000004">
      <c r="A662" t="str">
        <f t="shared" si="10"/>
        <v/>
      </c>
      <c r="C662" s="103"/>
      <c r="D662" s="110"/>
      <c r="E662" s="110"/>
      <c r="F662" s="110"/>
      <c r="G662" s="110"/>
      <c r="H662" s="110"/>
      <c r="I662" s="110"/>
      <c r="J662" s="110"/>
      <c r="K662" s="110"/>
      <c r="L662" s="110"/>
      <c r="M662" s="110"/>
      <c r="N662" s="110"/>
      <c r="O662" s="110"/>
      <c r="P662" s="110"/>
      <c r="Q662" s="110"/>
      <c r="R662" s="110"/>
      <c r="S662" s="110"/>
      <c r="T662" s="110"/>
      <c r="U662" s="49"/>
      <c r="V662" s="49"/>
      <c r="W662" s="49"/>
      <c r="X662" s="49"/>
      <c r="Y662" s="49"/>
      <c r="Z662" s="49"/>
      <c r="AA662" s="49"/>
      <c r="AB662" s="49"/>
      <c r="AC662" s="49"/>
      <c r="AD662" s="113"/>
      <c r="AE662" s="49"/>
      <c r="AF662" s="50"/>
      <c r="AG662" s="50"/>
      <c r="AH662" s="50"/>
      <c r="AI662" s="50"/>
      <c r="AJ662" s="50"/>
      <c r="AK662" s="50"/>
      <c r="AL662" s="50"/>
      <c r="AM662" s="50"/>
      <c r="AN662" s="50"/>
      <c r="AO662" s="9"/>
      <c r="AP662" s="9"/>
    </row>
    <row r="663" spans="1:42" x14ac:dyDescent="0.55000000000000004">
      <c r="A663" t="str">
        <f t="shared" si="10"/>
        <v/>
      </c>
      <c r="C663" s="103"/>
      <c r="D663" s="110"/>
      <c r="E663" s="110"/>
      <c r="F663" s="110"/>
      <c r="G663" s="110"/>
      <c r="H663" s="110"/>
      <c r="I663" s="110"/>
      <c r="J663" s="110"/>
      <c r="K663" s="110"/>
      <c r="L663" s="110"/>
      <c r="M663" s="110"/>
      <c r="N663" s="110"/>
      <c r="O663" s="110"/>
      <c r="P663" s="110"/>
      <c r="Q663" s="110"/>
      <c r="R663" s="110"/>
      <c r="S663" s="110"/>
      <c r="T663" s="110"/>
      <c r="U663" s="49"/>
      <c r="V663" s="49"/>
      <c r="W663" s="49"/>
      <c r="X663" s="49"/>
      <c r="Y663" s="49"/>
      <c r="Z663" s="49"/>
      <c r="AA663" s="49"/>
      <c r="AB663" s="49"/>
      <c r="AC663" s="49"/>
      <c r="AD663" s="113"/>
      <c r="AE663" s="49"/>
      <c r="AF663" s="50"/>
      <c r="AG663" s="50"/>
      <c r="AH663" s="50"/>
      <c r="AI663" s="50"/>
      <c r="AJ663" s="50"/>
      <c r="AK663" s="50"/>
      <c r="AL663" s="55"/>
      <c r="AM663" s="50"/>
      <c r="AN663" s="50"/>
      <c r="AO663" s="9"/>
      <c r="AP663" s="9"/>
    </row>
    <row r="664" spans="1:42" x14ac:dyDescent="0.55000000000000004">
      <c r="A664" t="str">
        <f t="shared" si="10"/>
        <v/>
      </c>
      <c r="C664" s="103"/>
      <c r="D664" s="110"/>
      <c r="E664" s="110"/>
      <c r="F664" s="110"/>
      <c r="G664" s="110"/>
      <c r="H664" s="110"/>
      <c r="I664" s="110"/>
      <c r="J664" s="110"/>
      <c r="K664" s="110"/>
      <c r="L664" s="110"/>
      <c r="M664" s="110"/>
      <c r="N664" s="110"/>
      <c r="O664" s="110"/>
      <c r="P664" s="110"/>
      <c r="Q664" s="110"/>
      <c r="R664" s="110"/>
      <c r="S664" s="110"/>
      <c r="T664" s="110"/>
      <c r="U664" s="49"/>
      <c r="V664" s="49"/>
      <c r="W664" s="49"/>
      <c r="X664" s="49"/>
      <c r="Y664" s="49"/>
      <c r="Z664" s="49"/>
      <c r="AA664" s="49"/>
      <c r="AB664" s="49"/>
      <c r="AC664" s="49"/>
      <c r="AD664" s="113"/>
      <c r="AE664" s="49"/>
      <c r="AF664" s="50"/>
      <c r="AG664" s="50"/>
      <c r="AH664" s="50"/>
      <c r="AI664" s="50"/>
      <c r="AJ664" s="50"/>
      <c r="AK664" s="50"/>
      <c r="AL664" s="55"/>
      <c r="AM664" s="50"/>
      <c r="AN664" s="50"/>
      <c r="AO664" s="9"/>
      <c r="AP664" s="9"/>
    </row>
    <row r="665" spans="1:42" x14ac:dyDescent="0.55000000000000004">
      <c r="A665" t="str">
        <f t="shared" si="10"/>
        <v/>
      </c>
      <c r="C665" s="103"/>
      <c r="D665" s="110"/>
      <c r="E665" s="110"/>
      <c r="F665" s="110"/>
      <c r="G665" s="110"/>
      <c r="H665" s="110"/>
      <c r="I665" s="110"/>
      <c r="J665" s="110"/>
      <c r="K665" s="110"/>
      <c r="L665" s="110"/>
      <c r="M665" s="110"/>
      <c r="N665" s="110"/>
      <c r="O665" s="110"/>
      <c r="P665" s="110"/>
      <c r="Q665" s="110"/>
      <c r="R665" s="110"/>
      <c r="S665" s="110"/>
      <c r="T665" s="110"/>
      <c r="U665" s="49"/>
      <c r="V665" s="49"/>
      <c r="W665" s="49"/>
      <c r="X665" s="49"/>
      <c r="Y665" s="49"/>
      <c r="Z665" s="49"/>
      <c r="AA665" s="49"/>
      <c r="AB665" s="49"/>
      <c r="AC665" s="49"/>
      <c r="AD665" s="113"/>
      <c r="AE665" s="49"/>
      <c r="AF665" s="50"/>
      <c r="AG665" s="50"/>
      <c r="AH665" s="50"/>
      <c r="AI665" s="50"/>
      <c r="AJ665" s="50"/>
      <c r="AK665" s="55"/>
      <c r="AL665" s="55"/>
      <c r="AM665" s="50"/>
      <c r="AN665" s="50"/>
      <c r="AO665" s="9"/>
      <c r="AP665" s="9"/>
    </row>
    <row r="666" spans="1:42" x14ac:dyDescent="0.55000000000000004">
      <c r="A666" t="str">
        <f t="shared" si="10"/>
        <v/>
      </c>
      <c r="C666" s="103"/>
      <c r="D666" s="110"/>
      <c r="E666" s="110"/>
      <c r="F666" s="110"/>
      <c r="G666" s="110"/>
      <c r="H666" s="110"/>
      <c r="I666" s="110"/>
      <c r="J666" s="110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49"/>
      <c r="V666" s="49"/>
      <c r="W666" s="49"/>
      <c r="X666" s="49"/>
      <c r="Y666" s="49"/>
      <c r="Z666" s="49"/>
      <c r="AA666" s="49"/>
      <c r="AB666" s="49"/>
      <c r="AC666" s="49"/>
      <c r="AD666" s="113"/>
      <c r="AE666" s="49"/>
      <c r="AF666" s="50"/>
      <c r="AG666" s="50"/>
      <c r="AH666" s="50"/>
      <c r="AI666" s="50"/>
      <c r="AJ666" s="50"/>
      <c r="AK666" s="50"/>
      <c r="AL666" s="55"/>
      <c r="AM666" s="50"/>
      <c r="AN666" s="50"/>
      <c r="AO666" s="9"/>
      <c r="AP666" s="9"/>
    </row>
    <row r="667" spans="1:42" x14ac:dyDescent="0.55000000000000004">
      <c r="A667" t="str">
        <f t="shared" si="10"/>
        <v/>
      </c>
      <c r="C667" s="103"/>
      <c r="D667" s="110"/>
      <c r="E667" s="110"/>
      <c r="F667" s="110"/>
      <c r="G667" s="110"/>
      <c r="H667" s="110"/>
      <c r="I667" s="110"/>
      <c r="J667" s="110"/>
      <c r="K667" s="110"/>
      <c r="L667" s="110"/>
      <c r="M667" s="110"/>
      <c r="N667" s="110"/>
      <c r="O667" s="110"/>
      <c r="P667" s="110"/>
      <c r="Q667" s="110"/>
      <c r="R667" s="110"/>
      <c r="S667" s="110"/>
      <c r="T667" s="110"/>
      <c r="U667" s="49"/>
      <c r="V667" s="49"/>
      <c r="W667" s="49"/>
      <c r="X667" s="49"/>
      <c r="Y667" s="49"/>
      <c r="Z667" s="49"/>
      <c r="AA667" s="49"/>
      <c r="AB667" s="49"/>
      <c r="AC667" s="49"/>
      <c r="AD667" s="113"/>
      <c r="AE667" s="49"/>
      <c r="AF667" s="50"/>
      <c r="AG667" s="50"/>
      <c r="AH667" s="50"/>
      <c r="AI667" s="50"/>
      <c r="AJ667" s="50"/>
      <c r="AK667" s="50"/>
      <c r="AL667" s="55"/>
      <c r="AM667" s="50"/>
      <c r="AN667" s="50"/>
      <c r="AO667" s="9"/>
      <c r="AP667" s="9"/>
    </row>
    <row r="668" spans="1:42" x14ac:dyDescent="0.55000000000000004">
      <c r="A668" t="str">
        <f t="shared" si="10"/>
        <v/>
      </c>
      <c r="C668" s="103"/>
      <c r="D668" s="110"/>
      <c r="E668" s="110"/>
      <c r="F668" s="110"/>
      <c r="G668" s="110"/>
      <c r="H668" s="110"/>
      <c r="I668" s="110"/>
      <c r="J668" s="110"/>
      <c r="K668" s="110"/>
      <c r="L668" s="110"/>
      <c r="M668" s="110"/>
      <c r="N668" s="110"/>
      <c r="O668" s="110"/>
      <c r="P668" s="110"/>
      <c r="Q668" s="110"/>
      <c r="R668" s="110"/>
      <c r="S668" s="110"/>
      <c r="T668" s="110"/>
      <c r="U668" s="49"/>
      <c r="V668" s="49"/>
      <c r="W668" s="49"/>
      <c r="X668" s="49"/>
      <c r="Y668" s="49"/>
      <c r="Z668" s="49"/>
      <c r="AA668" s="49"/>
      <c r="AB668" s="49"/>
      <c r="AC668" s="49"/>
      <c r="AD668" s="113"/>
      <c r="AE668" s="49"/>
      <c r="AF668" s="50"/>
      <c r="AG668" s="50"/>
      <c r="AH668" s="50"/>
      <c r="AI668" s="50"/>
      <c r="AJ668" s="50"/>
      <c r="AK668" s="50"/>
      <c r="AL668" s="55"/>
      <c r="AM668" s="50"/>
      <c r="AN668" s="50"/>
      <c r="AO668" s="9"/>
      <c r="AP668" s="9"/>
    </row>
    <row r="669" spans="1:42" x14ac:dyDescent="0.55000000000000004">
      <c r="A669" t="str">
        <f t="shared" si="10"/>
        <v/>
      </c>
      <c r="C669" s="103"/>
      <c r="D669" s="110"/>
      <c r="E669" s="110"/>
      <c r="F669" s="110"/>
      <c r="G669" s="110"/>
      <c r="H669" s="110"/>
      <c r="I669" s="110"/>
      <c r="J669" s="110"/>
      <c r="K669" s="110"/>
      <c r="L669" s="110"/>
      <c r="M669" s="110"/>
      <c r="N669" s="110"/>
      <c r="O669" s="110"/>
      <c r="P669" s="110"/>
      <c r="Q669" s="110"/>
      <c r="R669" s="110"/>
      <c r="S669" s="110"/>
      <c r="T669" s="110"/>
      <c r="U669" s="49"/>
      <c r="V669" s="49"/>
      <c r="W669" s="49"/>
      <c r="X669" s="49"/>
      <c r="Y669" s="49"/>
      <c r="Z669" s="49"/>
      <c r="AA669" s="49"/>
      <c r="AB669" s="49"/>
      <c r="AC669" s="49"/>
      <c r="AD669" s="113"/>
      <c r="AE669" s="49"/>
      <c r="AF669" s="50"/>
      <c r="AG669" s="50"/>
      <c r="AH669" s="50"/>
      <c r="AI669" s="50"/>
      <c r="AJ669" s="50"/>
      <c r="AK669" s="50"/>
      <c r="AL669" s="55"/>
      <c r="AM669" s="50"/>
      <c r="AN669" s="50"/>
      <c r="AO669" s="9"/>
      <c r="AP669" s="9"/>
    </row>
    <row r="670" spans="1:42" x14ac:dyDescent="0.55000000000000004">
      <c r="A670" t="str">
        <f t="shared" si="10"/>
        <v/>
      </c>
      <c r="C670" s="103"/>
      <c r="D670" s="110"/>
      <c r="E670" s="110"/>
      <c r="F670" s="110"/>
      <c r="G670" s="110"/>
      <c r="H670" s="110"/>
      <c r="I670" s="110"/>
      <c r="J670" s="110"/>
      <c r="K670" s="110"/>
      <c r="L670" s="110"/>
      <c r="M670" s="110"/>
      <c r="N670" s="110"/>
      <c r="O670" s="110"/>
      <c r="P670" s="110"/>
      <c r="Q670" s="110"/>
      <c r="R670" s="110"/>
      <c r="S670" s="110"/>
      <c r="T670" s="110"/>
      <c r="U670" s="49"/>
      <c r="V670" s="49"/>
      <c r="W670" s="49"/>
      <c r="X670" s="49"/>
      <c r="Y670" s="49"/>
      <c r="Z670" s="49"/>
      <c r="AA670" s="49"/>
      <c r="AB670" s="49"/>
      <c r="AC670" s="49"/>
      <c r="AD670" s="113"/>
      <c r="AE670" s="49"/>
      <c r="AF670" s="50"/>
      <c r="AG670" s="50"/>
      <c r="AH670" s="50"/>
      <c r="AI670" s="50"/>
      <c r="AJ670" s="50"/>
      <c r="AK670" s="50"/>
      <c r="AL670" s="50"/>
      <c r="AM670" s="50"/>
      <c r="AN670" s="50"/>
      <c r="AO670" s="9"/>
      <c r="AP670" s="9"/>
    </row>
    <row r="671" spans="1:42" x14ac:dyDescent="0.55000000000000004">
      <c r="A671" t="str">
        <f t="shared" si="10"/>
        <v/>
      </c>
      <c r="C671" s="103"/>
      <c r="D671" s="110"/>
      <c r="E671" s="110"/>
      <c r="F671" s="110"/>
      <c r="G671" s="110"/>
      <c r="H671" s="110"/>
      <c r="I671" s="110"/>
      <c r="J671" s="110"/>
      <c r="K671" s="110"/>
      <c r="L671" s="110"/>
      <c r="M671" s="110"/>
      <c r="N671" s="110"/>
      <c r="O671" s="110"/>
      <c r="P671" s="110"/>
      <c r="Q671" s="110"/>
      <c r="R671" s="110"/>
      <c r="S671" s="110"/>
      <c r="T671" s="110"/>
      <c r="U671" s="49"/>
      <c r="V671" s="49"/>
      <c r="W671" s="49"/>
      <c r="X671" s="49"/>
      <c r="Y671" s="49"/>
      <c r="Z671" s="49"/>
      <c r="AA671" s="49"/>
      <c r="AB671" s="49"/>
      <c r="AC671" s="49"/>
      <c r="AD671" s="113"/>
      <c r="AE671" s="49"/>
      <c r="AF671" s="50"/>
      <c r="AG671" s="50"/>
      <c r="AH671" s="50"/>
      <c r="AI671" s="50"/>
      <c r="AJ671" s="50"/>
      <c r="AK671" s="50"/>
      <c r="AL671" s="50"/>
      <c r="AM671" s="50"/>
      <c r="AN671" s="50"/>
      <c r="AO671" s="9"/>
      <c r="AP671" s="9"/>
    </row>
    <row r="672" spans="1:42" x14ac:dyDescent="0.55000000000000004">
      <c r="A672" t="str">
        <f t="shared" si="10"/>
        <v/>
      </c>
      <c r="C672" s="103"/>
      <c r="D672" s="110"/>
      <c r="E672" s="110"/>
      <c r="F672" s="110"/>
      <c r="G672" s="110"/>
      <c r="H672" s="110"/>
      <c r="I672" s="110"/>
      <c r="J672" s="110"/>
      <c r="K672" s="110"/>
      <c r="L672" s="110"/>
      <c r="M672" s="110"/>
      <c r="N672" s="110"/>
      <c r="O672" s="110"/>
      <c r="P672" s="110"/>
      <c r="Q672" s="110"/>
      <c r="R672" s="110"/>
      <c r="S672" s="110"/>
      <c r="T672" s="110"/>
      <c r="U672" s="49"/>
      <c r="V672" s="49"/>
      <c r="W672" s="49"/>
      <c r="X672" s="49"/>
      <c r="Y672" s="49"/>
      <c r="Z672" s="49"/>
      <c r="AA672" s="49"/>
      <c r="AB672" s="49"/>
      <c r="AC672" s="49"/>
      <c r="AD672" s="113"/>
      <c r="AE672" s="49"/>
      <c r="AF672" s="50"/>
      <c r="AG672" s="50"/>
      <c r="AH672" s="50"/>
      <c r="AI672" s="50"/>
      <c r="AJ672" s="50"/>
      <c r="AK672" s="50"/>
      <c r="AL672" s="50"/>
      <c r="AM672" s="50"/>
      <c r="AN672" s="50"/>
      <c r="AO672" s="9"/>
      <c r="AP672" s="9"/>
    </row>
    <row r="673" spans="1:42" x14ac:dyDescent="0.55000000000000004">
      <c r="A673" t="str">
        <f t="shared" si="10"/>
        <v/>
      </c>
      <c r="C673" s="103"/>
      <c r="D673" s="110"/>
      <c r="E673" s="112"/>
      <c r="F673" s="110"/>
      <c r="G673" s="112"/>
      <c r="H673" s="110"/>
      <c r="I673" s="110"/>
      <c r="J673" s="110"/>
      <c r="K673" s="110"/>
      <c r="L673" s="110"/>
      <c r="M673" s="110"/>
      <c r="N673" s="110"/>
      <c r="O673" s="110"/>
      <c r="P673" s="110"/>
      <c r="Q673" s="110"/>
      <c r="R673" s="110"/>
      <c r="S673" s="110"/>
      <c r="T673" s="110"/>
      <c r="U673" s="49"/>
      <c r="V673" s="49"/>
      <c r="W673" s="49"/>
      <c r="X673" s="49"/>
      <c r="Y673" s="49"/>
      <c r="Z673" s="49"/>
      <c r="AA673" s="49"/>
      <c r="AB673" s="49"/>
      <c r="AC673" s="49"/>
      <c r="AD673" s="113"/>
      <c r="AE673" s="49"/>
      <c r="AF673" s="50"/>
      <c r="AG673" s="50"/>
      <c r="AH673" s="50"/>
      <c r="AI673" s="50"/>
      <c r="AJ673" s="50"/>
      <c r="AK673" s="50"/>
      <c r="AL673" s="50"/>
      <c r="AM673" s="50"/>
      <c r="AN673" s="50"/>
      <c r="AO673" s="9"/>
      <c r="AP673" s="9"/>
    </row>
    <row r="674" spans="1:42" x14ac:dyDescent="0.55000000000000004">
      <c r="A674" t="str">
        <f t="shared" si="10"/>
        <v/>
      </c>
      <c r="C674" s="103"/>
      <c r="D674" s="110"/>
      <c r="E674" s="110"/>
      <c r="F674" s="110"/>
      <c r="G674" s="110"/>
      <c r="H674" s="110"/>
      <c r="I674" s="110"/>
      <c r="J674" s="110"/>
      <c r="K674" s="110"/>
      <c r="L674" s="110"/>
      <c r="M674" s="110"/>
      <c r="N674" s="110"/>
      <c r="O674" s="110"/>
      <c r="P674" s="110"/>
      <c r="Q674" s="110"/>
      <c r="R674" s="110"/>
      <c r="S674" s="110"/>
      <c r="T674" s="110"/>
      <c r="U674" s="49"/>
      <c r="V674" s="49"/>
      <c r="W674" s="49"/>
      <c r="X674" s="49"/>
      <c r="Y674" s="49"/>
      <c r="Z674" s="49"/>
      <c r="AA674" s="49"/>
      <c r="AB674" s="49"/>
      <c r="AC674" s="49"/>
      <c r="AD674" s="113"/>
      <c r="AE674" s="49"/>
      <c r="AF674" s="50"/>
      <c r="AG674" s="50"/>
      <c r="AH674" s="50"/>
      <c r="AI674" s="50"/>
      <c r="AJ674" s="50"/>
      <c r="AK674" s="50"/>
      <c r="AL674" s="50"/>
      <c r="AM674" s="50"/>
      <c r="AN674" s="50"/>
      <c r="AO674" s="9"/>
      <c r="AP674" s="9"/>
    </row>
    <row r="675" spans="1:42" x14ac:dyDescent="0.55000000000000004">
      <c r="A675" t="str">
        <f t="shared" si="10"/>
        <v/>
      </c>
      <c r="C675" s="103"/>
      <c r="D675" s="110"/>
      <c r="E675" s="110"/>
      <c r="F675" s="110"/>
      <c r="G675" s="110"/>
      <c r="H675" s="110"/>
      <c r="I675" s="110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49"/>
      <c r="V675" s="49"/>
      <c r="W675" s="49"/>
      <c r="X675" s="49"/>
      <c r="Y675" s="49"/>
      <c r="Z675" s="49"/>
      <c r="AA675" s="49"/>
      <c r="AB675" s="49"/>
      <c r="AC675" s="49"/>
      <c r="AD675" s="113"/>
      <c r="AE675" s="49"/>
      <c r="AF675" s="50"/>
      <c r="AG675" s="50"/>
      <c r="AH675" s="50"/>
      <c r="AI675" s="50"/>
      <c r="AJ675" s="50"/>
      <c r="AK675" s="50"/>
      <c r="AL675" s="50"/>
      <c r="AM675" s="50"/>
      <c r="AN675" s="50"/>
      <c r="AO675" s="9"/>
      <c r="AP675" s="9"/>
    </row>
    <row r="676" spans="1:42" x14ac:dyDescent="0.55000000000000004">
      <c r="A676" t="str">
        <f t="shared" si="10"/>
        <v/>
      </c>
      <c r="C676" s="103"/>
      <c r="D676" s="110"/>
      <c r="E676" s="110"/>
      <c r="F676" s="110"/>
      <c r="G676" s="110"/>
      <c r="H676" s="110"/>
      <c r="I676" s="110"/>
      <c r="J676" s="110"/>
      <c r="K676" s="110"/>
      <c r="L676" s="110"/>
      <c r="M676" s="110"/>
      <c r="N676" s="110"/>
      <c r="O676" s="110"/>
      <c r="P676" s="110"/>
      <c r="Q676" s="110"/>
      <c r="R676" s="110"/>
      <c r="S676" s="110"/>
      <c r="T676" s="110"/>
      <c r="U676" s="49"/>
      <c r="V676" s="49"/>
      <c r="W676" s="49"/>
      <c r="X676" s="49"/>
      <c r="Y676" s="49"/>
      <c r="Z676" s="49"/>
      <c r="AA676" s="49"/>
      <c r="AB676" s="49"/>
      <c r="AC676" s="49"/>
      <c r="AD676" s="113"/>
      <c r="AE676" s="49"/>
      <c r="AF676" s="50"/>
      <c r="AG676" s="50"/>
      <c r="AH676" s="50"/>
      <c r="AI676" s="50"/>
      <c r="AJ676" s="50"/>
      <c r="AK676" s="50"/>
      <c r="AL676" s="50"/>
      <c r="AM676" s="50"/>
      <c r="AN676" s="50"/>
      <c r="AO676" s="9"/>
      <c r="AP676" s="9"/>
    </row>
    <row r="677" spans="1:42" x14ac:dyDescent="0.55000000000000004">
      <c r="A677" t="str">
        <f t="shared" si="10"/>
        <v/>
      </c>
      <c r="C677" s="103"/>
      <c r="D677" s="110"/>
      <c r="E677" s="110"/>
      <c r="F677" s="110"/>
      <c r="G677" s="110"/>
      <c r="H677" s="110"/>
      <c r="I677" s="110"/>
      <c r="J677" s="110"/>
      <c r="K677" s="110"/>
      <c r="L677" s="110"/>
      <c r="M677" s="110"/>
      <c r="N677" s="110"/>
      <c r="O677" s="110"/>
      <c r="P677" s="110"/>
      <c r="Q677" s="110"/>
      <c r="R677" s="110"/>
      <c r="S677" s="110"/>
      <c r="T677" s="110"/>
      <c r="U677" s="49"/>
      <c r="V677" s="49"/>
      <c r="W677" s="49"/>
      <c r="X677" s="49"/>
      <c r="Y677" s="49"/>
      <c r="Z677" s="49"/>
      <c r="AA677" s="49"/>
      <c r="AB677" s="49"/>
      <c r="AC677" s="49"/>
      <c r="AD677" s="113"/>
      <c r="AE677" s="49"/>
      <c r="AF677" s="50"/>
      <c r="AG677" s="50"/>
      <c r="AH677" s="50"/>
      <c r="AI677" s="50"/>
      <c r="AJ677" s="50"/>
      <c r="AK677" s="50"/>
      <c r="AL677" s="50"/>
      <c r="AM677" s="50"/>
      <c r="AN677" s="50"/>
      <c r="AO677" s="9"/>
      <c r="AP677" s="9"/>
    </row>
    <row r="678" spans="1:42" x14ac:dyDescent="0.55000000000000004">
      <c r="A678" t="str">
        <f t="shared" si="10"/>
        <v/>
      </c>
      <c r="C678" s="103"/>
      <c r="D678" s="110"/>
      <c r="E678" s="110"/>
      <c r="F678" s="110"/>
      <c r="G678" s="110"/>
      <c r="H678" s="110"/>
      <c r="I678" s="110"/>
      <c r="J678" s="110"/>
      <c r="K678" s="110"/>
      <c r="L678" s="110"/>
      <c r="M678" s="110"/>
      <c r="N678" s="110"/>
      <c r="O678" s="110"/>
      <c r="P678" s="110"/>
      <c r="Q678" s="110"/>
      <c r="R678" s="110"/>
      <c r="S678" s="110"/>
      <c r="T678" s="110"/>
      <c r="U678" s="49"/>
      <c r="V678" s="49"/>
      <c r="W678" s="49"/>
      <c r="X678" s="49"/>
      <c r="Y678" s="49"/>
      <c r="Z678" s="49"/>
      <c r="AA678" s="49"/>
      <c r="AB678" s="49"/>
      <c r="AC678" s="49"/>
      <c r="AD678" s="113"/>
      <c r="AE678" s="49"/>
      <c r="AF678" s="50"/>
      <c r="AG678" s="50"/>
      <c r="AH678" s="50"/>
      <c r="AI678" s="50"/>
      <c r="AJ678" s="50"/>
      <c r="AK678" s="50"/>
      <c r="AL678" s="50"/>
      <c r="AM678" s="50"/>
      <c r="AN678" s="50"/>
      <c r="AO678" s="9"/>
      <c r="AP678" s="9"/>
    </row>
    <row r="679" spans="1:42" x14ac:dyDescent="0.55000000000000004">
      <c r="A679" t="str">
        <f t="shared" si="10"/>
        <v/>
      </c>
      <c r="C679" s="103"/>
      <c r="D679" s="110"/>
      <c r="E679" s="110"/>
      <c r="F679" s="110"/>
      <c r="G679" s="110"/>
      <c r="H679" s="110"/>
      <c r="I679" s="110"/>
      <c r="J679" s="110"/>
      <c r="K679" s="110"/>
      <c r="L679" s="110"/>
      <c r="M679" s="110"/>
      <c r="N679" s="110"/>
      <c r="O679" s="110"/>
      <c r="P679" s="110"/>
      <c r="Q679" s="110"/>
      <c r="R679" s="110"/>
      <c r="S679" s="110"/>
      <c r="T679" s="110"/>
      <c r="U679" s="49"/>
      <c r="V679" s="49"/>
      <c r="W679" s="49"/>
      <c r="X679" s="49"/>
      <c r="Y679" s="49"/>
      <c r="Z679" s="49"/>
      <c r="AA679" s="49"/>
      <c r="AB679" s="49"/>
      <c r="AC679" s="49"/>
      <c r="AD679" s="113"/>
      <c r="AE679" s="49"/>
      <c r="AF679" s="50"/>
      <c r="AG679" s="50"/>
      <c r="AH679" s="50"/>
      <c r="AI679" s="50"/>
      <c r="AJ679" s="50"/>
      <c r="AK679" s="50"/>
      <c r="AL679" s="50"/>
      <c r="AM679" s="50"/>
      <c r="AN679" s="50"/>
      <c r="AO679" s="9"/>
      <c r="AP679" s="9"/>
    </row>
    <row r="680" spans="1:42" x14ac:dyDescent="0.55000000000000004">
      <c r="A680" t="str">
        <f t="shared" si="10"/>
        <v/>
      </c>
      <c r="C680" s="103"/>
      <c r="D680" s="110"/>
      <c r="E680" s="110"/>
      <c r="F680" s="110"/>
      <c r="G680" s="110"/>
      <c r="H680" s="110"/>
      <c r="I680" s="110"/>
      <c r="J680" s="110"/>
      <c r="K680" s="110"/>
      <c r="L680" s="110"/>
      <c r="M680" s="110"/>
      <c r="N680" s="110"/>
      <c r="O680" s="110"/>
      <c r="P680" s="110"/>
      <c r="Q680" s="110"/>
      <c r="R680" s="110"/>
      <c r="S680" s="110"/>
      <c r="T680" s="110"/>
      <c r="U680" s="49"/>
      <c r="V680" s="49"/>
      <c r="W680" s="49"/>
      <c r="X680" s="49"/>
      <c r="Y680" s="49"/>
      <c r="Z680" s="49"/>
      <c r="AA680" s="49"/>
      <c r="AB680" s="49"/>
      <c r="AC680" s="49"/>
      <c r="AD680" s="113"/>
      <c r="AE680" s="49"/>
      <c r="AF680" s="50"/>
      <c r="AG680" s="50"/>
      <c r="AH680" s="50"/>
      <c r="AI680" s="50"/>
      <c r="AJ680" s="50"/>
      <c r="AK680" s="50"/>
      <c r="AL680" s="50"/>
      <c r="AM680" s="50"/>
      <c r="AN680" s="50"/>
      <c r="AO680" s="9"/>
      <c r="AP680" s="9"/>
    </row>
    <row r="681" spans="1:42" x14ac:dyDescent="0.55000000000000004">
      <c r="A681" t="str">
        <f t="shared" si="10"/>
        <v/>
      </c>
      <c r="C681" s="103"/>
      <c r="D681" s="110"/>
      <c r="E681" s="110"/>
      <c r="F681" s="110"/>
      <c r="G681" s="110"/>
      <c r="H681" s="110"/>
      <c r="I681" s="110"/>
      <c r="J681" s="110"/>
      <c r="K681" s="110"/>
      <c r="L681" s="110"/>
      <c r="M681" s="110"/>
      <c r="N681" s="110"/>
      <c r="O681" s="110"/>
      <c r="P681" s="110"/>
      <c r="Q681" s="110"/>
      <c r="R681" s="110"/>
      <c r="S681" s="110"/>
      <c r="T681" s="110"/>
      <c r="U681" s="49"/>
      <c r="V681" s="49"/>
      <c r="W681" s="49"/>
      <c r="X681" s="49"/>
      <c r="Y681" s="49"/>
      <c r="Z681" s="49"/>
      <c r="AA681" s="49"/>
      <c r="AB681" s="49"/>
      <c r="AC681" s="49"/>
      <c r="AD681" s="113"/>
      <c r="AE681" s="49"/>
      <c r="AF681" s="50"/>
      <c r="AG681" s="50"/>
      <c r="AH681" s="50"/>
      <c r="AI681" s="50"/>
      <c r="AJ681" s="50"/>
      <c r="AK681" s="50"/>
      <c r="AL681" s="50"/>
      <c r="AM681" s="50"/>
      <c r="AN681" s="50"/>
      <c r="AO681" s="9"/>
      <c r="AP681" s="9"/>
    </row>
    <row r="682" spans="1:42" x14ac:dyDescent="0.55000000000000004">
      <c r="A682" t="str">
        <f t="shared" si="10"/>
        <v/>
      </c>
      <c r="C682" s="103"/>
      <c r="D682" s="110"/>
      <c r="E682" s="110"/>
      <c r="F682" s="110"/>
      <c r="G682" s="110"/>
      <c r="H682" s="110"/>
      <c r="I682" s="110"/>
      <c r="J682" s="110"/>
      <c r="K682" s="110"/>
      <c r="L682" s="110"/>
      <c r="M682" s="110"/>
      <c r="N682" s="110"/>
      <c r="O682" s="110"/>
      <c r="P682" s="110"/>
      <c r="Q682" s="110"/>
      <c r="R682" s="110"/>
      <c r="S682" s="110"/>
      <c r="T682" s="110"/>
      <c r="U682" s="49"/>
      <c r="V682" s="49"/>
      <c r="W682" s="49"/>
      <c r="X682" s="49"/>
      <c r="Y682" s="49"/>
      <c r="Z682" s="49"/>
      <c r="AA682" s="49"/>
      <c r="AB682" s="49"/>
      <c r="AC682" s="49"/>
      <c r="AD682" s="113"/>
      <c r="AE682" s="49"/>
      <c r="AF682" s="50"/>
      <c r="AG682" s="50"/>
      <c r="AH682" s="50"/>
      <c r="AI682" s="50"/>
      <c r="AJ682" s="50"/>
      <c r="AK682" s="50"/>
      <c r="AL682" s="50"/>
      <c r="AM682" s="50"/>
      <c r="AN682" s="50"/>
      <c r="AO682" s="9"/>
      <c r="AP682" s="9"/>
    </row>
    <row r="683" spans="1:42" x14ac:dyDescent="0.55000000000000004">
      <c r="A683" t="str">
        <f t="shared" si="10"/>
        <v/>
      </c>
      <c r="C683" s="103"/>
      <c r="D683" s="110"/>
      <c r="E683" s="110"/>
      <c r="F683" s="110"/>
      <c r="G683" s="110"/>
      <c r="H683" s="110"/>
      <c r="I683" s="110"/>
      <c r="J683" s="110"/>
      <c r="K683" s="110"/>
      <c r="L683" s="110"/>
      <c r="M683" s="110"/>
      <c r="N683" s="110"/>
      <c r="O683" s="110"/>
      <c r="P683" s="110"/>
      <c r="Q683" s="110"/>
      <c r="R683" s="110"/>
      <c r="S683" s="110"/>
      <c r="T683" s="110"/>
      <c r="U683" s="49"/>
      <c r="V683" s="49"/>
      <c r="W683" s="49"/>
      <c r="X683" s="49"/>
      <c r="Y683" s="49"/>
      <c r="Z683" s="49"/>
      <c r="AA683" s="49"/>
      <c r="AB683" s="49"/>
      <c r="AC683" s="49"/>
      <c r="AD683" s="113"/>
      <c r="AE683" s="49"/>
      <c r="AF683" s="50"/>
      <c r="AG683" s="50"/>
      <c r="AH683" s="50"/>
      <c r="AI683" s="50"/>
      <c r="AJ683" s="50"/>
      <c r="AK683" s="50"/>
      <c r="AL683" s="50"/>
      <c r="AM683" s="50"/>
      <c r="AN683" s="50"/>
      <c r="AO683" s="9"/>
      <c r="AP683" s="9"/>
    </row>
    <row r="684" spans="1:42" x14ac:dyDescent="0.55000000000000004">
      <c r="A684" t="str">
        <f t="shared" si="10"/>
        <v/>
      </c>
      <c r="C684" s="103"/>
      <c r="D684" s="110"/>
      <c r="E684" s="110"/>
      <c r="F684" s="110"/>
      <c r="G684" s="110"/>
      <c r="H684" s="110"/>
      <c r="I684" s="110"/>
      <c r="J684" s="110"/>
      <c r="K684" s="110"/>
      <c r="L684" s="110"/>
      <c r="M684" s="110"/>
      <c r="N684" s="110"/>
      <c r="O684" s="110"/>
      <c r="P684" s="110"/>
      <c r="Q684" s="110"/>
      <c r="R684" s="110"/>
      <c r="S684" s="110"/>
      <c r="T684" s="110"/>
      <c r="U684" s="49"/>
      <c r="V684" s="49"/>
      <c r="W684" s="49"/>
      <c r="X684" s="49"/>
      <c r="Y684" s="49"/>
      <c r="Z684" s="49"/>
      <c r="AA684" s="49"/>
      <c r="AB684" s="49"/>
      <c r="AC684" s="49"/>
      <c r="AD684" s="113"/>
      <c r="AE684" s="49"/>
      <c r="AF684" s="50"/>
      <c r="AG684" s="50"/>
      <c r="AH684" s="50"/>
      <c r="AI684" s="50"/>
      <c r="AJ684" s="50"/>
      <c r="AK684" s="50"/>
      <c r="AL684" s="50"/>
      <c r="AM684" s="50"/>
      <c r="AN684" s="50"/>
      <c r="AO684" s="9"/>
      <c r="AP684" s="9"/>
    </row>
    <row r="685" spans="1:42" x14ac:dyDescent="0.55000000000000004">
      <c r="A685" t="str">
        <f t="shared" si="10"/>
        <v/>
      </c>
      <c r="C685" s="103"/>
      <c r="D685" s="110"/>
      <c r="E685" s="110"/>
      <c r="F685" s="110"/>
      <c r="G685" s="110"/>
      <c r="H685" s="110"/>
      <c r="I685" s="110"/>
      <c r="J685" s="110"/>
      <c r="K685" s="110"/>
      <c r="L685" s="110"/>
      <c r="M685" s="110"/>
      <c r="N685" s="110"/>
      <c r="O685" s="110"/>
      <c r="P685" s="110"/>
      <c r="Q685" s="110"/>
      <c r="R685" s="110"/>
      <c r="S685" s="110"/>
      <c r="T685" s="110"/>
      <c r="U685" s="49"/>
      <c r="V685" s="49"/>
      <c r="W685" s="49"/>
      <c r="X685" s="49"/>
      <c r="Y685" s="49"/>
      <c r="Z685" s="49"/>
      <c r="AA685" s="49"/>
      <c r="AB685" s="49"/>
      <c r="AC685" s="49"/>
      <c r="AD685" s="113"/>
      <c r="AE685" s="49"/>
      <c r="AF685" s="50"/>
      <c r="AG685" s="50"/>
      <c r="AH685" s="50"/>
      <c r="AI685" s="50"/>
      <c r="AJ685" s="50"/>
      <c r="AK685" s="50"/>
      <c r="AL685" s="50"/>
      <c r="AM685" s="50"/>
      <c r="AN685" s="50"/>
      <c r="AO685" s="9"/>
      <c r="AP685" s="9"/>
    </row>
    <row r="686" spans="1:42" x14ac:dyDescent="0.55000000000000004">
      <c r="A686" t="str">
        <f t="shared" si="10"/>
        <v/>
      </c>
      <c r="C686" s="103"/>
      <c r="D686" s="110"/>
      <c r="E686" s="110"/>
      <c r="F686" s="110"/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49"/>
      <c r="V686" s="49"/>
      <c r="W686" s="49"/>
      <c r="X686" s="49"/>
      <c r="Y686" s="49"/>
      <c r="Z686" s="49"/>
      <c r="AA686" s="49"/>
      <c r="AB686" s="49"/>
      <c r="AC686" s="49"/>
      <c r="AD686" s="113"/>
      <c r="AE686" s="49"/>
      <c r="AF686" s="50"/>
      <c r="AG686" s="50"/>
      <c r="AH686" s="50"/>
      <c r="AI686" s="50"/>
      <c r="AJ686" s="50"/>
      <c r="AK686" s="50"/>
      <c r="AL686" s="50"/>
      <c r="AM686" s="50"/>
      <c r="AN686" s="50"/>
      <c r="AO686" s="9"/>
      <c r="AP686" s="9"/>
    </row>
    <row r="687" spans="1:42" x14ac:dyDescent="0.55000000000000004">
      <c r="A687" t="str">
        <f t="shared" si="10"/>
        <v/>
      </c>
      <c r="C687" s="103"/>
      <c r="D687" s="110"/>
      <c r="E687" s="112"/>
      <c r="F687" s="110"/>
      <c r="G687" s="112"/>
      <c r="H687" s="110"/>
      <c r="I687" s="110"/>
      <c r="J687" s="110"/>
      <c r="K687" s="110"/>
      <c r="L687" s="110"/>
      <c r="M687" s="110"/>
      <c r="N687" s="110"/>
      <c r="O687" s="110"/>
      <c r="P687" s="110"/>
      <c r="Q687" s="110"/>
      <c r="R687" s="110"/>
      <c r="S687" s="110"/>
      <c r="T687" s="110"/>
      <c r="U687" s="49"/>
      <c r="V687" s="49"/>
      <c r="W687" s="49"/>
      <c r="X687" s="49"/>
      <c r="Y687" s="49"/>
      <c r="Z687" s="49"/>
      <c r="AA687" s="49"/>
      <c r="AB687" s="49"/>
      <c r="AC687" s="49"/>
      <c r="AD687" s="113"/>
      <c r="AE687" s="49"/>
      <c r="AF687" s="50"/>
      <c r="AG687" s="50"/>
      <c r="AH687" s="50"/>
      <c r="AI687" s="50"/>
      <c r="AJ687" s="50"/>
      <c r="AK687" s="50"/>
      <c r="AL687" s="50"/>
      <c r="AM687" s="50"/>
      <c r="AN687" s="50"/>
      <c r="AO687" s="9"/>
      <c r="AP687" s="9"/>
    </row>
    <row r="688" spans="1:42" x14ac:dyDescent="0.55000000000000004">
      <c r="A688" t="str">
        <f t="shared" si="10"/>
        <v/>
      </c>
      <c r="C688" s="103"/>
      <c r="D688" s="110"/>
      <c r="E688" s="110"/>
      <c r="F688" s="110"/>
      <c r="G688" s="110"/>
      <c r="H688" s="110"/>
      <c r="I688" s="110"/>
      <c r="J688" s="110"/>
      <c r="K688" s="110"/>
      <c r="L688" s="110"/>
      <c r="M688" s="110"/>
      <c r="N688" s="110"/>
      <c r="O688" s="110"/>
      <c r="P688" s="110"/>
      <c r="Q688" s="110"/>
      <c r="R688" s="110"/>
      <c r="S688" s="110"/>
      <c r="T688" s="110"/>
      <c r="U688" s="49"/>
      <c r="V688" s="49"/>
      <c r="W688" s="49"/>
      <c r="X688" s="49"/>
      <c r="Y688" s="49"/>
      <c r="Z688" s="49"/>
      <c r="AA688" s="49"/>
      <c r="AB688" s="49"/>
      <c r="AC688" s="49"/>
      <c r="AD688" s="113"/>
      <c r="AE688" s="49"/>
      <c r="AF688" s="50"/>
      <c r="AG688" s="50"/>
      <c r="AH688" s="50"/>
      <c r="AI688" s="50"/>
      <c r="AJ688" s="50"/>
      <c r="AK688" s="50"/>
      <c r="AL688" s="50"/>
      <c r="AM688" s="50"/>
      <c r="AN688" s="50"/>
      <c r="AO688" s="9"/>
      <c r="AP688" s="9"/>
    </row>
    <row r="689" spans="1:42" x14ac:dyDescent="0.55000000000000004">
      <c r="A689" t="str">
        <f t="shared" si="10"/>
        <v/>
      </c>
      <c r="C689" s="103"/>
      <c r="D689" s="110"/>
      <c r="E689" s="110"/>
      <c r="F689" s="110"/>
      <c r="G689" s="110"/>
      <c r="H689" s="110"/>
      <c r="I689" s="110"/>
      <c r="J689" s="110"/>
      <c r="K689" s="110"/>
      <c r="L689" s="110"/>
      <c r="M689" s="110"/>
      <c r="N689" s="110"/>
      <c r="O689" s="110"/>
      <c r="P689" s="110"/>
      <c r="Q689" s="110"/>
      <c r="R689" s="110"/>
      <c r="S689" s="110"/>
      <c r="T689" s="110"/>
      <c r="U689" s="49"/>
      <c r="V689" s="49"/>
      <c r="W689" s="49"/>
      <c r="X689" s="49"/>
      <c r="Y689" s="49"/>
      <c r="Z689" s="49"/>
      <c r="AA689" s="49"/>
      <c r="AB689" s="49"/>
      <c r="AC689" s="49"/>
      <c r="AD689" s="113"/>
      <c r="AE689" s="49"/>
      <c r="AF689" s="50"/>
      <c r="AG689" s="50"/>
      <c r="AH689" s="50"/>
      <c r="AI689" s="50"/>
      <c r="AJ689" s="50"/>
      <c r="AK689" s="50"/>
      <c r="AL689" s="50"/>
      <c r="AM689" s="50"/>
      <c r="AN689" s="50"/>
      <c r="AO689" s="9"/>
      <c r="AP689" s="9"/>
    </row>
    <row r="690" spans="1:42" x14ac:dyDescent="0.55000000000000004">
      <c r="A690" t="str">
        <f t="shared" si="10"/>
        <v/>
      </c>
      <c r="C690" s="103"/>
      <c r="D690" s="110"/>
      <c r="E690" s="110"/>
      <c r="F690" s="110"/>
      <c r="G690" s="110"/>
      <c r="H690" s="110"/>
      <c r="I690" s="110"/>
      <c r="J690" s="110"/>
      <c r="K690" s="110"/>
      <c r="L690" s="110"/>
      <c r="M690" s="110"/>
      <c r="N690" s="110"/>
      <c r="O690" s="110"/>
      <c r="P690" s="110"/>
      <c r="Q690" s="110"/>
      <c r="R690" s="110"/>
      <c r="S690" s="110"/>
      <c r="T690" s="110"/>
      <c r="U690" s="49"/>
      <c r="V690" s="49"/>
      <c r="W690" s="49"/>
      <c r="X690" s="49"/>
      <c r="Y690" s="49"/>
      <c r="Z690" s="49"/>
      <c r="AA690" s="49"/>
      <c r="AB690" s="49"/>
      <c r="AC690" s="49"/>
      <c r="AD690" s="113"/>
      <c r="AE690" s="49"/>
      <c r="AF690" s="50"/>
      <c r="AG690" s="50"/>
      <c r="AH690" s="50"/>
      <c r="AI690" s="50"/>
      <c r="AJ690" s="50"/>
      <c r="AK690" s="50"/>
      <c r="AL690" s="50"/>
      <c r="AM690" s="50"/>
      <c r="AN690" s="50"/>
      <c r="AO690" s="9"/>
      <c r="AP690" s="9"/>
    </row>
    <row r="691" spans="1:42" x14ac:dyDescent="0.55000000000000004">
      <c r="A691" t="str">
        <f t="shared" si="10"/>
        <v/>
      </c>
      <c r="C691" s="103"/>
      <c r="D691" s="110"/>
      <c r="E691" s="110"/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49"/>
      <c r="V691" s="49"/>
      <c r="W691" s="49"/>
      <c r="X691" s="49"/>
      <c r="Y691" s="49"/>
      <c r="Z691" s="49"/>
      <c r="AA691" s="49"/>
      <c r="AB691" s="49"/>
      <c r="AC691" s="49"/>
      <c r="AD691" s="113"/>
      <c r="AE691" s="49"/>
      <c r="AF691" s="50"/>
      <c r="AG691" s="50"/>
      <c r="AH691" s="50"/>
      <c r="AI691" s="50"/>
      <c r="AJ691" s="50"/>
      <c r="AK691" s="50"/>
      <c r="AL691" s="50"/>
      <c r="AM691" s="50"/>
      <c r="AN691" s="50"/>
      <c r="AO691" s="9"/>
      <c r="AP691" s="9"/>
    </row>
    <row r="692" spans="1:42" x14ac:dyDescent="0.55000000000000004">
      <c r="A692" t="str">
        <f t="shared" si="10"/>
        <v/>
      </c>
      <c r="C692" s="103"/>
      <c r="D692" s="110"/>
      <c r="E692" s="110"/>
      <c r="F692" s="110"/>
      <c r="G692" s="110"/>
      <c r="H692" s="110"/>
      <c r="I692" s="110"/>
      <c r="J692" s="110"/>
      <c r="K692" s="110"/>
      <c r="L692" s="110"/>
      <c r="M692" s="110"/>
      <c r="N692" s="110"/>
      <c r="O692" s="110"/>
      <c r="P692" s="110"/>
      <c r="Q692" s="110"/>
      <c r="R692" s="110"/>
      <c r="S692" s="110"/>
      <c r="T692" s="110"/>
      <c r="U692" s="49"/>
      <c r="V692" s="49"/>
      <c r="W692" s="49"/>
      <c r="X692" s="49"/>
      <c r="Y692" s="49"/>
      <c r="Z692" s="49"/>
      <c r="AA692" s="49"/>
      <c r="AB692" s="49"/>
      <c r="AC692" s="49"/>
      <c r="AD692" s="113"/>
      <c r="AE692" s="49"/>
      <c r="AF692" s="50"/>
      <c r="AG692" s="50"/>
      <c r="AH692" s="50"/>
      <c r="AI692" s="50"/>
      <c r="AJ692" s="50"/>
      <c r="AK692" s="50"/>
      <c r="AL692" s="50"/>
      <c r="AM692" s="50"/>
      <c r="AN692" s="50"/>
      <c r="AO692" s="9"/>
      <c r="AP692" s="9"/>
    </row>
    <row r="693" spans="1:42" x14ac:dyDescent="0.55000000000000004">
      <c r="A693" t="str">
        <f t="shared" si="10"/>
        <v/>
      </c>
      <c r="C693" s="103"/>
      <c r="D693" s="110"/>
      <c r="E693" s="110"/>
      <c r="F693" s="110"/>
      <c r="G693" s="110"/>
      <c r="H693" s="110"/>
      <c r="I693" s="110"/>
      <c r="J693" s="110"/>
      <c r="K693" s="110"/>
      <c r="L693" s="110"/>
      <c r="M693" s="110"/>
      <c r="N693" s="110"/>
      <c r="O693" s="110"/>
      <c r="P693" s="110"/>
      <c r="Q693" s="110"/>
      <c r="R693" s="110"/>
      <c r="S693" s="110"/>
      <c r="T693" s="110"/>
      <c r="U693" s="49"/>
      <c r="V693" s="49"/>
      <c r="W693" s="49"/>
      <c r="X693" s="49"/>
      <c r="Y693" s="49"/>
      <c r="Z693" s="49"/>
      <c r="AA693" s="49"/>
      <c r="AB693" s="49"/>
      <c r="AC693" s="49"/>
      <c r="AD693" s="113"/>
      <c r="AE693" s="49"/>
      <c r="AF693" s="50"/>
      <c r="AG693" s="50"/>
      <c r="AH693" s="50"/>
      <c r="AI693" s="50"/>
      <c r="AJ693" s="50"/>
      <c r="AK693" s="50"/>
      <c r="AL693" s="50"/>
      <c r="AM693" s="50"/>
      <c r="AN693" s="50"/>
      <c r="AO693" s="9"/>
      <c r="AP693" s="9"/>
    </row>
    <row r="694" spans="1:42" x14ac:dyDescent="0.55000000000000004">
      <c r="A694" t="str">
        <f t="shared" si="10"/>
        <v/>
      </c>
      <c r="C694" s="103"/>
      <c r="D694" s="110"/>
      <c r="E694" s="110"/>
      <c r="F694" s="110"/>
      <c r="G694" s="110"/>
      <c r="H694" s="110"/>
      <c r="I694" s="110"/>
      <c r="J694" s="110"/>
      <c r="K694" s="110"/>
      <c r="L694" s="110"/>
      <c r="M694" s="110"/>
      <c r="N694" s="110"/>
      <c r="O694" s="110"/>
      <c r="P694" s="110"/>
      <c r="Q694" s="110"/>
      <c r="R694" s="110"/>
      <c r="S694" s="110"/>
      <c r="T694" s="110"/>
      <c r="U694" s="49"/>
      <c r="V694" s="49"/>
      <c r="W694" s="49"/>
      <c r="X694" s="49"/>
      <c r="Y694" s="49"/>
      <c r="Z694" s="49"/>
      <c r="AA694" s="49"/>
      <c r="AB694" s="49"/>
      <c r="AC694" s="49"/>
      <c r="AD694" s="113"/>
      <c r="AE694" s="49"/>
      <c r="AF694" s="50"/>
      <c r="AG694" s="50"/>
      <c r="AH694" s="50"/>
      <c r="AI694" s="50"/>
      <c r="AJ694" s="50"/>
      <c r="AK694" s="50"/>
      <c r="AL694" s="50"/>
      <c r="AM694" s="50"/>
      <c r="AN694" s="50"/>
      <c r="AO694" s="9"/>
      <c r="AP694" s="9"/>
    </row>
    <row r="695" spans="1:42" x14ac:dyDescent="0.55000000000000004">
      <c r="A695" t="str">
        <f t="shared" si="10"/>
        <v/>
      </c>
      <c r="C695" s="103"/>
      <c r="D695" s="110"/>
      <c r="E695" s="110"/>
      <c r="F695" s="110"/>
      <c r="G695" s="110"/>
      <c r="H695" s="110"/>
      <c r="I695" s="110"/>
      <c r="J695" s="110"/>
      <c r="K695" s="110"/>
      <c r="L695" s="110"/>
      <c r="M695" s="110"/>
      <c r="N695" s="110"/>
      <c r="O695" s="110"/>
      <c r="P695" s="110"/>
      <c r="Q695" s="110"/>
      <c r="R695" s="110"/>
      <c r="S695" s="110"/>
      <c r="T695" s="110"/>
      <c r="U695" s="49"/>
      <c r="V695" s="49"/>
      <c r="W695" s="49"/>
      <c r="X695" s="49"/>
      <c r="Y695" s="49"/>
      <c r="Z695" s="49"/>
      <c r="AA695" s="49"/>
      <c r="AB695" s="49"/>
      <c r="AC695" s="49"/>
      <c r="AD695" s="113"/>
      <c r="AE695" s="49"/>
      <c r="AF695" s="50"/>
      <c r="AG695" s="50"/>
      <c r="AH695" s="50"/>
      <c r="AI695" s="50"/>
      <c r="AJ695" s="50"/>
      <c r="AK695" s="50"/>
      <c r="AL695" s="50"/>
      <c r="AM695" s="50"/>
      <c r="AN695" s="50"/>
      <c r="AO695" s="9"/>
      <c r="AP695" s="9"/>
    </row>
    <row r="696" spans="1:42" x14ac:dyDescent="0.55000000000000004">
      <c r="A696" t="str">
        <f t="shared" si="10"/>
        <v/>
      </c>
      <c r="C696" s="103"/>
      <c r="D696" s="110"/>
      <c r="E696" s="110"/>
      <c r="F696" s="110"/>
      <c r="G696" s="110"/>
      <c r="H696" s="110"/>
      <c r="I696" s="110"/>
      <c r="J696" s="110"/>
      <c r="K696" s="110"/>
      <c r="L696" s="110"/>
      <c r="M696" s="110"/>
      <c r="N696" s="110"/>
      <c r="O696" s="110"/>
      <c r="P696" s="110"/>
      <c r="Q696" s="110"/>
      <c r="R696" s="110"/>
      <c r="S696" s="110"/>
      <c r="T696" s="110"/>
      <c r="U696" s="49"/>
      <c r="V696" s="49"/>
      <c r="W696" s="49"/>
      <c r="X696" s="49"/>
      <c r="Y696" s="49"/>
      <c r="Z696" s="49"/>
      <c r="AA696" s="49"/>
      <c r="AB696" s="49"/>
      <c r="AC696" s="49"/>
      <c r="AD696" s="113"/>
      <c r="AE696" s="49"/>
      <c r="AF696" s="50"/>
      <c r="AG696" s="50"/>
      <c r="AH696" s="50"/>
      <c r="AI696" s="50"/>
      <c r="AJ696" s="50"/>
      <c r="AK696" s="50"/>
      <c r="AL696" s="50"/>
      <c r="AM696" s="50"/>
      <c r="AN696" s="50"/>
      <c r="AO696" s="9"/>
      <c r="AP696" s="9"/>
    </row>
    <row r="697" spans="1:42" x14ac:dyDescent="0.55000000000000004">
      <c r="A697" t="str">
        <f t="shared" si="10"/>
        <v/>
      </c>
      <c r="C697" s="103"/>
      <c r="D697" s="110"/>
      <c r="E697" s="110"/>
      <c r="F697" s="110"/>
      <c r="G697" s="110"/>
      <c r="H697" s="110"/>
      <c r="I697" s="110"/>
      <c r="J697" s="110"/>
      <c r="K697" s="110"/>
      <c r="L697" s="110"/>
      <c r="M697" s="110"/>
      <c r="N697" s="110"/>
      <c r="O697" s="110"/>
      <c r="P697" s="110"/>
      <c r="Q697" s="110"/>
      <c r="R697" s="110"/>
      <c r="S697" s="110"/>
      <c r="T697" s="110"/>
      <c r="U697" s="49"/>
      <c r="V697" s="49"/>
      <c r="W697" s="49"/>
      <c r="X697" s="49"/>
      <c r="Y697" s="49"/>
      <c r="Z697" s="49"/>
      <c r="AA697" s="49"/>
      <c r="AB697" s="49"/>
      <c r="AC697" s="49"/>
      <c r="AD697" s="113"/>
      <c r="AE697" s="49"/>
      <c r="AF697" s="50"/>
      <c r="AG697" s="50"/>
      <c r="AH697" s="50"/>
      <c r="AI697" s="50"/>
      <c r="AJ697" s="50"/>
      <c r="AK697" s="50"/>
      <c r="AL697" s="50"/>
      <c r="AM697" s="50"/>
      <c r="AN697" s="50"/>
      <c r="AO697" s="9"/>
      <c r="AP697" s="9"/>
    </row>
    <row r="698" spans="1:42" x14ac:dyDescent="0.55000000000000004">
      <c r="A698" t="str">
        <f t="shared" si="10"/>
        <v/>
      </c>
      <c r="C698" s="103"/>
      <c r="D698" s="110"/>
      <c r="E698" s="110"/>
      <c r="F698" s="110"/>
      <c r="G698" s="110"/>
      <c r="H698" s="110"/>
      <c r="I698" s="110"/>
      <c r="J698" s="110"/>
      <c r="K698" s="110"/>
      <c r="L698" s="110"/>
      <c r="M698" s="110"/>
      <c r="N698" s="110"/>
      <c r="O698" s="110"/>
      <c r="P698" s="110"/>
      <c r="Q698" s="110"/>
      <c r="R698" s="110"/>
      <c r="S698" s="110"/>
      <c r="T698" s="110"/>
      <c r="U698" s="49"/>
      <c r="V698" s="49"/>
      <c r="W698" s="49"/>
      <c r="X698" s="49"/>
      <c r="Y698" s="49"/>
      <c r="Z698" s="49"/>
      <c r="AA698" s="49"/>
      <c r="AB698" s="49"/>
      <c r="AC698" s="49"/>
      <c r="AD698" s="113"/>
      <c r="AE698" s="49"/>
      <c r="AF698" s="50"/>
      <c r="AG698" s="50"/>
      <c r="AH698" s="50"/>
      <c r="AI698" s="50"/>
      <c r="AJ698" s="50"/>
      <c r="AK698" s="50"/>
      <c r="AL698" s="50"/>
      <c r="AM698" s="50"/>
      <c r="AN698" s="50"/>
      <c r="AO698" s="9"/>
      <c r="AP698" s="9"/>
    </row>
    <row r="699" spans="1:42" x14ac:dyDescent="0.55000000000000004">
      <c r="A699" t="str">
        <f t="shared" si="10"/>
        <v/>
      </c>
      <c r="C699" s="103"/>
      <c r="D699" s="110"/>
      <c r="E699" s="110"/>
      <c r="F699" s="110"/>
      <c r="G699" s="110"/>
      <c r="H699" s="110"/>
      <c r="I699" s="110"/>
      <c r="J699" s="110"/>
      <c r="K699" s="110"/>
      <c r="L699" s="110"/>
      <c r="M699" s="110"/>
      <c r="N699" s="110"/>
      <c r="O699" s="110"/>
      <c r="P699" s="110"/>
      <c r="Q699" s="110"/>
      <c r="R699" s="110"/>
      <c r="S699" s="110"/>
      <c r="T699" s="110"/>
      <c r="U699" s="49"/>
      <c r="V699" s="49"/>
      <c r="W699" s="49"/>
      <c r="X699" s="49"/>
      <c r="Y699" s="49"/>
      <c r="Z699" s="49"/>
      <c r="AA699" s="49"/>
      <c r="AB699" s="49"/>
      <c r="AC699" s="49"/>
      <c r="AD699" s="113"/>
      <c r="AE699" s="49"/>
      <c r="AF699" s="50"/>
      <c r="AG699" s="50"/>
      <c r="AH699" s="50"/>
      <c r="AI699" s="50"/>
      <c r="AJ699" s="50"/>
      <c r="AK699" s="50"/>
      <c r="AL699" s="50"/>
      <c r="AM699" s="50"/>
      <c r="AN699" s="50"/>
      <c r="AO699" s="9"/>
      <c r="AP699" s="9"/>
    </row>
    <row r="700" spans="1:42" x14ac:dyDescent="0.55000000000000004">
      <c r="A700" t="str">
        <f t="shared" si="10"/>
        <v/>
      </c>
      <c r="C700" s="103"/>
      <c r="D700" s="110"/>
      <c r="E700" s="110"/>
      <c r="F700" s="110"/>
      <c r="G700" s="110"/>
      <c r="H700" s="110"/>
      <c r="I700" s="110"/>
      <c r="J700" s="110"/>
      <c r="K700" s="110"/>
      <c r="L700" s="110"/>
      <c r="M700" s="110"/>
      <c r="N700" s="110"/>
      <c r="O700" s="110"/>
      <c r="P700" s="110"/>
      <c r="Q700" s="110"/>
      <c r="R700" s="110"/>
      <c r="S700" s="110"/>
      <c r="T700" s="110"/>
      <c r="U700" s="49"/>
      <c r="V700" s="49"/>
      <c r="W700" s="49"/>
      <c r="X700" s="49"/>
      <c r="Y700" s="49"/>
      <c r="Z700" s="49"/>
      <c r="AA700" s="49"/>
      <c r="AB700" s="49"/>
      <c r="AC700" s="49"/>
      <c r="AD700" s="113"/>
      <c r="AE700" s="49"/>
      <c r="AF700" s="50"/>
      <c r="AG700" s="50"/>
      <c r="AH700" s="50"/>
      <c r="AI700" s="50"/>
      <c r="AJ700" s="50"/>
      <c r="AK700" s="50"/>
      <c r="AL700" s="50"/>
      <c r="AM700" s="50"/>
      <c r="AN700" s="50"/>
      <c r="AO700" s="9"/>
      <c r="AP700" s="9"/>
    </row>
    <row r="701" spans="1:42" x14ac:dyDescent="0.55000000000000004">
      <c r="A701" t="str">
        <f t="shared" si="10"/>
        <v/>
      </c>
      <c r="C701" s="103"/>
      <c r="D701" s="110"/>
      <c r="E701" s="112"/>
      <c r="F701" s="110"/>
      <c r="G701" s="112"/>
      <c r="H701" s="110"/>
      <c r="I701" s="110"/>
      <c r="J701" s="110"/>
      <c r="K701" s="110"/>
      <c r="L701" s="110"/>
      <c r="M701" s="110"/>
      <c r="N701" s="110"/>
      <c r="O701" s="110"/>
      <c r="P701" s="110"/>
      <c r="Q701" s="110"/>
      <c r="R701" s="110"/>
      <c r="S701" s="110"/>
      <c r="T701" s="110"/>
      <c r="U701" s="49"/>
      <c r="V701" s="49"/>
      <c r="W701" s="49"/>
      <c r="X701" s="49"/>
      <c r="Y701" s="49"/>
      <c r="Z701" s="49"/>
      <c r="AA701" s="49"/>
      <c r="AB701" s="49"/>
      <c r="AC701" s="49"/>
      <c r="AD701" s="113"/>
      <c r="AE701" s="49"/>
      <c r="AF701" s="50"/>
      <c r="AG701" s="50"/>
      <c r="AH701" s="50"/>
      <c r="AI701" s="50"/>
      <c r="AJ701" s="50"/>
      <c r="AK701" s="50"/>
      <c r="AL701" s="50"/>
      <c r="AM701" s="50"/>
      <c r="AN701" s="50"/>
      <c r="AO701" s="9"/>
      <c r="AP701" s="9"/>
    </row>
    <row r="702" spans="1:42" x14ac:dyDescent="0.55000000000000004">
      <c r="A702" t="str">
        <f t="shared" si="10"/>
        <v/>
      </c>
      <c r="C702" s="103"/>
      <c r="D702" s="110"/>
      <c r="E702" s="110"/>
      <c r="F702" s="110"/>
      <c r="G702" s="110"/>
      <c r="H702" s="110"/>
      <c r="I702" s="110"/>
      <c r="J702" s="110"/>
      <c r="K702" s="110"/>
      <c r="L702" s="110"/>
      <c r="M702" s="110"/>
      <c r="N702" s="110"/>
      <c r="O702" s="110"/>
      <c r="P702" s="110"/>
      <c r="Q702" s="110"/>
      <c r="R702" s="110"/>
      <c r="S702" s="110"/>
      <c r="T702" s="110"/>
      <c r="U702" s="49"/>
      <c r="V702" s="49"/>
      <c r="W702" s="49"/>
      <c r="X702" s="49"/>
      <c r="Y702" s="49"/>
      <c r="Z702" s="49"/>
      <c r="AA702" s="49"/>
      <c r="AB702" s="49"/>
      <c r="AC702" s="49"/>
      <c r="AD702" s="113"/>
      <c r="AE702" s="49"/>
      <c r="AF702" s="50"/>
      <c r="AG702" s="50"/>
      <c r="AH702" s="50"/>
      <c r="AI702" s="50"/>
      <c r="AJ702" s="50"/>
      <c r="AK702" s="50"/>
      <c r="AL702" s="50"/>
      <c r="AM702" s="50"/>
      <c r="AN702" s="50"/>
      <c r="AO702" s="9"/>
      <c r="AP702" s="9"/>
    </row>
    <row r="703" spans="1:42" x14ac:dyDescent="0.55000000000000004">
      <c r="A703" t="str">
        <f t="shared" si="10"/>
        <v/>
      </c>
      <c r="C703" s="103"/>
      <c r="D703" s="110"/>
      <c r="E703" s="110"/>
      <c r="F703" s="110"/>
      <c r="G703" s="110"/>
      <c r="H703" s="110"/>
      <c r="I703" s="110"/>
      <c r="J703" s="110"/>
      <c r="K703" s="110"/>
      <c r="L703" s="110"/>
      <c r="M703" s="110"/>
      <c r="N703" s="110"/>
      <c r="O703" s="110"/>
      <c r="P703" s="110"/>
      <c r="Q703" s="110"/>
      <c r="R703" s="110"/>
      <c r="S703" s="110"/>
      <c r="T703" s="110"/>
      <c r="U703" s="49"/>
      <c r="V703" s="49"/>
      <c r="W703" s="49"/>
      <c r="X703" s="49"/>
      <c r="Y703" s="49"/>
      <c r="Z703" s="49"/>
      <c r="AA703" s="49"/>
      <c r="AB703" s="49"/>
      <c r="AC703" s="49"/>
      <c r="AD703" s="113"/>
      <c r="AE703" s="49"/>
      <c r="AF703" s="50"/>
      <c r="AG703" s="50"/>
      <c r="AH703" s="50"/>
      <c r="AI703" s="50"/>
      <c r="AJ703" s="50"/>
      <c r="AK703" s="50"/>
      <c r="AL703" s="50"/>
      <c r="AM703" s="50"/>
      <c r="AN703" s="50"/>
      <c r="AO703" s="9"/>
      <c r="AP703" s="9"/>
    </row>
    <row r="704" spans="1:42" x14ac:dyDescent="0.55000000000000004">
      <c r="A704" t="str">
        <f t="shared" si="10"/>
        <v/>
      </c>
      <c r="C704" s="103"/>
      <c r="D704" s="110"/>
      <c r="E704" s="110"/>
      <c r="F704" s="110"/>
      <c r="G704" s="110"/>
      <c r="H704" s="110"/>
      <c r="I704" s="110"/>
      <c r="J704" s="110"/>
      <c r="K704" s="110"/>
      <c r="L704" s="110"/>
      <c r="M704" s="110"/>
      <c r="N704" s="110"/>
      <c r="O704" s="110"/>
      <c r="P704" s="110"/>
      <c r="Q704" s="110"/>
      <c r="R704" s="110"/>
      <c r="S704" s="110"/>
      <c r="T704" s="110"/>
      <c r="U704" s="49"/>
      <c r="V704" s="49"/>
      <c r="W704" s="49"/>
      <c r="X704" s="49"/>
      <c r="Y704" s="49"/>
      <c r="Z704" s="49"/>
      <c r="AA704" s="49"/>
      <c r="AB704" s="49"/>
      <c r="AC704" s="49"/>
      <c r="AD704" s="113"/>
      <c r="AE704" s="49"/>
      <c r="AF704" s="50"/>
      <c r="AG704" s="50"/>
      <c r="AH704" s="50"/>
      <c r="AI704" s="50"/>
      <c r="AJ704" s="50"/>
      <c r="AK704" s="50"/>
      <c r="AL704" s="50"/>
      <c r="AM704" s="50"/>
      <c r="AN704" s="50"/>
      <c r="AO704" s="9"/>
      <c r="AP704" s="9"/>
    </row>
    <row r="705" spans="1:42" x14ac:dyDescent="0.55000000000000004">
      <c r="A705" t="str">
        <f t="shared" si="10"/>
        <v/>
      </c>
      <c r="C705" s="103"/>
      <c r="D705" s="110"/>
      <c r="E705" s="110"/>
      <c r="F705" s="110"/>
      <c r="G705" s="110"/>
      <c r="H705" s="110"/>
      <c r="I705" s="110"/>
      <c r="J705" s="110"/>
      <c r="K705" s="110"/>
      <c r="L705" s="110"/>
      <c r="M705" s="110"/>
      <c r="N705" s="110"/>
      <c r="O705" s="110"/>
      <c r="P705" s="110"/>
      <c r="Q705" s="110"/>
      <c r="R705" s="110"/>
      <c r="S705" s="110"/>
      <c r="T705" s="110"/>
      <c r="U705" s="49"/>
      <c r="V705" s="49"/>
      <c r="W705" s="49"/>
      <c r="X705" s="49"/>
      <c r="Y705" s="49"/>
      <c r="Z705" s="49"/>
      <c r="AA705" s="49"/>
      <c r="AB705" s="49"/>
      <c r="AC705" s="49"/>
      <c r="AD705" s="113"/>
      <c r="AE705" s="49"/>
      <c r="AF705" s="50"/>
      <c r="AG705" s="50"/>
      <c r="AH705" s="50"/>
      <c r="AI705" s="50"/>
      <c r="AJ705" s="50"/>
      <c r="AK705" s="50"/>
      <c r="AL705" s="50"/>
      <c r="AM705" s="50"/>
      <c r="AN705" s="50"/>
      <c r="AO705" s="9"/>
      <c r="AP705" s="9"/>
    </row>
    <row r="706" spans="1:42" x14ac:dyDescent="0.55000000000000004">
      <c r="A706" t="str">
        <f t="shared" si="10"/>
        <v/>
      </c>
      <c r="C706" s="103"/>
      <c r="D706" s="110"/>
      <c r="E706" s="110"/>
      <c r="F706" s="110"/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49"/>
      <c r="V706" s="49"/>
      <c r="W706" s="49"/>
      <c r="X706" s="49"/>
      <c r="Y706" s="49"/>
      <c r="Z706" s="49"/>
      <c r="AA706" s="49"/>
      <c r="AB706" s="49"/>
      <c r="AC706" s="49"/>
      <c r="AD706" s="113"/>
      <c r="AE706" s="49"/>
      <c r="AF706" s="50"/>
      <c r="AG706" s="50"/>
      <c r="AH706" s="50"/>
      <c r="AI706" s="50"/>
      <c r="AJ706" s="50"/>
      <c r="AK706" s="50"/>
      <c r="AL706" s="50"/>
      <c r="AM706" s="50"/>
      <c r="AN706" s="50"/>
      <c r="AO706" s="9"/>
      <c r="AP706" s="9"/>
    </row>
    <row r="707" spans="1:42" x14ac:dyDescent="0.55000000000000004">
      <c r="A707" t="str">
        <f t="shared" ref="A707:A770" si="11">H707&amp;I707&amp;J707</f>
        <v/>
      </c>
      <c r="C707" s="103"/>
      <c r="D707" s="110"/>
      <c r="E707" s="110"/>
      <c r="F707" s="110"/>
      <c r="G707" s="110"/>
      <c r="H707" s="110"/>
      <c r="I707" s="110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49"/>
      <c r="V707" s="49"/>
      <c r="W707" s="49"/>
      <c r="X707" s="49"/>
      <c r="Y707" s="49"/>
      <c r="Z707" s="49"/>
      <c r="AA707" s="49"/>
      <c r="AB707" s="49"/>
      <c r="AC707" s="49"/>
      <c r="AD707" s="113"/>
      <c r="AE707" s="49"/>
      <c r="AF707" s="50"/>
      <c r="AG707" s="50"/>
      <c r="AH707" s="50"/>
      <c r="AI707" s="50"/>
      <c r="AJ707" s="50"/>
      <c r="AK707" s="50"/>
      <c r="AL707" s="50"/>
      <c r="AM707" s="50"/>
      <c r="AN707" s="50"/>
      <c r="AO707" s="9"/>
      <c r="AP707" s="9"/>
    </row>
    <row r="708" spans="1:42" x14ac:dyDescent="0.55000000000000004">
      <c r="A708" t="str">
        <f t="shared" si="11"/>
        <v/>
      </c>
      <c r="C708" s="103"/>
      <c r="D708" s="110"/>
      <c r="E708" s="110"/>
      <c r="F708" s="110"/>
      <c r="G708" s="110"/>
      <c r="H708" s="110"/>
      <c r="I708" s="110"/>
      <c r="J708" s="110"/>
      <c r="K708" s="110"/>
      <c r="L708" s="110"/>
      <c r="M708" s="110"/>
      <c r="N708" s="110"/>
      <c r="O708" s="110"/>
      <c r="P708" s="110"/>
      <c r="Q708" s="110"/>
      <c r="R708" s="110"/>
      <c r="S708" s="110"/>
      <c r="T708" s="110"/>
      <c r="U708" s="49"/>
      <c r="V708" s="49"/>
      <c r="W708" s="49"/>
      <c r="X708" s="49"/>
      <c r="Y708" s="49"/>
      <c r="Z708" s="49"/>
      <c r="AA708" s="49"/>
      <c r="AB708" s="49"/>
      <c r="AC708" s="49"/>
      <c r="AD708" s="113"/>
      <c r="AE708" s="49"/>
      <c r="AF708" s="50"/>
      <c r="AG708" s="50"/>
      <c r="AH708" s="50"/>
      <c r="AI708" s="50"/>
      <c r="AJ708" s="50"/>
      <c r="AK708" s="50"/>
      <c r="AL708" s="50"/>
      <c r="AM708" s="50"/>
      <c r="AN708" s="50"/>
      <c r="AO708" s="9"/>
      <c r="AP708" s="9"/>
    </row>
    <row r="709" spans="1:42" x14ac:dyDescent="0.55000000000000004">
      <c r="A709" t="str">
        <f t="shared" si="11"/>
        <v/>
      </c>
      <c r="C709" s="103"/>
      <c r="D709" s="110"/>
      <c r="E709" s="110"/>
      <c r="F709" s="110"/>
      <c r="G709" s="110"/>
      <c r="H709" s="110"/>
      <c r="I709" s="110"/>
      <c r="J709" s="110"/>
      <c r="K709" s="110"/>
      <c r="L709" s="110"/>
      <c r="M709" s="110"/>
      <c r="N709" s="110"/>
      <c r="O709" s="110"/>
      <c r="P709" s="110"/>
      <c r="Q709" s="110"/>
      <c r="R709" s="110"/>
      <c r="S709" s="110"/>
      <c r="T709" s="110"/>
      <c r="U709" s="49"/>
      <c r="V709" s="49"/>
      <c r="W709" s="49"/>
      <c r="X709" s="49"/>
      <c r="Y709" s="49"/>
      <c r="Z709" s="49"/>
      <c r="AA709" s="49"/>
      <c r="AB709" s="49"/>
      <c r="AC709" s="49"/>
      <c r="AD709" s="113"/>
      <c r="AE709" s="49"/>
      <c r="AF709" s="50"/>
      <c r="AG709" s="50"/>
      <c r="AH709" s="50"/>
      <c r="AI709" s="50"/>
      <c r="AJ709" s="50"/>
      <c r="AK709" s="50"/>
      <c r="AL709" s="50"/>
      <c r="AM709" s="50"/>
      <c r="AN709" s="50"/>
      <c r="AO709" s="9"/>
      <c r="AP709" s="9"/>
    </row>
    <row r="710" spans="1:42" x14ac:dyDescent="0.55000000000000004">
      <c r="A710" t="str">
        <f t="shared" si="11"/>
        <v/>
      </c>
      <c r="C710" s="103"/>
      <c r="D710" s="110"/>
      <c r="E710" s="110"/>
      <c r="F710" s="110"/>
      <c r="G710" s="110"/>
      <c r="H710" s="110"/>
      <c r="I710" s="110"/>
      <c r="J710" s="110"/>
      <c r="K710" s="110"/>
      <c r="L710" s="110"/>
      <c r="M710" s="110"/>
      <c r="N710" s="110"/>
      <c r="O710" s="110"/>
      <c r="P710" s="110"/>
      <c r="Q710" s="110"/>
      <c r="R710" s="110"/>
      <c r="S710" s="110"/>
      <c r="T710" s="110"/>
      <c r="U710" s="49"/>
      <c r="V710" s="49"/>
      <c r="W710" s="49"/>
      <c r="X710" s="49"/>
      <c r="Y710" s="49"/>
      <c r="Z710" s="49"/>
      <c r="AA710" s="49"/>
      <c r="AB710" s="49"/>
      <c r="AC710" s="49"/>
      <c r="AD710" s="113"/>
      <c r="AE710" s="49"/>
      <c r="AF710" s="50"/>
      <c r="AG710" s="50"/>
      <c r="AH710" s="50"/>
      <c r="AI710" s="50"/>
      <c r="AJ710" s="50"/>
      <c r="AK710" s="50"/>
      <c r="AL710" s="50"/>
      <c r="AM710" s="50"/>
      <c r="AN710" s="50"/>
      <c r="AO710" s="9"/>
      <c r="AP710" s="9"/>
    </row>
    <row r="711" spans="1:42" x14ac:dyDescent="0.55000000000000004">
      <c r="A711" t="str">
        <f t="shared" si="11"/>
        <v/>
      </c>
      <c r="C711" s="103"/>
      <c r="D711" s="110"/>
      <c r="E711" s="110"/>
      <c r="F711" s="110"/>
      <c r="G711" s="110"/>
      <c r="H711" s="110"/>
      <c r="I711" s="110"/>
      <c r="J711" s="110"/>
      <c r="K711" s="110"/>
      <c r="L711" s="110"/>
      <c r="M711" s="110"/>
      <c r="N711" s="110"/>
      <c r="O711" s="110"/>
      <c r="P711" s="110"/>
      <c r="Q711" s="110"/>
      <c r="R711" s="110"/>
      <c r="S711" s="110"/>
      <c r="T711" s="110"/>
      <c r="U711" s="49"/>
      <c r="V711" s="49"/>
      <c r="W711" s="49"/>
      <c r="X711" s="49"/>
      <c r="Y711" s="49"/>
      <c r="Z711" s="49"/>
      <c r="AA711" s="49"/>
      <c r="AB711" s="49"/>
      <c r="AC711" s="49"/>
      <c r="AD711" s="113"/>
      <c r="AE711" s="49"/>
      <c r="AF711" s="50"/>
      <c r="AG711" s="50"/>
      <c r="AH711" s="50"/>
      <c r="AI711" s="50"/>
      <c r="AJ711" s="50"/>
      <c r="AK711" s="50"/>
      <c r="AL711" s="50"/>
      <c r="AM711" s="50"/>
      <c r="AN711" s="50"/>
      <c r="AO711" s="9"/>
      <c r="AP711" s="9"/>
    </row>
    <row r="712" spans="1:42" x14ac:dyDescent="0.55000000000000004">
      <c r="A712" t="str">
        <f t="shared" si="11"/>
        <v/>
      </c>
      <c r="C712" s="103"/>
      <c r="D712" s="110"/>
      <c r="E712" s="112"/>
      <c r="F712" s="110"/>
      <c r="G712" s="112"/>
      <c r="H712" s="110"/>
      <c r="I712" s="110"/>
      <c r="J712" s="110"/>
      <c r="K712" s="110"/>
      <c r="L712" s="110"/>
      <c r="M712" s="110"/>
      <c r="N712" s="110"/>
      <c r="O712" s="110"/>
      <c r="P712" s="110"/>
      <c r="Q712" s="110"/>
      <c r="R712" s="110"/>
      <c r="S712" s="110"/>
      <c r="T712" s="110"/>
      <c r="U712" s="49"/>
      <c r="V712" s="49"/>
      <c r="W712" s="49"/>
      <c r="X712" s="49"/>
      <c r="Y712" s="49"/>
      <c r="Z712" s="49"/>
      <c r="AA712" s="49"/>
      <c r="AB712" s="49"/>
      <c r="AC712" s="49"/>
      <c r="AD712" s="113"/>
      <c r="AE712" s="49"/>
      <c r="AF712" s="50"/>
      <c r="AG712" s="50"/>
      <c r="AH712" s="50"/>
      <c r="AI712" s="50"/>
      <c r="AJ712" s="50"/>
      <c r="AK712" s="50"/>
      <c r="AL712" s="50"/>
      <c r="AM712" s="50"/>
      <c r="AN712" s="50"/>
      <c r="AO712" s="9"/>
      <c r="AP712" s="9"/>
    </row>
    <row r="713" spans="1:42" x14ac:dyDescent="0.55000000000000004">
      <c r="A713" t="str">
        <f t="shared" si="11"/>
        <v/>
      </c>
      <c r="C713" s="103"/>
      <c r="D713" s="110"/>
      <c r="E713" s="112"/>
      <c r="F713" s="110"/>
      <c r="G713" s="112"/>
      <c r="H713" s="110"/>
      <c r="I713" s="110"/>
      <c r="J713" s="110"/>
      <c r="K713" s="110"/>
      <c r="L713" s="110"/>
      <c r="M713" s="110"/>
      <c r="N713" s="110"/>
      <c r="O713" s="110"/>
      <c r="P713" s="110"/>
      <c r="Q713" s="110"/>
      <c r="R713" s="110"/>
      <c r="S713" s="110"/>
      <c r="T713" s="110"/>
      <c r="U713" s="49"/>
      <c r="V713" s="49"/>
      <c r="W713" s="49"/>
      <c r="X713" s="49"/>
      <c r="Y713" s="49"/>
      <c r="Z713" s="49"/>
      <c r="AA713" s="49"/>
      <c r="AB713" s="49"/>
      <c r="AC713" s="49"/>
      <c r="AD713" s="113"/>
      <c r="AE713" s="49"/>
      <c r="AF713" s="50"/>
      <c r="AG713" s="50"/>
      <c r="AH713" s="50"/>
      <c r="AI713" s="50"/>
      <c r="AJ713" s="50"/>
      <c r="AK713" s="50"/>
      <c r="AL713" s="50"/>
      <c r="AM713" s="50"/>
      <c r="AN713" s="50"/>
      <c r="AO713" s="9"/>
      <c r="AP713" s="9"/>
    </row>
    <row r="714" spans="1:42" x14ac:dyDescent="0.55000000000000004">
      <c r="A714" t="str">
        <f t="shared" si="11"/>
        <v/>
      </c>
      <c r="C714" s="103"/>
      <c r="D714" s="110"/>
      <c r="E714" s="112"/>
      <c r="F714" s="110"/>
      <c r="G714" s="112"/>
      <c r="H714" s="110"/>
      <c r="I714" s="110"/>
      <c r="J714" s="110"/>
      <c r="K714" s="110"/>
      <c r="L714" s="110"/>
      <c r="M714" s="110"/>
      <c r="N714" s="110"/>
      <c r="O714" s="110"/>
      <c r="P714" s="110"/>
      <c r="Q714" s="110"/>
      <c r="R714" s="110"/>
      <c r="S714" s="110"/>
      <c r="T714" s="110"/>
      <c r="U714" s="49"/>
      <c r="V714" s="49"/>
      <c r="W714" s="49"/>
      <c r="X714" s="49"/>
      <c r="Y714" s="49"/>
      <c r="Z714" s="49"/>
      <c r="AA714" s="49"/>
      <c r="AB714" s="49"/>
      <c r="AC714" s="49"/>
      <c r="AD714" s="113"/>
      <c r="AE714" s="49"/>
      <c r="AF714" s="50"/>
      <c r="AG714" s="50"/>
      <c r="AH714" s="50"/>
      <c r="AI714" s="50"/>
      <c r="AJ714" s="50"/>
      <c r="AK714" s="50"/>
      <c r="AL714" s="50"/>
      <c r="AM714" s="50"/>
      <c r="AN714" s="50"/>
      <c r="AO714" s="9"/>
      <c r="AP714" s="9"/>
    </row>
    <row r="715" spans="1:42" x14ac:dyDescent="0.55000000000000004">
      <c r="A715" t="str">
        <f t="shared" si="11"/>
        <v/>
      </c>
      <c r="C715" s="103"/>
      <c r="D715" s="110"/>
      <c r="E715" s="112"/>
      <c r="F715" s="110"/>
      <c r="G715" s="112"/>
      <c r="H715" s="110"/>
      <c r="I715" s="110"/>
      <c r="J715" s="110"/>
      <c r="K715" s="110"/>
      <c r="L715" s="110"/>
      <c r="M715" s="110"/>
      <c r="N715" s="110"/>
      <c r="O715" s="110"/>
      <c r="P715" s="110"/>
      <c r="Q715" s="110"/>
      <c r="R715" s="110"/>
      <c r="S715" s="110"/>
      <c r="T715" s="110"/>
      <c r="U715" s="49"/>
      <c r="V715" s="49"/>
      <c r="W715" s="49"/>
      <c r="X715" s="49"/>
      <c r="Y715" s="49"/>
      <c r="Z715" s="49"/>
      <c r="AA715" s="49"/>
      <c r="AB715" s="49"/>
      <c r="AC715" s="49"/>
      <c r="AD715" s="113"/>
      <c r="AE715" s="49"/>
      <c r="AF715" s="50"/>
      <c r="AG715" s="50"/>
      <c r="AH715" s="50"/>
      <c r="AI715" s="50"/>
      <c r="AJ715" s="50"/>
      <c r="AK715" s="50"/>
      <c r="AL715" s="50"/>
      <c r="AM715" s="50"/>
      <c r="AN715" s="50"/>
      <c r="AO715" s="9"/>
      <c r="AP715" s="9"/>
    </row>
    <row r="716" spans="1:42" x14ac:dyDescent="0.55000000000000004">
      <c r="A716" t="str">
        <f t="shared" si="11"/>
        <v/>
      </c>
      <c r="C716" s="103"/>
      <c r="D716" s="110"/>
      <c r="E716" s="112"/>
      <c r="F716" s="110"/>
      <c r="G716" s="112"/>
      <c r="H716" s="110"/>
      <c r="I716" s="110"/>
      <c r="J716" s="110"/>
      <c r="K716" s="110"/>
      <c r="L716" s="110"/>
      <c r="M716" s="110"/>
      <c r="N716" s="110"/>
      <c r="O716" s="110"/>
      <c r="P716" s="110"/>
      <c r="Q716" s="110"/>
      <c r="R716" s="110"/>
      <c r="S716" s="110"/>
      <c r="T716" s="110"/>
      <c r="U716" s="49"/>
      <c r="V716" s="49"/>
      <c r="W716" s="49"/>
      <c r="X716" s="49"/>
      <c r="Y716" s="49"/>
      <c r="Z716" s="49"/>
      <c r="AA716" s="49"/>
      <c r="AB716" s="49"/>
      <c r="AC716" s="49"/>
      <c r="AD716" s="113"/>
      <c r="AE716" s="49"/>
      <c r="AF716" s="50"/>
      <c r="AG716" s="50"/>
      <c r="AH716" s="50"/>
      <c r="AI716" s="50"/>
      <c r="AJ716" s="50"/>
      <c r="AK716" s="50"/>
      <c r="AL716" s="50"/>
      <c r="AM716" s="50"/>
      <c r="AN716" s="50"/>
      <c r="AO716" s="9"/>
      <c r="AP716" s="9"/>
    </row>
    <row r="717" spans="1:42" x14ac:dyDescent="0.55000000000000004">
      <c r="A717" t="str">
        <f t="shared" si="11"/>
        <v/>
      </c>
      <c r="C717" s="103"/>
      <c r="D717" s="110"/>
      <c r="E717" s="112"/>
      <c r="F717" s="110"/>
      <c r="G717" s="112"/>
      <c r="H717" s="110"/>
      <c r="I717" s="110"/>
      <c r="J717" s="110"/>
      <c r="K717" s="110"/>
      <c r="L717" s="110"/>
      <c r="M717" s="110"/>
      <c r="N717" s="110"/>
      <c r="O717" s="110"/>
      <c r="P717" s="110"/>
      <c r="Q717" s="110"/>
      <c r="R717" s="110"/>
      <c r="S717" s="110"/>
      <c r="T717" s="110"/>
      <c r="U717" s="49"/>
      <c r="V717" s="49"/>
      <c r="W717" s="49"/>
      <c r="X717" s="49"/>
      <c r="Y717" s="49"/>
      <c r="Z717" s="49"/>
      <c r="AA717" s="49"/>
      <c r="AB717" s="49"/>
      <c r="AC717" s="49"/>
      <c r="AD717" s="113"/>
      <c r="AE717" s="49"/>
      <c r="AF717" s="50"/>
      <c r="AG717" s="50"/>
      <c r="AH717" s="50"/>
      <c r="AI717" s="50"/>
      <c r="AJ717" s="50"/>
      <c r="AK717" s="50"/>
      <c r="AL717" s="50"/>
      <c r="AM717" s="50"/>
      <c r="AN717" s="50"/>
      <c r="AO717" s="9"/>
      <c r="AP717" s="9"/>
    </row>
    <row r="718" spans="1:42" x14ac:dyDescent="0.55000000000000004">
      <c r="A718" t="str">
        <f t="shared" si="11"/>
        <v/>
      </c>
      <c r="C718" s="103"/>
      <c r="D718" s="110"/>
      <c r="E718" s="112"/>
      <c r="F718" s="110"/>
      <c r="G718" s="112"/>
      <c r="H718" s="110"/>
      <c r="I718" s="110"/>
      <c r="J718" s="110"/>
      <c r="K718" s="110"/>
      <c r="L718" s="110"/>
      <c r="M718" s="110"/>
      <c r="N718" s="110"/>
      <c r="O718" s="110"/>
      <c r="P718" s="110"/>
      <c r="Q718" s="110"/>
      <c r="R718" s="110"/>
      <c r="S718" s="110"/>
      <c r="T718" s="110"/>
      <c r="U718" s="49"/>
      <c r="V718" s="49"/>
      <c r="W718" s="49"/>
      <c r="X718" s="49"/>
      <c r="Y718" s="49"/>
      <c r="Z718" s="49"/>
      <c r="AA718" s="49"/>
      <c r="AB718" s="49"/>
      <c r="AC718" s="49"/>
      <c r="AD718" s="113"/>
      <c r="AE718" s="49"/>
      <c r="AF718" s="50"/>
      <c r="AG718" s="50"/>
      <c r="AH718" s="50"/>
      <c r="AI718" s="50"/>
      <c r="AJ718" s="50"/>
      <c r="AK718" s="50"/>
      <c r="AL718" s="50"/>
      <c r="AM718" s="50"/>
      <c r="AN718" s="50"/>
      <c r="AO718" s="9"/>
      <c r="AP718" s="9"/>
    </row>
    <row r="719" spans="1:42" x14ac:dyDescent="0.55000000000000004">
      <c r="A719" t="str">
        <f t="shared" si="11"/>
        <v/>
      </c>
      <c r="C719" s="103"/>
      <c r="D719" s="110"/>
      <c r="E719" s="112"/>
      <c r="F719" s="110"/>
      <c r="G719" s="112"/>
      <c r="H719" s="110"/>
      <c r="I719" s="110"/>
      <c r="J719" s="110"/>
      <c r="K719" s="110"/>
      <c r="L719" s="110"/>
      <c r="M719" s="110"/>
      <c r="N719" s="110"/>
      <c r="O719" s="110"/>
      <c r="P719" s="110"/>
      <c r="Q719" s="110"/>
      <c r="R719" s="110"/>
      <c r="S719" s="110"/>
      <c r="T719" s="110"/>
      <c r="U719" s="49"/>
      <c r="V719" s="49"/>
      <c r="W719" s="49"/>
      <c r="X719" s="49"/>
      <c r="Y719" s="49"/>
      <c r="Z719" s="49"/>
      <c r="AA719" s="49"/>
      <c r="AB719" s="49"/>
      <c r="AC719" s="49"/>
      <c r="AD719" s="113"/>
      <c r="AE719" s="49"/>
      <c r="AF719" s="50"/>
      <c r="AG719" s="50"/>
      <c r="AH719" s="50"/>
      <c r="AI719" s="50"/>
      <c r="AJ719" s="50"/>
      <c r="AK719" s="50"/>
      <c r="AL719" s="50"/>
      <c r="AM719" s="50"/>
      <c r="AN719" s="50"/>
      <c r="AO719" s="9"/>
      <c r="AP719" s="9"/>
    </row>
    <row r="720" spans="1:42" x14ac:dyDescent="0.55000000000000004">
      <c r="A720" t="str">
        <f t="shared" si="11"/>
        <v/>
      </c>
      <c r="C720" s="103"/>
      <c r="D720" s="110"/>
      <c r="E720" s="110"/>
      <c r="F720" s="110"/>
      <c r="G720" s="110"/>
      <c r="H720" s="110"/>
      <c r="I720" s="110"/>
      <c r="J720" s="110"/>
      <c r="K720" s="110"/>
      <c r="L720" s="110"/>
      <c r="M720" s="110"/>
      <c r="N720" s="110"/>
      <c r="O720" s="110"/>
      <c r="P720" s="110"/>
      <c r="Q720" s="110"/>
      <c r="R720" s="110"/>
      <c r="S720" s="110"/>
      <c r="T720" s="110"/>
      <c r="U720" s="49"/>
      <c r="V720" s="49"/>
      <c r="W720" s="49"/>
      <c r="X720" s="49"/>
      <c r="Y720" s="49"/>
      <c r="Z720" s="49"/>
      <c r="AA720" s="49"/>
      <c r="AB720" s="49"/>
      <c r="AC720" s="49"/>
      <c r="AD720" s="113"/>
      <c r="AE720" s="49"/>
      <c r="AF720" s="50"/>
      <c r="AG720" s="50"/>
      <c r="AH720" s="50"/>
      <c r="AI720" s="50"/>
      <c r="AJ720" s="50"/>
      <c r="AK720" s="50"/>
      <c r="AL720" s="50"/>
      <c r="AM720" s="50"/>
      <c r="AN720" s="50"/>
      <c r="AO720" s="9"/>
      <c r="AP720" s="9"/>
    </row>
    <row r="721" spans="1:42" x14ac:dyDescent="0.55000000000000004">
      <c r="A721" t="str">
        <f t="shared" si="11"/>
        <v/>
      </c>
      <c r="C721" s="103"/>
      <c r="D721" s="110"/>
      <c r="E721" s="110"/>
      <c r="F721" s="110"/>
      <c r="G721" s="110"/>
      <c r="H721" s="110"/>
      <c r="I721" s="110"/>
      <c r="J721" s="110"/>
      <c r="K721" s="110"/>
      <c r="L721" s="110"/>
      <c r="M721" s="110"/>
      <c r="N721" s="110"/>
      <c r="O721" s="110"/>
      <c r="P721" s="110"/>
      <c r="Q721" s="110"/>
      <c r="R721" s="110"/>
      <c r="S721" s="110"/>
      <c r="T721" s="110"/>
      <c r="U721" s="49"/>
      <c r="V721" s="49"/>
      <c r="W721" s="49"/>
      <c r="X721" s="49"/>
      <c r="Y721" s="49"/>
      <c r="Z721" s="49"/>
      <c r="AA721" s="49"/>
      <c r="AB721" s="49"/>
      <c r="AC721" s="49"/>
      <c r="AD721" s="113"/>
      <c r="AE721" s="49"/>
      <c r="AF721" s="50"/>
      <c r="AG721" s="50"/>
      <c r="AH721" s="50"/>
      <c r="AI721" s="50"/>
      <c r="AJ721" s="50"/>
      <c r="AK721" s="50"/>
      <c r="AL721" s="50"/>
      <c r="AM721" s="50"/>
      <c r="AN721" s="50"/>
      <c r="AO721" s="9"/>
      <c r="AP721" s="9"/>
    </row>
    <row r="722" spans="1:42" x14ac:dyDescent="0.55000000000000004">
      <c r="A722" t="str">
        <f t="shared" si="11"/>
        <v/>
      </c>
      <c r="C722" s="103"/>
      <c r="D722" s="110"/>
      <c r="E722" s="110"/>
      <c r="F722" s="110"/>
      <c r="G722" s="110"/>
      <c r="H722" s="110"/>
      <c r="I722" s="110"/>
      <c r="J722" s="110"/>
      <c r="K722" s="110"/>
      <c r="L722" s="110"/>
      <c r="M722" s="110"/>
      <c r="N722" s="110"/>
      <c r="O722" s="110"/>
      <c r="P722" s="110"/>
      <c r="Q722" s="110"/>
      <c r="R722" s="110"/>
      <c r="S722" s="110"/>
      <c r="T722" s="110"/>
      <c r="U722" s="49"/>
      <c r="V722" s="49"/>
      <c r="W722" s="49"/>
      <c r="X722" s="49"/>
      <c r="Y722" s="49"/>
      <c r="Z722" s="49"/>
      <c r="AA722" s="49"/>
      <c r="AB722" s="49"/>
      <c r="AC722" s="49"/>
      <c r="AD722" s="113"/>
      <c r="AE722" s="49"/>
      <c r="AF722" s="50"/>
      <c r="AG722" s="50"/>
      <c r="AH722" s="50"/>
      <c r="AI722" s="50"/>
      <c r="AJ722" s="50"/>
      <c r="AK722" s="50"/>
      <c r="AL722" s="50"/>
      <c r="AM722" s="50"/>
      <c r="AN722" s="50"/>
      <c r="AO722" s="9"/>
      <c r="AP722" s="9"/>
    </row>
    <row r="723" spans="1:42" x14ac:dyDescent="0.55000000000000004">
      <c r="A723" t="str">
        <f t="shared" si="11"/>
        <v/>
      </c>
      <c r="C723" s="103"/>
      <c r="D723" s="110"/>
      <c r="E723" s="110"/>
      <c r="F723" s="110"/>
      <c r="G723" s="110"/>
      <c r="H723" s="110"/>
      <c r="I723" s="110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49"/>
      <c r="V723" s="49"/>
      <c r="W723" s="49"/>
      <c r="X723" s="49"/>
      <c r="Y723" s="49"/>
      <c r="Z723" s="49"/>
      <c r="AA723" s="49"/>
      <c r="AB723" s="49"/>
      <c r="AC723" s="49"/>
      <c r="AD723" s="113"/>
      <c r="AE723" s="49"/>
      <c r="AF723" s="50"/>
      <c r="AG723" s="50"/>
      <c r="AH723" s="50"/>
      <c r="AI723" s="50"/>
      <c r="AJ723" s="50"/>
      <c r="AK723" s="50"/>
      <c r="AL723" s="50"/>
      <c r="AM723" s="50"/>
      <c r="AN723" s="50"/>
      <c r="AO723" s="9"/>
      <c r="AP723" s="9"/>
    </row>
    <row r="724" spans="1:42" x14ac:dyDescent="0.55000000000000004">
      <c r="A724" t="str">
        <f t="shared" si="11"/>
        <v/>
      </c>
      <c r="C724" s="103"/>
      <c r="D724" s="110"/>
      <c r="E724" s="110"/>
      <c r="F724" s="110"/>
      <c r="G724" s="110"/>
      <c r="H724" s="110"/>
      <c r="I724" s="110"/>
      <c r="J724" s="110"/>
      <c r="K724" s="110"/>
      <c r="L724" s="110"/>
      <c r="M724" s="110"/>
      <c r="N724" s="110"/>
      <c r="O724" s="110"/>
      <c r="P724" s="110"/>
      <c r="Q724" s="110"/>
      <c r="R724" s="110"/>
      <c r="S724" s="110"/>
      <c r="T724" s="110"/>
      <c r="U724" s="49"/>
      <c r="V724" s="49"/>
      <c r="W724" s="49"/>
      <c r="X724" s="49"/>
      <c r="Y724" s="49"/>
      <c r="Z724" s="49"/>
      <c r="AA724" s="49"/>
      <c r="AB724" s="49"/>
      <c r="AC724" s="49"/>
      <c r="AD724" s="113"/>
      <c r="AE724" s="49"/>
      <c r="AF724" s="50"/>
      <c r="AG724" s="50"/>
      <c r="AH724" s="50"/>
      <c r="AI724" s="50"/>
      <c r="AJ724" s="50"/>
      <c r="AK724" s="50"/>
      <c r="AL724" s="50"/>
      <c r="AM724" s="50"/>
      <c r="AN724" s="50"/>
      <c r="AO724" s="9"/>
      <c r="AP724" s="9"/>
    </row>
    <row r="725" spans="1:42" x14ac:dyDescent="0.55000000000000004">
      <c r="A725" t="str">
        <f t="shared" si="11"/>
        <v/>
      </c>
      <c r="C725" s="103"/>
      <c r="D725" s="110"/>
      <c r="E725" s="110"/>
      <c r="F725" s="110"/>
      <c r="G725" s="110"/>
      <c r="H725" s="110"/>
      <c r="I725" s="110"/>
      <c r="J725" s="110"/>
      <c r="K725" s="110"/>
      <c r="L725" s="110"/>
      <c r="M725" s="110"/>
      <c r="N725" s="110"/>
      <c r="O725" s="110"/>
      <c r="P725" s="110"/>
      <c r="Q725" s="110"/>
      <c r="R725" s="110"/>
      <c r="S725" s="110"/>
      <c r="T725" s="110"/>
      <c r="U725" s="49"/>
      <c r="V725" s="49"/>
      <c r="W725" s="49"/>
      <c r="X725" s="49"/>
      <c r="Y725" s="49"/>
      <c r="Z725" s="49"/>
      <c r="AA725" s="49"/>
      <c r="AB725" s="49"/>
      <c r="AC725" s="49"/>
      <c r="AD725" s="113"/>
      <c r="AE725" s="49"/>
      <c r="AF725" s="50"/>
      <c r="AG725" s="50"/>
      <c r="AH725" s="50"/>
      <c r="AI725" s="50"/>
      <c r="AJ725" s="50"/>
      <c r="AK725" s="50"/>
      <c r="AL725" s="50"/>
      <c r="AM725" s="50"/>
      <c r="AN725" s="50"/>
      <c r="AO725" s="9"/>
      <c r="AP725" s="9"/>
    </row>
    <row r="726" spans="1:42" x14ac:dyDescent="0.55000000000000004">
      <c r="A726" t="str">
        <f t="shared" si="11"/>
        <v/>
      </c>
      <c r="C726" s="103"/>
      <c r="D726" s="110"/>
      <c r="E726" s="110"/>
      <c r="F726" s="110"/>
      <c r="G726" s="110"/>
      <c r="H726" s="110"/>
      <c r="I726" s="110"/>
      <c r="J726" s="110"/>
      <c r="K726" s="110"/>
      <c r="L726" s="110"/>
      <c r="M726" s="110"/>
      <c r="N726" s="110"/>
      <c r="O726" s="110"/>
      <c r="P726" s="110"/>
      <c r="Q726" s="110"/>
      <c r="R726" s="110"/>
      <c r="S726" s="110"/>
      <c r="T726" s="110"/>
      <c r="U726" s="49"/>
      <c r="V726" s="49"/>
      <c r="W726" s="49"/>
      <c r="X726" s="49"/>
      <c r="Y726" s="49"/>
      <c r="Z726" s="49"/>
      <c r="AA726" s="49"/>
      <c r="AB726" s="49"/>
      <c r="AC726" s="49"/>
      <c r="AD726" s="113"/>
      <c r="AE726" s="49"/>
      <c r="AF726" s="50"/>
      <c r="AG726" s="50"/>
      <c r="AH726" s="50"/>
      <c r="AI726" s="50"/>
      <c r="AJ726" s="50"/>
      <c r="AK726" s="50"/>
      <c r="AL726" s="50"/>
      <c r="AM726" s="50"/>
      <c r="AN726" s="50"/>
      <c r="AO726" s="9"/>
      <c r="AP726" s="9"/>
    </row>
    <row r="727" spans="1:42" x14ac:dyDescent="0.55000000000000004">
      <c r="A727" t="str">
        <f t="shared" si="11"/>
        <v/>
      </c>
      <c r="C727" s="103"/>
      <c r="D727" s="110"/>
      <c r="E727" s="110"/>
      <c r="F727" s="110"/>
      <c r="G727" s="110"/>
      <c r="H727" s="110"/>
      <c r="I727" s="110"/>
      <c r="J727" s="110"/>
      <c r="K727" s="110"/>
      <c r="L727" s="110"/>
      <c r="M727" s="110"/>
      <c r="N727" s="110"/>
      <c r="O727" s="110"/>
      <c r="P727" s="110"/>
      <c r="Q727" s="110"/>
      <c r="R727" s="110"/>
      <c r="S727" s="110"/>
      <c r="T727" s="110"/>
      <c r="U727" s="49"/>
      <c r="V727" s="49"/>
      <c r="W727" s="49"/>
      <c r="X727" s="49"/>
      <c r="Y727" s="49"/>
      <c r="Z727" s="49"/>
      <c r="AA727" s="49"/>
      <c r="AB727" s="49"/>
      <c r="AC727" s="49"/>
      <c r="AD727" s="113"/>
      <c r="AE727" s="49"/>
      <c r="AF727" s="50"/>
      <c r="AG727" s="50"/>
      <c r="AH727" s="50"/>
      <c r="AI727" s="50"/>
      <c r="AJ727" s="50"/>
      <c r="AK727" s="50"/>
      <c r="AL727" s="50"/>
      <c r="AM727" s="50"/>
      <c r="AN727" s="50"/>
      <c r="AO727" s="9"/>
      <c r="AP727" s="9"/>
    </row>
    <row r="728" spans="1:42" x14ac:dyDescent="0.55000000000000004">
      <c r="A728" t="str">
        <f t="shared" si="11"/>
        <v/>
      </c>
      <c r="C728" s="103"/>
      <c r="D728" s="110"/>
      <c r="E728" s="110"/>
      <c r="F728" s="110"/>
      <c r="G728" s="110"/>
      <c r="H728" s="110"/>
      <c r="I728" s="110"/>
      <c r="J728" s="110"/>
      <c r="K728" s="110"/>
      <c r="L728" s="110"/>
      <c r="M728" s="110"/>
      <c r="N728" s="110"/>
      <c r="O728" s="110"/>
      <c r="P728" s="110"/>
      <c r="Q728" s="110"/>
      <c r="R728" s="110"/>
      <c r="S728" s="110"/>
      <c r="T728" s="110"/>
      <c r="U728" s="49"/>
      <c r="V728" s="49"/>
      <c r="W728" s="49"/>
      <c r="X728" s="49"/>
      <c r="Y728" s="49"/>
      <c r="Z728" s="49"/>
      <c r="AA728" s="49"/>
      <c r="AB728" s="49"/>
      <c r="AC728" s="49"/>
      <c r="AD728" s="113"/>
      <c r="AE728" s="49"/>
      <c r="AF728" s="50"/>
      <c r="AG728" s="50"/>
      <c r="AH728" s="50"/>
      <c r="AI728" s="50"/>
      <c r="AJ728" s="50"/>
      <c r="AK728" s="50"/>
      <c r="AL728" s="50"/>
      <c r="AM728" s="50"/>
      <c r="AN728" s="50"/>
      <c r="AO728" s="9"/>
      <c r="AP728" s="9"/>
    </row>
    <row r="729" spans="1:42" x14ac:dyDescent="0.55000000000000004">
      <c r="A729" t="str">
        <f t="shared" si="11"/>
        <v/>
      </c>
      <c r="C729" s="103"/>
      <c r="D729" s="110"/>
      <c r="E729" s="110"/>
      <c r="F729" s="110"/>
      <c r="G729" s="110"/>
      <c r="H729" s="110"/>
      <c r="I729" s="110"/>
      <c r="J729" s="110"/>
      <c r="K729" s="110"/>
      <c r="L729" s="110"/>
      <c r="M729" s="110"/>
      <c r="N729" s="110"/>
      <c r="O729" s="110"/>
      <c r="P729" s="110"/>
      <c r="Q729" s="110"/>
      <c r="R729" s="110"/>
      <c r="S729" s="110"/>
      <c r="T729" s="110"/>
      <c r="U729" s="49"/>
      <c r="V729" s="49"/>
      <c r="W729" s="49"/>
      <c r="X729" s="49"/>
      <c r="Y729" s="49"/>
      <c r="Z729" s="49"/>
      <c r="AA729" s="49"/>
      <c r="AB729" s="49"/>
      <c r="AC729" s="49"/>
      <c r="AD729" s="113"/>
      <c r="AE729" s="49"/>
      <c r="AF729" s="50"/>
      <c r="AG729" s="50"/>
      <c r="AH729" s="50"/>
      <c r="AI729" s="50"/>
      <c r="AJ729" s="50"/>
      <c r="AK729" s="50"/>
      <c r="AL729" s="50"/>
      <c r="AM729" s="50"/>
      <c r="AN729" s="50"/>
      <c r="AO729" s="9"/>
      <c r="AP729" s="9"/>
    </row>
    <row r="730" spans="1:42" x14ac:dyDescent="0.55000000000000004">
      <c r="A730" t="str">
        <f t="shared" si="11"/>
        <v/>
      </c>
      <c r="C730" s="103"/>
      <c r="D730" s="110"/>
      <c r="E730" s="110"/>
      <c r="F730" s="110"/>
      <c r="G730" s="110"/>
      <c r="H730" s="110"/>
      <c r="I730" s="110"/>
      <c r="J730" s="110"/>
      <c r="K730" s="110"/>
      <c r="L730" s="110"/>
      <c r="M730" s="110"/>
      <c r="N730" s="110"/>
      <c r="O730" s="110"/>
      <c r="P730" s="110"/>
      <c r="Q730" s="110"/>
      <c r="R730" s="110"/>
      <c r="S730" s="110"/>
      <c r="T730" s="110"/>
      <c r="U730" s="49"/>
      <c r="V730" s="49"/>
      <c r="W730" s="49"/>
      <c r="X730" s="49"/>
      <c r="Y730" s="49"/>
      <c r="Z730" s="49"/>
      <c r="AA730" s="49"/>
      <c r="AB730" s="49"/>
      <c r="AC730" s="49"/>
      <c r="AD730" s="113"/>
      <c r="AE730" s="49"/>
      <c r="AF730" s="50"/>
      <c r="AG730" s="50"/>
      <c r="AH730" s="50"/>
      <c r="AI730" s="50"/>
      <c r="AJ730" s="50"/>
      <c r="AK730" s="50"/>
      <c r="AL730" s="50"/>
      <c r="AM730" s="50"/>
      <c r="AN730" s="50"/>
      <c r="AO730" s="9"/>
      <c r="AP730" s="9"/>
    </row>
    <row r="731" spans="1:42" x14ac:dyDescent="0.55000000000000004">
      <c r="A731" t="str">
        <f t="shared" si="11"/>
        <v/>
      </c>
      <c r="C731" s="103"/>
      <c r="D731" s="110"/>
      <c r="E731" s="110"/>
      <c r="F731" s="110"/>
      <c r="G731" s="110"/>
      <c r="H731" s="110"/>
      <c r="I731" s="110"/>
      <c r="J731" s="110"/>
      <c r="K731" s="110"/>
      <c r="L731" s="110"/>
      <c r="M731" s="110"/>
      <c r="N731" s="110"/>
      <c r="O731" s="110"/>
      <c r="P731" s="110"/>
      <c r="Q731" s="110"/>
      <c r="R731" s="110"/>
      <c r="S731" s="110"/>
      <c r="T731" s="110"/>
      <c r="U731" s="49"/>
      <c r="V731" s="49"/>
      <c r="W731" s="49"/>
      <c r="X731" s="49"/>
      <c r="Y731" s="49"/>
      <c r="Z731" s="49"/>
      <c r="AA731" s="49"/>
      <c r="AB731" s="49"/>
      <c r="AC731" s="49"/>
      <c r="AD731" s="113"/>
      <c r="AE731" s="49"/>
      <c r="AF731" s="50"/>
      <c r="AG731" s="50"/>
      <c r="AH731" s="50"/>
      <c r="AI731" s="50"/>
      <c r="AJ731" s="50"/>
      <c r="AK731" s="50"/>
      <c r="AL731" s="50"/>
      <c r="AM731" s="50"/>
      <c r="AN731" s="50"/>
      <c r="AO731" s="9"/>
      <c r="AP731" s="9"/>
    </row>
    <row r="732" spans="1:42" x14ac:dyDescent="0.55000000000000004">
      <c r="A732" t="str">
        <f t="shared" si="11"/>
        <v/>
      </c>
      <c r="C732" s="103"/>
      <c r="D732" s="110"/>
      <c r="E732" s="110"/>
      <c r="F732" s="110"/>
      <c r="G732" s="110"/>
      <c r="H732" s="110"/>
      <c r="I732" s="110"/>
      <c r="J732" s="110"/>
      <c r="K732" s="110"/>
      <c r="L732" s="110"/>
      <c r="M732" s="110"/>
      <c r="N732" s="110"/>
      <c r="O732" s="110"/>
      <c r="P732" s="110"/>
      <c r="Q732" s="110"/>
      <c r="R732" s="110"/>
      <c r="S732" s="110"/>
      <c r="T732" s="110"/>
      <c r="U732" s="49"/>
      <c r="V732" s="49"/>
      <c r="W732" s="49"/>
      <c r="X732" s="49"/>
      <c r="Y732" s="49"/>
      <c r="Z732" s="49"/>
      <c r="AA732" s="49"/>
      <c r="AB732" s="49"/>
      <c r="AC732" s="49"/>
      <c r="AD732" s="113"/>
      <c r="AE732" s="49"/>
      <c r="AF732" s="50"/>
      <c r="AG732" s="50"/>
      <c r="AH732" s="50"/>
      <c r="AI732" s="50"/>
      <c r="AJ732" s="50"/>
      <c r="AK732" s="50"/>
      <c r="AL732" s="50"/>
      <c r="AM732" s="50"/>
      <c r="AN732" s="50"/>
      <c r="AO732" s="9"/>
      <c r="AP732" s="9"/>
    </row>
    <row r="733" spans="1:42" x14ac:dyDescent="0.55000000000000004">
      <c r="A733" t="str">
        <f t="shared" si="11"/>
        <v/>
      </c>
      <c r="C733" s="103"/>
      <c r="D733" s="110"/>
      <c r="E733" s="110"/>
      <c r="F733" s="110"/>
      <c r="G733" s="110"/>
      <c r="H733" s="110"/>
      <c r="I733" s="110"/>
      <c r="J733" s="110"/>
      <c r="K733" s="110"/>
      <c r="L733" s="110"/>
      <c r="M733" s="110"/>
      <c r="N733" s="110"/>
      <c r="O733" s="110"/>
      <c r="P733" s="110"/>
      <c r="Q733" s="110"/>
      <c r="R733" s="110"/>
      <c r="S733" s="110"/>
      <c r="T733" s="110"/>
      <c r="U733" s="49"/>
      <c r="V733" s="49"/>
      <c r="W733" s="49"/>
      <c r="X733" s="49"/>
      <c r="Y733" s="49"/>
      <c r="Z733" s="49"/>
      <c r="AA733" s="49"/>
      <c r="AB733" s="49"/>
      <c r="AC733" s="49"/>
      <c r="AD733" s="113"/>
      <c r="AE733" s="49"/>
      <c r="AF733" s="50"/>
      <c r="AG733" s="50"/>
      <c r="AH733" s="50"/>
      <c r="AI733" s="50"/>
      <c r="AJ733" s="50"/>
      <c r="AK733" s="50"/>
      <c r="AL733" s="50"/>
      <c r="AM733" s="50"/>
      <c r="AN733" s="50"/>
      <c r="AO733" s="9"/>
      <c r="AP733" s="9"/>
    </row>
    <row r="734" spans="1:42" x14ac:dyDescent="0.55000000000000004">
      <c r="A734" t="str">
        <f t="shared" si="11"/>
        <v/>
      </c>
      <c r="C734" s="103"/>
      <c r="D734" s="110"/>
      <c r="E734" s="110"/>
      <c r="F734" s="110"/>
      <c r="G734" s="110"/>
      <c r="H734" s="110"/>
      <c r="I734" s="110"/>
      <c r="J734" s="110"/>
      <c r="K734" s="110"/>
      <c r="L734" s="110"/>
      <c r="M734" s="110"/>
      <c r="N734" s="110"/>
      <c r="O734" s="110"/>
      <c r="P734" s="110"/>
      <c r="Q734" s="110"/>
      <c r="R734" s="110"/>
      <c r="S734" s="110"/>
      <c r="T734" s="110"/>
      <c r="U734" s="49"/>
      <c r="V734" s="49"/>
      <c r="W734" s="49"/>
      <c r="X734" s="49"/>
      <c r="Y734" s="49"/>
      <c r="Z734" s="49"/>
      <c r="AA734" s="49"/>
      <c r="AB734" s="49"/>
      <c r="AC734" s="49"/>
      <c r="AD734" s="113"/>
      <c r="AE734" s="49"/>
      <c r="AF734" s="50"/>
      <c r="AG734" s="50"/>
      <c r="AH734" s="50"/>
      <c r="AI734" s="50"/>
      <c r="AJ734" s="50"/>
      <c r="AK734" s="50"/>
      <c r="AL734" s="50"/>
      <c r="AM734" s="50"/>
      <c r="AN734" s="50"/>
      <c r="AO734" s="9"/>
      <c r="AP734" s="9"/>
    </row>
    <row r="735" spans="1:42" x14ac:dyDescent="0.55000000000000004">
      <c r="A735" t="str">
        <f t="shared" si="11"/>
        <v/>
      </c>
      <c r="C735" s="103"/>
      <c r="D735" s="110"/>
      <c r="E735" s="110"/>
      <c r="F735" s="110"/>
      <c r="G735" s="110"/>
      <c r="H735" s="110"/>
      <c r="I735" s="110"/>
      <c r="J735" s="110"/>
      <c r="K735" s="110"/>
      <c r="L735" s="110"/>
      <c r="M735" s="110"/>
      <c r="N735" s="110"/>
      <c r="O735" s="110"/>
      <c r="P735" s="110"/>
      <c r="Q735" s="110"/>
      <c r="R735" s="110"/>
      <c r="S735" s="110"/>
      <c r="T735" s="110"/>
      <c r="U735" s="49"/>
      <c r="V735" s="49"/>
      <c r="W735" s="49"/>
      <c r="X735" s="49"/>
      <c r="Y735" s="49"/>
      <c r="Z735" s="49"/>
      <c r="AA735" s="49"/>
      <c r="AB735" s="49"/>
      <c r="AC735" s="49"/>
      <c r="AD735" s="113"/>
      <c r="AE735" s="49"/>
      <c r="AF735" s="50"/>
      <c r="AG735" s="50"/>
      <c r="AH735" s="50"/>
      <c r="AI735" s="50"/>
      <c r="AJ735" s="50"/>
      <c r="AK735" s="50"/>
      <c r="AL735" s="50"/>
      <c r="AM735" s="50"/>
      <c r="AN735" s="50"/>
      <c r="AO735" s="9"/>
      <c r="AP735" s="9"/>
    </row>
    <row r="736" spans="1:42" x14ac:dyDescent="0.55000000000000004">
      <c r="A736" t="str">
        <f t="shared" si="11"/>
        <v/>
      </c>
      <c r="C736" s="103"/>
      <c r="D736" s="110"/>
      <c r="E736" s="110"/>
      <c r="F736" s="110"/>
      <c r="G736" s="110"/>
      <c r="H736" s="110"/>
      <c r="I736" s="110"/>
      <c r="J736" s="110"/>
      <c r="K736" s="110"/>
      <c r="L736" s="110"/>
      <c r="M736" s="110"/>
      <c r="N736" s="110"/>
      <c r="O736" s="110"/>
      <c r="P736" s="110"/>
      <c r="Q736" s="110"/>
      <c r="R736" s="110"/>
      <c r="S736" s="110"/>
      <c r="T736" s="110"/>
      <c r="U736" s="49"/>
      <c r="V736" s="49"/>
      <c r="W736" s="49"/>
      <c r="X736" s="49"/>
      <c r="Y736" s="49"/>
      <c r="Z736" s="49"/>
      <c r="AA736" s="49"/>
      <c r="AB736" s="49"/>
      <c r="AC736" s="49"/>
      <c r="AD736" s="113"/>
      <c r="AE736" s="49"/>
      <c r="AF736" s="50"/>
      <c r="AG736" s="50"/>
      <c r="AH736" s="50"/>
      <c r="AI736" s="50"/>
      <c r="AJ736" s="50"/>
      <c r="AK736" s="50"/>
      <c r="AL736" s="50"/>
      <c r="AM736" s="50"/>
      <c r="AN736" s="50"/>
      <c r="AO736" s="9"/>
      <c r="AP736" s="9"/>
    </row>
    <row r="737" spans="1:42" x14ac:dyDescent="0.55000000000000004">
      <c r="A737" t="str">
        <f t="shared" si="11"/>
        <v/>
      </c>
      <c r="C737" s="103"/>
      <c r="D737" s="110"/>
      <c r="E737" s="110"/>
      <c r="F737" s="110"/>
      <c r="G737" s="110"/>
      <c r="H737" s="110"/>
      <c r="I737" s="110"/>
      <c r="J737" s="110"/>
      <c r="K737" s="110"/>
      <c r="L737" s="110"/>
      <c r="M737" s="110"/>
      <c r="N737" s="110"/>
      <c r="O737" s="110"/>
      <c r="P737" s="110"/>
      <c r="Q737" s="110"/>
      <c r="R737" s="110"/>
      <c r="S737" s="110"/>
      <c r="T737" s="110"/>
      <c r="U737" s="49"/>
      <c r="V737" s="49"/>
      <c r="W737" s="49"/>
      <c r="X737" s="49"/>
      <c r="Y737" s="49"/>
      <c r="Z737" s="49"/>
      <c r="AA737" s="49"/>
      <c r="AB737" s="49"/>
      <c r="AC737" s="49"/>
      <c r="AD737" s="113"/>
      <c r="AE737" s="49"/>
      <c r="AF737" s="50"/>
      <c r="AG737" s="50"/>
      <c r="AH737" s="50"/>
      <c r="AI737" s="50"/>
      <c r="AJ737" s="50"/>
      <c r="AK737" s="50"/>
      <c r="AL737" s="50"/>
      <c r="AM737" s="50"/>
      <c r="AN737" s="50"/>
      <c r="AO737" s="9"/>
      <c r="AP737" s="9"/>
    </row>
    <row r="738" spans="1:42" x14ac:dyDescent="0.55000000000000004">
      <c r="A738" t="str">
        <f t="shared" si="11"/>
        <v/>
      </c>
      <c r="C738" s="103"/>
      <c r="D738" s="110"/>
      <c r="E738" s="110"/>
      <c r="F738" s="110"/>
      <c r="G738" s="110"/>
      <c r="H738" s="110"/>
      <c r="I738" s="110"/>
      <c r="J738" s="110"/>
      <c r="K738" s="110"/>
      <c r="L738" s="110"/>
      <c r="M738" s="110"/>
      <c r="N738" s="110"/>
      <c r="O738" s="110"/>
      <c r="P738" s="110"/>
      <c r="Q738" s="110"/>
      <c r="R738" s="110"/>
      <c r="S738" s="110"/>
      <c r="T738" s="110"/>
      <c r="U738" s="49"/>
      <c r="V738" s="49"/>
      <c r="W738" s="49"/>
      <c r="X738" s="49"/>
      <c r="Y738" s="49"/>
      <c r="Z738" s="49"/>
      <c r="AA738" s="49"/>
      <c r="AB738" s="49"/>
      <c r="AC738" s="49"/>
      <c r="AD738" s="113"/>
      <c r="AE738" s="49"/>
      <c r="AF738" s="50"/>
      <c r="AG738" s="50"/>
      <c r="AH738" s="50"/>
      <c r="AI738" s="50"/>
      <c r="AJ738" s="50"/>
      <c r="AK738" s="50"/>
      <c r="AL738" s="50"/>
      <c r="AM738" s="50"/>
      <c r="AN738" s="50"/>
      <c r="AO738" s="9"/>
      <c r="AP738" s="9"/>
    </row>
    <row r="739" spans="1:42" x14ac:dyDescent="0.55000000000000004">
      <c r="A739" t="str">
        <f t="shared" si="11"/>
        <v/>
      </c>
      <c r="C739" s="103"/>
      <c r="D739" s="110"/>
      <c r="E739" s="110"/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49"/>
      <c r="V739" s="49"/>
      <c r="W739" s="49"/>
      <c r="X739" s="49"/>
      <c r="Y739" s="49"/>
      <c r="Z739" s="49"/>
      <c r="AA739" s="49"/>
      <c r="AB739" s="49"/>
      <c r="AC739" s="49"/>
      <c r="AD739" s="113"/>
      <c r="AE739" s="49"/>
      <c r="AF739" s="50"/>
      <c r="AG739" s="50"/>
      <c r="AH739" s="50"/>
      <c r="AI739" s="50"/>
      <c r="AJ739" s="50"/>
      <c r="AK739" s="50"/>
      <c r="AL739" s="50"/>
      <c r="AM739" s="50"/>
      <c r="AN739" s="50"/>
      <c r="AO739" s="9"/>
      <c r="AP739" s="9"/>
    </row>
    <row r="740" spans="1:42" x14ac:dyDescent="0.55000000000000004">
      <c r="A740" t="str">
        <f t="shared" si="11"/>
        <v/>
      </c>
      <c r="C740" s="103"/>
      <c r="D740" s="110"/>
      <c r="E740" s="110"/>
      <c r="F740" s="110"/>
      <c r="G740" s="110"/>
      <c r="H740" s="110"/>
      <c r="I740" s="110"/>
      <c r="J740" s="110"/>
      <c r="K740" s="110"/>
      <c r="L740" s="110"/>
      <c r="M740" s="110"/>
      <c r="N740" s="110"/>
      <c r="O740" s="110"/>
      <c r="P740" s="110"/>
      <c r="Q740" s="110"/>
      <c r="R740" s="110"/>
      <c r="S740" s="110"/>
      <c r="T740" s="110"/>
      <c r="U740" s="49"/>
      <c r="V740" s="49"/>
      <c r="W740" s="49"/>
      <c r="X740" s="49"/>
      <c r="Y740" s="49"/>
      <c r="Z740" s="49"/>
      <c r="AA740" s="49"/>
      <c r="AB740" s="49"/>
      <c r="AC740" s="49"/>
      <c r="AD740" s="113"/>
      <c r="AE740" s="49"/>
      <c r="AF740" s="50"/>
      <c r="AG740" s="50"/>
      <c r="AH740" s="50"/>
      <c r="AI740" s="50"/>
      <c r="AJ740" s="50"/>
      <c r="AK740" s="50"/>
      <c r="AL740" s="50"/>
      <c r="AM740" s="50"/>
      <c r="AN740" s="50"/>
      <c r="AO740" s="9"/>
      <c r="AP740" s="9"/>
    </row>
    <row r="741" spans="1:42" x14ac:dyDescent="0.55000000000000004">
      <c r="A741" t="str">
        <f t="shared" si="11"/>
        <v/>
      </c>
      <c r="C741" s="103"/>
      <c r="D741" s="110"/>
      <c r="E741" s="110"/>
      <c r="F741" s="110"/>
      <c r="G741" s="110"/>
      <c r="H741" s="110"/>
      <c r="I741" s="110"/>
      <c r="J741" s="110"/>
      <c r="K741" s="110"/>
      <c r="L741" s="110"/>
      <c r="M741" s="110"/>
      <c r="N741" s="110"/>
      <c r="O741" s="110"/>
      <c r="P741" s="110"/>
      <c r="Q741" s="110"/>
      <c r="R741" s="110"/>
      <c r="S741" s="110"/>
      <c r="T741" s="110"/>
      <c r="U741" s="49"/>
      <c r="V741" s="49"/>
      <c r="W741" s="49"/>
      <c r="X741" s="49"/>
      <c r="Y741" s="49"/>
      <c r="Z741" s="49"/>
      <c r="AA741" s="49"/>
      <c r="AB741" s="49"/>
      <c r="AC741" s="49"/>
      <c r="AD741" s="113"/>
      <c r="AE741" s="49"/>
      <c r="AF741" s="50"/>
      <c r="AG741" s="50"/>
      <c r="AH741" s="50"/>
      <c r="AI741" s="50"/>
      <c r="AJ741" s="50"/>
      <c r="AK741" s="50"/>
      <c r="AL741" s="55"/>
      <c r="AM741" s="50"/>
      <c r="AN741" s="50"/>
      <c r="AO741" s="9"/>
      <c r="AP741" s="9"/>
    </row>
    <row r="742" spans="1:42" x14ac:dyDescent="0.55000000000000004">
      <c r="A742" t="str">
        <f t="shared" si="11"/>
        <v/>
      </c>
      <c r="C742" s="103"/>
      <c r="D742" s="110"/>
      <c r="E742" s="110"/>
      <c r="F742" s="110"/>
      <c r="G742" s="110"/>
      <c r="H742" s="110"/>
      <c r="I742" s="110"/>
      <c r="J742" s="110"/>
      <c r="K742" s="110"/>
      <c r="L742" s="110"/>
      <c r="M742" s="110"/>
      <c r="N742" s="110"/>
      <c r="O742" s="110"/>
      <c r="P742" s="110"/>
      <c r="Q742" s="110"/>
      <c r="R742" s="110"/>
      <c r="S742" s="110"/>
      <c r="T742" s="110"/>
      <c r="U742" s="49"/>
      <c r="V742" s="49"/>
      <c r="W742" s="49"/>
      <c r="X742" s="49"/>
      <c r="Y742" s="49"/>
      <c r="Z742" s="49"/>
      <c r="AA742" s="49"/>
      <c r="AB742" s="49"/>
      <c r="AC742" s="49"/>
      <c r="AD742" s="113"/>
      <c r="AE742" s="49"/>
      <c r="AF742" s="50"/>
      <c r="AG742" s="50"/>
      <c r="AH742" s="50"/>
      <c r="AI742" s="50"/>
      <c r="AJ742" s="50"/>
      <c r="AK742" s="50"/>
      <c r="AL742" s="50"/>
      <c r="AM742" s="50"/>
      <c r="AN742" s="50"/>
      <c r="AO742" s="9"/>
      <c r="AP742" s="9"/>
    </row>
    <row r="743" spans="1:42" x14ac:dyDescent="0.55000000000000004">
      <c r="A743" t="str">
        <f t="shared" si="11"/>
        <v/>
      </c>
      <c r="C743" s="103"/>
      <c r="D743" s="110"/>
      <c r="E743" s="110"/>
      <c r="F743" s="110"/>
      <c r="G743" s="110"/>
      <c r="H743" s="110"/>
      <c r="I743" s="110"/>
      <c r="J743" s="110"/>
      <c r="K743" s="110"/>
      <c r="L743" s="110"/>
      <c r="M743" s="110"/>
      <c r="N743" s="110"/>
      <c r="O743" s="110"/>
      <c r="P743" s="110"/>
      <c r="Q743" s="110"/>
      <c r="R743" s="110"/>
      <c r="S743" s="110"/>
      <c r="T743" s="110"/>
      <c r="U743" s="49"/>
      <c r="V743" s="49"/>
      <c r="W743" s="49"/>
      <c r="X743" s="49"/>
      <c r="Y743" s="49"/>
      <c r="Z743" s="49"/>
      <c r="AA743" s="49"/>
      <c r="AB743" s="49"/>
      <c r="AC743" s="49"/>
      <c r="AD743" s="113"/>
      <c r="AE743" s="49"/>
      <c r="AF743" s="50"/>
      <c r="AG743" s="50"/>
      <c r="AH743" s="50"/>
      <c r="AI743" s="50"/>
      <c r="AJ743" s="50"/>
      <c r="AK743" s="50"/>
      <c r="AL743" s="50"/>
      <c r="AM743" s="50"/>
      <c r="AN743" s="50"/>
      <c r="AO743" s="9"/>
      <c r="AP743" s="9"/>
    </row>
    <row r="744" spans="1:42" x14ac:dyDescent="0.55000000000000004">
      <c r="A744" t="str">
        <f t="shared" si="11"/>
        <v/>
      </c>
      <c r="C744" s="103"/>
      <c r="D744" s="110"/>
      <c r="E744" s="110"/>
      <c r="F744" s="110"/>
      <c r="G744" s="110"/>
      <c r="H744" s="110"/>
      <c r="I744" s="110"/>
      <c r="J744" s="110"/>
      <c r="K744" s="110"/>
      <c r="L744" s="110"/>
      <c r="M744" s="110"/>
      <c r="N744" s="110"/>
      <c r="O744" s="110"/>
      <c r="P744" s="110"/>
      <c r="Q744" s="110"/>
      <c r="R744" s="110"/>
      <c r="S744" s="110"/>
      <c r="T744" s="110"/>
      <c r="U744" s="49"/>
      <c r="V744" s="49"/>
      <c r="W744" s="49"/>
      <c r="X744" s="49"/>
      <c r="Y744" s="49"/>
      <c r="Z744" s="49"/>
      <c r="AA744" s="49"/>
      <c r="AB744" s="49"/>
      <c r="AC744" s="49"/>
      <c r="AD744" s="113"/>
      <c r="AE744" s="49"/>
      <c r="AF744" s="50"/>
      <c r="AG744" s="50"/>
      <c r="AH744" s="50"/>
      <c r="AI744" s="50"/>
      <c r="AJ744" s="50"/>
      <c r="AK744" s="50"/>
      <c r="AL744" s="50"/>
      <c r="AM744" s="50"/>
      <c r="AN744" s="50"/>
      <c r="AO744" s="9"/>
      <c r="AP744" s="9"/>
    </row>
    <row r="745" spans="1:42" x14ac:dyDescent="0.55000000000000004">
      <c r="A745" t="str">
        <f t="shared" si="11"/>
        <v/>
      </c>
      <c r="C745" s="103"/>
      <c r="D745" s="110"/>
      <c r="E745" s="110"/>
      <c r="F745" s="110"/>
      <c r="G745" s="110"/>
      <c r="H745" s="110"/>
      <c r="I745" s="110"/>
      <c r="J745" s="110"/>
      <c r="K745" s="110"/>
      <c r="L745" s="110"/>
      <c r="M745" s="110"/>
      <c r="N745" s="110"/>
      <c r="O745" s="110"/>
      <c r="P745" s="110"/>
      <c r="Q745" s="110"/>
      <c r="R745" s="110"/>
      <c r="S745" s="110"/>
      <c r="T745" s="110"/>
      <c r="U745" s="49"/>
      <c r="V745" s="49"/>
      <c r="W745" s="49"/>
      <c r="X745" s="49"/>
      <c r="Y745" s="49"/>
      <c r="Z745" s="49"/>
      <c r="AA745" s="49"/>
      <c r="AB745" s="49"/>
      <c r="AC745" s="49"/>
      <c r="AD745" s="113"/>
      <c r="AE745" s="49"/>
      <c r="AF745" s="50"/>
      <c r="AG745" s="50"/>
      <c r="AH745" s="50"/>
      <c r="AI745" s="50"/>
      <c r="AJ745" s="55"/>
      <c r="AK745" s="50"/>
      <c r="AL745" s="50"/>
      <c r="AM745" s="50"/>
      <c r="AN745" s="50"/>
      <c r="AO745" s="9"/>
      <c r="AP745" s="9"/>
    </row>
    <row r="746" spans="1:42" x14ac:dyDescent="0.55000000000000004">
      <c r="A746" t="str">
        <f t="shared" si="11"/>
        <v/>
      </c>
      <c r="C746" s="103"/>
      <c r="D746" s="110"/>
      <c r="E746" s="112"/>
      <c r="F746" s="110"/>
      <c r="G746" s="112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49"/>
      <c r="V746" s="49"/>
      <c r="W746" s="49"/>
      <c r="X746" s="49"/>
      <c r="Y746" s="49"/>
      <c r="Z746" s="49"/>
      <c r="AA746" s="49"/>
      <c r="AB746" s="49"/>
      <c r="AC746" s="49"/>
      <c r="AD746" s="113"/>
      <c r="AE746" s="49"/>
      <c r="AF746" s="50"/>
      <c r="AG746" s="50"/>
      <c r="AH746" s="50"/>
      <c r="AI746" s="50"/>
      <c r="AJ746" s="55"/>
      <c r="AK746" s="50"/>
      <c r="AL746" s="50"/>
      <c r="AM746" s="50"/>
      <c r="AN746" s="50"/>
      <c r="AO746" s="9"/>
      <c r="AP746" s="9"/>
    </row>
    <row r="747" spans="1:42" x14ac:dyDescent="0.55000000000000004">
      <c r="A747" t="str">
        <f t="shared" si="11"/>
        <v/>
      </c>
      <c r="C747" s="103"/>
      <c r="D747" s="110"/>
      <c r="E747" s="112"/>
      <c r="F747" s="110"/>
      <c r="G747" s="112"/>
      <c r="H747" s="110"/>
      <c r="I747" s="110"/>
      <c r="J747" s="110"/>
      <c r="K747" s="110"/>
      <c r="L747" s="110"/>
      <c r="M747" s="110"/>
      <c r="N747" s="110"/>
      <c r="O747" s="110"/>
      <c r="P747" s="110"/>
      <c r="Q747" s="110"/>
      <c r="R747" s="110"/>
      <c r="S747" s="110"/>
      <c r="T747" s="110"/>
      <c r="U747" s="49"/>
      <c r="V747" s="49"/>
      <c r="W747" s="49"/>
      <c r="X747" s="49"/>
      <c r="Y747" s="49"/>
      <c r="Z747" s="49"/>
      <c r="AA747" s="49"/>
      <c r="AB747" s="49"/>
      <c r="AC747" s="49"/>
      <c r="AD747" s="113"/>
      <c r="AE747" s="49"/>
      <c r="AF747" s="50"/>
      <c r="AG747" s="50"/>
      <c r="AH747" s="50"/>
      <c r="AI747" s="50"/>
      <c r="AJ747" s="50"/>
      <c r="AK747" s="50"/>
      <c r="AL747" s="50"/>
      <c r="AM747" s="50"/>
      <c r="AN747" s="50"/>
      <c r="AO747" s="9"/>
      <c r="AP747" s="9"/>
    </row>
    <row r="748" spans="1:42" x14ac:dyDescent="0.55000000000000004">
      <c r="A748" t="str">
        <f t="shared" si="11"/>
        <v/>
      </c>
      <c r="C748" s="103"/>
      <c r="D748" s="110"/>
      <c r="E748" s="112"/>
      <c r="F748" s="110"/>
      <c r="G748" s="112"/>
      <c r="H748" s="110"/>
      <c r="I748" s="110"/>
      <c r="J748" s="110"/>
      <c r="K748" s="110"/>
      <c r="L748" s="110"/>
      <c r="M748" s="110"/>
      <c r="N748" s="110"/>
      <c r="O748" s="110"/>
      <c r="P748" s="110"/>
      <c r="Q748" s="110"/>
      <c r="R748" s="110"/>
      <c r="S748" s="110"/>
      <c r="T748" s="110"/>
      <c r="U748" s="49"/>
      <c r="V748" s="49"/>
      <c r="W748" s="49"/>
      <c r="X748" s="49"/>
      <c r="Y748" s="49"/>
      <c r="Z748" s="49"/>
      <c r="AA748" s="49"/>
      <c r="AB748" s="49"/>
      <c r="AC748" s="49"/>
      <c r="AD748" s="113"/>
      <c r="AE748" s="49"/>
      <c r="AF748" s="50"/>
      <c r="AG748" s="50"/>
      <c r="AH748" s="50"/>
      <c r="AI748" s="50"/>
      <c r="AJ748" s="50"/>
      <c r="AK748" s="50"/>
      <c r="AL748" s="50"/>
      <c r="AM748" s="50"/>
      <c r="AN748" s="50"/>
      <c r="AO748" s="9"/>
      <c r="AP748" s="9"/>
    </row>
    <row r="749" spans="1:42" x14ac:dyDescent="0.55000000000000004">
      <c r="A749" t="str">
        <f t="shared" si="11"/>
        <v/>
      </c>
      <c r="C749" s="103"/>
      <c r="D749" s="110"/>
      <c r="E749" s="112"/>
      <c r="F749" s="110"/>
      <c r="G749" s="112"/>
      <c r="H749" s="110"/>
      <c r="I749" s="110"/>
      <c r="J749" s="110"/>
      <c r="K749" s="110"/>
      <c r="L749" s="110"/>
      <c r="M749" s="110"/>
      <c r="N749" s="110"/>
      <c r="O749" s="110"/>
      <c r="P749" s="110"/>
      <c r="Q749" s="110"/>
      <c r="R749" s="110"/>
      <c r="S749" s="110"/>
      <c r="T749" s="110"/>
      <c r="U749" s="49"/>
      <c r="V749" s="49"/>
      <c r="W749" s="49"/>
      <c r="X749" s="49"/>
      <c r="Y749" s="49"/>
      <c r="Z749" s="49"/>
      <c r="AA749" s="49"/>
      <c r="AB749" s="49"/>
      <c r="AC749" s="49"/>
      <c r="AD749" s="113"/>
      <c r="AE749" s="49"/>
      <c r="AF749" s="50"/>
      <c r="AG749" s="50"/>
      <c r="AH749" s="50"/>
      <c r="AI749" s="50"/>
      <c r="AJ749" s="50"/>
      <c r="AK749" s="50"/>
      <c r="AL749" s="50"/>
      <c r="AM749" s="50"/>
      <c r="AN749" s="50"/>
      <c r="AO749" s="9"/>
      <c r="AP749" s="9"/>
    </row>
    <row r="750" spans="1:42" x14ac:dyDescent="0.55000000000000004">
      <c r="A750" t="str">
        <f t="shared" si="11"/>
        <v/>
      </c>
      <c r="C750" s="103"/>
      <c r="D750" s="110"/>
      <c r="E750" s="112"/>
      <c r="F750" s="110"/>
      <c r="G750" s="112"/>
      <c r="H750" s="110"/>
      <c r="I750" s="110"/>
      <c r="J750" s="110"/>
      <c r="K750" s="110"/>
      <c r="L750" s="110"/>
      <c r="M750" s="110"/>
      <c r="N750" s="110"/>
      <c r="O750" s="110"/>
      <c r="P750" s="110"/>
      <c r="Q750" s="110"/>
      <c r="R750" s="110"/>
      <c r="S750" s="110"/>
      <c r="T750" s="110"/>
      <c r="U750" s="49"/>
      <c r="V750" s="49"/>
      <c r="W750" s="49"/>
      <c r="X750" s="49"/>
      <c r="Y750" s="49"/>
      <c r="Z750" s="49"/>
      <c r="AA750" s="49"/>
      <c r="AB750" s="49"/>
      <c r="AC750" s="49"/>
      <c r="AD750" s="113"/>
      <c r="AE750" s="49"/>
      <c r="AF750" s="50"/>
      <c r="AG750" s="50"/>
      <c r="AH750" s="50"/>
      <c r="AI750" s="50"/>
      <c r="AJ750" s="55"/>
      <c r="AK750" s="50"/>
      <c r="AL750" s="50"/>
      <c r="AM750" s="50"/>
      <c r="AN750" s="50"/>
      <c r="AO750" s="9"/>
      <c r="AP750" s="9"/>
    </row>
    <row r="751" spans="1:42" x14ac:dyDescent="0.55000000000000004">
      <c r="A751" t="str">
        <f t="shared" si="11"/>
        <v/>
      </c>
      <c r="C751" s="103"/>
      <c r="D751" s="110"/>
      <c r="E751" s="112"/>
      <c r="F751" s="110"/>
      <c r="G751" s="112"/>
      <c r="H751" s="110"/>
      <c r="I751" s="110"/>
      <c r="J751" s="110"/>
      <c r="K751" s="110"/>
      <c r="L751" s="110"/>
      <c r="M751" s="110"/>
      <c r="N751" s="110"/>
      <c r="O751" s="110"/>
      <c r="P751" s="110"/>
      <c r="Q751" s="110"/>
      <c r="R751" s="110"/>
      <c r="S751" s="110"/>
      <c r="T751" s="110"/>
      <c r="U751" s="49"/>
      <c r="V751" s="49"/>
      <c r="W751" s="49"/>
      <c r="X751" s="49"/>
      <c r="Y751" s="49"/>
      <c r="Z751" s="49"/>
      <c r="AA751" s="49"/>
      <c r="AB751" s="49"/>
      <c r="AC751" s="49"/>
      <c r="AD751" s="113"/>
      <c r="AE751" s="49"/>
      <c r="AF751" s="50"/>
      <c r="AG751" s="50"/>
      <c r="AH751" s="50"/>
      <c r="AI751" s="50"/>
      <c r="AJ751" s="55"/>
      <c r="AK751" s="50"/>
      <c r="AL751" s="50"/>
      <c r="AM751" s="50"/>
      <c r="AN751" s="50"/>
      <c r="AO751" s="9"/>
      <c r="AP751" s="9"/>
    </row>
    <row r="752" spans="1:42" x14ac:dyDescent="0.55000000000000004">
      <c r="A752" t="str">
        <f t="shared" si="11"/>
        <v/>
      </c>
      <c r="C752" s="103"/>
      <c r="D752" s="110"/>
      <c r="E752" s="112"/>
      <c r="F752" s="110"/>
      <c r="G752" s="112"/>
      <c r="H752" s="110"/>
      <c r="I752" s="110"/>
      <c r="J752" s="110"/>
      <c r="K752" s="110"/>
      <c r="L752" s="110"/>
      <c r="M752" s="110"/>
      <c r="N752" s="110"/>
      <c r="O752" s="110"/>
      <c r="P752" s="110"/>
      <c r="Q752" s="110"/>
      <c r="R752" s="110"/>
      <c r="S752" s="110"/>
      <c r="T752" s="110"/>
      <c r="U752" s="49"/>
      <c r="V752" s="49"/>
      <c r="W752" s="49"/>
      <c r="X752" s="49"/>
      <c r="Y752" s="49"/>
      <c r="Z752" s="49"/>
      <c r="AA752" s="49"/>
      <c r="AB752" s="49"/>
      <c r="AC752" s="49"/>
      <c r="AD752" s="113"/>
      <c r="AE752" s="49"/>
      <c r="AF752" s="50"/>
      <c r="AG752" s="50"/>
      <c r="AH752" s="50"/>
      <c r="AI752" s="50"/>
      <c r="AJ752" s="55"/>
      <c r="AK752" s="50"/>
      <c r="AL752" s="50"/>
      <c r="AM752" s="50"/>
      <c r="AN752" s="50"/>
      <c r="AO752" s="9"/>
      <c r="AP752" s="9"/>
    </row>
    <row r="753" spans="1:42" x14ac:dyDescent="0.55000000000000004">
      <c r="A753" t="str">
        <f t="shared" si="11"/>
        <v/>
      </c>
      <c r="C753" s="103"/>
      <c r="D753" s="110"/>
      <c r="E753" s="112"/>
      <c r="F753" s="110"/>
      <c r="G753" s="112"/>
      <c r="H753" s="110"/>
      <c r="I753" s="110"/>
      <c r="J753" s="110"/>
      <c r="K753" s="110"/>
      <c r="L753" s="110"/>
      <c r="M753" s="110"/>
      <c r="N753" s="110"/>
      <c r="O753" s="110"/>
      <c r="P753" s="110"/>
      <c r="Q753" s="110"/>
      <c r="R753" s="110"/>
      <c r="S753" s="110"/>
      <c r="T753" s="110"/>
      <c r="U753" s="49"/>
      <c r="V753" s="49"/>
      <c r="W753" s="49"/>
      <c r="X753" s="49"/>
      <c r="Y753" s="49"/>
      <c r="Z753" s="49"/>
      <c r="AA753" s="49"/>
      <c r="AB753" s="49"/>
      <c r="AC753" s="49"/>
      <c r="AD753" s="113"/>
      <c r="AE753" s="49"/>
      <c r="AF753" s="50"/>
      <c r="AG753" s="50"/>
      <c r="AH753" s="50"/>
      <c r="AI753" s="50"/>
      <c r="AJ753" s="50"/>
      <c r="AK753" s="50"/>
      <c r="AL753" s="50"/>
      <c r="AM753" s="50"/>
      <c r="AN753" s="50"/>
      <c r="AO753" s="9"/>
      <c r="AP753" s="9"/>
    </row>
    <row r="754" spans="1:42" x14ac:dyDescent="0.55000000000000004">
      <c r="A754" t="str">
        <f t="shared" si="11"/>
        <v/>
      </c>
      <c r="C754" s="103"/>
      <c r="D754" s="110"/>
      <c r="E754" s="112"/>
      <c r="F754" s="110"/>
      <c r="G754" s="112"/>
      <c r="H754" s="110"/>
      <c r="I754" s="110"/>
      <c r="J754" s="110"/>
      <c r="K754" s="110"/>
      <c r="L754" s="110"/>
      <c r="M754" s="110"/>
      <c r="N754" s="110"/>
      <c r="O754" s="110"/>
      <c r="P754" s="110"/>
      <c r="Q754" s="110"/>
      <c r="R754" s="110"/>
      <c r="S754" s="110"/>
      <c r="T754" s="110"/>
      <c r="U754" s="49"/>
      <c r="V754" s="49"/>
      <c r="W754" s="49"/>
      <c r="X754" s="49"/>
      <c r="Y754" s="49"/>
      <c r="Z754" s="49"/>
      <c r="AA754" s="49"/>
      <c r="AB754" s="49"/>
      <c r="AC754" s="49"/>
      <c r="AD754" s="113"/>
      <c r="AE754" s="49"/>
      <c r="AF754" s="50"/>
      <c r="AG754" s="50"/>
      <c r="AH754" s="50"/>
      <c r="AI754" s="50"/>
      <c r="AJ754" s="50"/>
      <c r="AK754" s="50"/>
      <c r="AL754" s="50"/>
      <c r="AM754" s="50"/>
      <c r="AN754" s="50"/>
      <c r="AO754" s="9"/>
      <c r="AP754" s="9"/>
    </row>
    <row r="755" spans="1:42" x14ac:dyDescent="0.55000000000000004">
      <c r="A755" t="str">
        <f t="shared" si="11"/>
        <v/>
      </c>
      <c r="C755" s="103"/>
      <c r="D755" s="110"/>
      <c r="E755" s="112"/>
      <c r="F755" s="110"/>
      <c r="G755" s="112"/>
      <c r="H755" s="110"/>
      <c r="I755" s="110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49"/>
      <c r="V755" s="49"/>
      <c r="W755" s="49"/>
      <c r="X755" s="49"/>
      <c r="Y755" s="49"/>
      <c r="Z755" s="49"/>
      <c r="AA755" s="49"/>
      <c r="AB755" s="49"/>
      <c r="AC755" s="49"/>
      <c r="AD755" s="113"/>
      <c r="AE755" s="49"/>
      <c r="AF755" s="50"/>
      <c r="AG755" s="50"/>
      <c r="AH755" s="50"/>
      <c r="AI755" s="50"/>
      <c r="AJ755" s="50"/>
      <c r="AK755" s="50"/>
      <c r="AL755" s="50"/>
      <c r="AM755" s="50"/>
      <c r="AN755" s="50"/>
      <c r="AO755" s="9"/>
      <c r="AP755" s="9"/>
    </row>
    <row r="756" spans="1:42" x14ac:dyDescent="0.55000000000000004">
      <c r="A756" t="str">
        <f t="shared" si="11"/>
        <v/>
      </c>
      <c r="C756" s="103"/>
      <c r="D756" s="110"/>
      <c r="E756" s="112"/>
      <c r="F756" s="110"/>
      <c r="G756" s="112"/>
      <c r="H756" s="110"/>
      <c r="I756" s="110"/>
      <c r="J756" s="110"/>
      <c r="K756" s="110"/>
      <c r="L756" s="110"/>
      <c r="M756" s="110"/>
      <c r="N756" s="110"/>
      <c r="O756" s="110"/>
      <c r="P756" s="110"/>
      <c r="Q756" s="110"/>
      <c r="R756" s="110"/>
      <c r="S756" s="110"/>
      <c r="T756" s="110"/>
      <c r="U756" s="49"/>
      <c r="V756" s="49"/>
      <c r="W756" s="49"/>
      <c r="X756" s="49"/>
      <c r="Y756" s="49"/>
      <c r="Z756" s="49"/>
      <c r="AA756" s="49"/>
      <c r="AB756" s="49"/>
      <c r="AC756" s="49"/>
      <c r="AD756" s="113"/>
      <c r="AE756" s="49"/>
      <c r="AF756" s="50"/>
      <c r="AG756" s="50"/>
      <c r="AH756" s="50"/>
      <c r="AI756" s="50"/>
      <c r="AJ756" s="55"/>
      <c r="AK756" s="50"/>
      <c r="AL756" s="50"/>
      <c r="AM756" s="50"/>
      <c r="AN756" s="50"/>
      <c r="AO756" s="9"/>
      <c r="AP756" s="9"/>
    </row>
    <row r="757" spans="1:42" x14ac:dyDescent="0.55000000000000004">
      <c r="A757" t="str">
        <f t="shared" si="11"/>
        <v/>
      </c>
      <c r="C757" s="103"/>
      <c r="D757" s="110"/>
      <c r="E757" s="112"/>
      <c r="F757" s="110"/>
      <c r="G757" s="112"/>
      <c r="H757" s="110"/>
      <c r="I757" s="110"/>
      <c r="J757" s="110"/>
      <c r="K757" s="110"/>
      <c r="L757" s="110"/>
      <c r="M757" s="110"/>
      <c r="N757" s="110"/>
      <c r="O757" s="110"/>
      <c r="P757" s="110"/>
      <c r="Q757" s="110"/>
      <c r="R757" s="110"/>
      <c r="S757" s="110"/>
      <c r="T757" s="110"/>
      <c r="U757" s="49"/>
      <c r="V757" s="49"/>
      <c r="W757" s="49"/>
      <c r="X757" s="49"/>
      <c r="Y757" s="49"/>
      <c r="Z757" s="49"/>
      <c r="AA757" s="49"/>
      <c r="AB757" s="49"/>
      <c r="AC757" s="49"/>
      <c r="AD757" s="113"/>
      <c r="AE757" s="49"/>
      <c r="AF757" s="50"/>
      <c r="AG757" s="50"/>
      <c r="AH757" s="50"/>
      <c r="AI757" s="50"/>
      <c r="AJ757" s="55"/>
      <c r="AK757" s="50"/>
      <c r="AL757" s="50"/>
      <c r="AM757" s="50"/>
      <c r="AN757" s="50"/>
      <c r="AO757" s="9"/>
      <c r="AP757" s="9"/>
    </row>
    <row r="758" spans="1:42" x14ac:dyDescent="0.55000000000000004">
      <c r="A758" t="str">
        <f t="shared" si="11"/>
        <v/>
      </c>
      <c r="C758" s="103"/>
      <c r="D758" s="110"/>
      <c r="E758" s="112"/>
      <c r="F758" s="110"/>
      <c r="G758" s="112"/>
      <c r="H758" s="110"/>
      <c r="I758" s="110"/>
      <c r="J758" s="110"/>
      <c r="K758" s="110"/>
      <c r="L758" s="110"/>
      <c r="M758" s="110"/>
      <c r="N758" s="110"/>
      <c r="O758" s="110"/>
      <c r="P758" s="110"/>
      <c r="Q758" s="110"/>
      <c r="R758" s="110"/>
      <c r="S758" s="110"/>
      <c r="T758" s="110"/>
      <c r="U758" s="49"/>
      <c r="V758" s="49"/>
      <c r="W758" s="49"/>
      <c r="X758" s="49"/>
      <c r="Y758" s="49"/>
      <c r="Z758" s="49"/>
      <c r="AA758" s="49"/>
      <c r="AB758" s="49"/>
      <c r="AC758" s="49"/>
      <c r="AD758" s="113"/>
      <c r="AE758" s="49"/>
      <c r="AF758" s="50"/>
      <c r="AG758" s="50"/>
      <c r="AH758" s="50"/>
      <c r="AI758" s="50"/>
      <c r="AJ758" s="55"/>
      <c r="AK758" s="50"/>
      <c r="AL758" s="50"/>
      <c r="AM758" s="50"/>
      <c r="AN758" s="50"/>
      <c r="AO758" s="9"/>
      <c r="AP758" s="9"/>
    </row>
    <row r="759" spans="1:42" x14ac:dyDescent="0.55000000000000004">
      <c r="A759" t="str">
        <f t="shared" si="11"/>
        <v/>
      </c>
      <c r="C759" s="103"/>
      <c r="D759" s="110"/>
      <c r="E759" s="112"/>
      <c r="F759" s="110"/>
      <c r="G759" s="112"/>
      <c r="H759" s="110"/>
      <c r="I759" s="110"/>
      <c r="J759" s="110"/>
      <c r="K759" s="110"/>
      <c r="L759" s="110"/>
      <c r="M759" s="110"/>
      <c r="N759" s="110"/>
      <c r="O759" s="110"/>
      <c r="P759" s="110"/>
      <c r="Q759" s="110"/>
      <c r="R759" s="110"/>
      <c r="S759" s="110"/>
      <c r="T759" s="110"/>
      <c r="U759" s="49"/>
      <c r="V759" s="49"/>
      <c r="W759" s="49"/>
      <c r="X759" s="49"/>
      <c r="Y759" s="49"/>
      <c r="Z759" s="49"/>
      <c r="AA759" s="49"/>
      <c r="AB759" s="49"/>
      <c r="AC759" s="49"/>
      <c r="AD759" s="113"/>
      <c r="AE759" s="49"/>
      <c r="AF759" s="50"/>
      <c r="AG759" s="50"/>
      <c r="AH759" s="50"/>
      <c r="AI759" s="50"/>
      <c r="AJ759" s="55"/>
      <c r="AK759" s="50"/>
      <c r="AL759" s="50"/>
      <c r="AM759" s="50"/>
      <c r="AN759" s="50"/>
      <c r="AO759" s="9"/>
      <c r="AP759" s="9"/>
    </row>
    <row r="760" spans="1:42" x14ac:dyDescent="0.55000000000000004">
      <c r="A760" t="str">
        <f t="shared" si="11"/>
        <v/>
      </c>
      <c r="C760" s="103"/>
      <c r="D760" s="110"/>
      <c r="E760" s="112"/>
      <c r="F760" s="110"/>
      <c r="G760" s="112"/>
      <c r="H760" s="110"/>
      <c r="I760" s="110"/>
      <c r="J760" s="110"/>
      <c r="K760" s="110"/>
      <c r="L760" s="110"/>
      <c r="M760" s="110"/>
      <c r="N760" s="110"/>
      <c r="O760" s="110"/>
      <c r="P760" s="110"/>
      <c r="Q760" s="110"/>
      <c r="R760" s="110"/>
      <c r="S760" s="110"/>
      <c r="T760" s="110"/>
      <c r="U760" s="49"/>
      <c r="V760" s="49"/>
      <c r="W760" s="49"/>
      <c r="X760" s="49"/>
      <c r="Y760" s="49"/>
      <c r="Z760" s="49"/>
      <c r="AA760" s="49"/>
      <c r="AB760" s="49"/>
      <c r="AC760" s="49"/>
      <c r="AD760" s="113"/>
      <c r="AE760" s="49"/>
      <c r="AF760" s="50"/>
      <c r="AG760" s="50"/>
      <c r="AH760" s="50"/>
      <c r="AI760" s="50"/>
      <c r="AJ760" s="55"/>
      <c r="AK760" s="50"/>
      <c r="AL760" s="50"/>
      <c r="AM760" s="50"/>
      <c r="AN760" s="50"/>
      <c r="AO760" s="9"/>
      <c r="AP760" s="9"/>
    </row>
    <row r="761" spans="1:42" x14ac:dyDescent="0.55000000000000004">
      <c r="A761" t="str">
        <f t="shared" si="11"/>
        <v/>
      </c>
      <c r="C761" s="103"/>
      <c r="D761" s="110"/>
      <c r="E761" s="112"/>
      <c r="F761" s="110"/>
      <c r="G761" s="112"/>
      <c r="H761" s="110"/>
      <c r="I761" s="110"/>
      <c r="J761" s="110"/>
      <c r="K761" s="110"/>
      <c r="L761" s="110"/>
      <c r="M761" s="110"/>
      <c r="N761" s="110"/>
      <c r="O761" s="110"/>
      <c r="P761" s="110"/>
      <c r="Q761" s="110"/>
      <c r="R761" s="110"/>
      <c r="S761" s="110"/>
      <c r="T761" s="110"/>
      <c r="U761" s="49"/>
      <c r="V761" s="49"/>
      <c r="W761" s="49"/>
      <c r="X761" s="49"/>
      <c r="Y761" s="49"/>
      <c r="Z761" s="49"/>
      <c r="AA761" s="49"/>
      <c r="AB761" s="49"/>
      <c r="AC761" s="49"/>
      <c r="AD761" s="113"/>
      <c r="AE761" s="49"/>
      <c r="AF761" s="50"/>
      <c r="AG761" s="50"/>
      <c r="AH761" s="50"/>
      <c r="AI761" s="50"/>
      <c r="AJ761" s="55"/>
      <c r="AK761" s="50"/>
      <c r="AL761" s="50"/>
      <c r="AM761" s="50"/>
      <c r="AN761" s="50"/>
      <c r="AO761" s="9"/>
      <c r="AP761" s="9"/>
    </row>
    <row r="762" spans="1:42" x14ac:dyDescent="0.55000000000000004">
      <c r="A762" t="str">
        <f t="shared" si="11"/>
        <v/>
      </c>
      <c r="C762" s="103"/>
      <c r="D762" s="110"/>
      <c r="E762" s="112"/>
      <c r="F762" s="110"/>
      <c r="G762" s="112"/>
      <c r="H762" s="110"/>
      <c r="I762" s="110"/>
      <c r="J762" s="110"/>
      <c r="K762" s="110"/>
      <c r="L762" s="110"/>
      <c r="M762" s="110"/>
      <c r="N762" s="110"/>
      <c r="O762" s="110"/>
      <c r="P762" s="110"/>
      <c r="Q762" s="110"/>
      <c r="R762" s="110"/>
      <c r="S762" s="110"/>
      <c r="T762" s="110"/>
      <c r="U762" s="49"/>
      <c r="V762" s="49"/>
      <c r="W762" s="49"/>
      <c r="X762" s="49"/>
      <c r="Y762" s="49"/>
      <c r="Z762" s="49"/>
      <c r="AA762" s="49"/>
      <c r="AB762" s="49"/>
      <c r="AC762" s="49"/>
      <c r="AD762" s="113"/>
      <c r="AE762" s="49"/>
      <c r="AF762" s="50"/>
      <c r="AG762" s="50"/>
      <c r="AH762" s="50"/>
      <c r="AI762" s="50"/>
      <c r="AJ762" s="55"/>
      <c r="AK762" s="50"/>
      <c r="AL762" s="50"/>
      <c r="AM762" s="50"/>
      <c r="AN762" s="50"/>
      <c r="AO762" s="9"/>
      <c r="AP762" s="9"/>
    </row>
    <row r="763" spans="1:42" x14ac:dyDescent="0.55000000000000004">
      <c r="A763" t="str">
        <f t="shared" si="11"/>
        <v/>
      </c>
      <c r="C763" s="103"/>
      <c r="D763" s="110"/>
      <c r="E763" s="112"/>
      <c r="F763" s="110"/>
      <c r="G763" s="112"/>
      <c r="H763" s="110"/>
      <c r="I763" s="110"/>
      <c r="J763" s="110"/>
      <c r="K763" s="110"/>
      <c r="L763" s="110"/>
      <c r="M763" s="110"/>
      <c r="N763" s="110"/>
      <c r="O763" s="110"/>
      <c r="P763" s="110"/>
      <c r="Q763" s="110"/>
      <c r="R763" s="110"/>
      <c r="S763" s="110"/>
      <c r="T763" s="110"/>
      <c r="U763" s="49"/>
      <c r="V763" s="49"/>
      <c r="W763" s="49"/>
      <c r="X763" s="49"/>
      <c r="Y763" s="49"/>
      <c r="Z763" s="49"/>
      <c r="AA763" s="49"/>
      <c r="AB763" s="49"/>
      <c r="AC763" s="49"/>
      <c r="AD763" s="113"/>
      <c r="AE763" s="49"/>
      <c r="AF763" s="50"/>
      <c r="AG763" s="50"/>
      <c r="AH763" s="50"/>
      <c r="AI763" s="50"/>
      <c r="AJ763" s="55"/>
      <c r="AK763" s="50"/>
      <c r="AL763" s="50"/>
      <c r="AM763" s="50"/>
      <c r="AN763" s="50"/>
      <c r="AO763" s="9"/>
      <c r="AP763" s="9"/>
    </row>
    <row r="764" spans="1:42" x14ac:dyDescent="0.55000000000000004">
      <c r="A764" t="str">
        <f t="shared" si="11"/>
        <v/>
      </c>
      <c r="C764" s="103"/>
      <c r="D764" s="110"/>
      <c r="E764" s="112"/>
      <c r="F764" s="110"/>
      <c r="G764" s="112"/>
      <c r="H764" s="110"/>
      <c r="I764" s="110"/>
      <c r="J764" s="110"/>
      <c r="K764" s="110"/>
      <c r="L764" s="110"/>
      <c r="M764" s="110"/>
      <c r="N764" s="110"/>
      <c r="O764" s="110"/>
      <c r="P764" s="110"/>
      <c r="Q764" s="110"/>
      <c r="R764" s="110"/>
      <c r="S764" s="110"/>
      <c r="T764" s="110"/>
      <c r="U764" s="49"/>
      <c r="V764" s="49"/>
      <c r="W764" s="49"/>
      <c r="X764" s="49"/>
      <c r="Y764" s="49"/>
      <c r="Z764" s="49"/>
      <c r="AA764" s="49"/>
      <c r="AB764" s="49"/>
      <c r="AC764" s="49"/>
      <c r="AD764" s="113"/>
      <c r="AE764" s="49"/>
      <c r="AF764" s="50"/>
      <c r="AG764" s="50"/>
      <c r="AH764" s="50"/>
      <c r="AI764" s="50"/>
      <c r="AJ764" s="55"/>
      <c r="AK764" s="50"/>
      <c r="AL764" s="50"/>
      <c r="AM764" s="50"/>
      <c r="AN764" s="50"/>
      <c r="AO764" s="9"/>
      <c r="AP764" s="9"/>
    </row>
    <row r="765" spans="1:42" x14ac:dyDescent="0.55000000000000004">
      <c r="A765" t="str">
        <f t="shared" si="11"/>
        <v/>
      </c>
      <c r="C765" s="103"/>
      <c r="D765" s="110"/>
      <c r="E765" s="112"/>
      <c r="F765" s="110"/>
      <c r="G765" s="112"/>
      <c r="H765" s="110"/>
      <c r="I765" s="110"/>
      <c r="J765" s="110"/>
      <c r="K765" s="110"/>
      <c r="L765" s="110"/>
      <c r="M765" s="110"/>
      <c r="N765" s="110"/>
      <c r="O765" s="110"/>
      <c r="P765" s="110"/>
      <c r="Q765" s="110"/>
      <c r="R765" s="110"/>
      <c r="S765" s="110"/>
      <c r="T765" s="110"/>
      <c r="U765" s="49"/>
      <c r="V765" s="49"/>
      <c r="W765" s="49"/>
      <c r="X765" s="49"/>
      <c r="Y765" s="49"/>
      <c r="Z765" s="49"/>
      <c r="AA765" s="49"/>
      <c r="AB765" s="49"/>
      <c r="AC765" s="49"/>
      <c r="AD765" s="113"/>
      <c r="AE765" s="49"/>
      <c r="AF765" s="50"/>
      <c r="AG765" s="50"/>
      <c r="AH765" s="50"/>
      <c r="AI765" s="50"/>
      <c r="AJ765" s="55"/>
      <c r="AK765" s="50"/>
      <c r="AL765" s="50"/>
      <c r="AM765" s="50"/>
      <c r="AN765" s="50"/>
      <c r="AO765" s="9"/>
      <c r="AP765" s="9"/>
    </row>
    <row r="766" spans="1:42" x14ac:dyDescent="0.55000000000000004">
      <c r="A766" t="str">
        <f t="shared" si="11"/>
        <v/>
      </c>
      <c r="C766" s="103"/>
      <c r="D766" s="110"/>
      <c r="E766" s="112"/>
      <c r="F766" s="110"/>
      <c r="G766" s="112"/>
      <c r="H766" s="110"/>
      <c r="I766" s="110"/>
      <c r="J766" s="110"/>
      <c r="K766" s="110"/>
      <c r="L766" s="110"/>
      <c r="M766" s="110"/>
      <c r="N766" s="110"/>
      <c r="O766" s="110"/>
      <c r="P766" s="110"/>
      <c r="Q766" s="110"/>
      <c r="R766" s="110"/>
      <c r="S766" s="110"/>
      <c r="T766" s="110"/>
      <c r="U766" s="49"/>
      <c r="V766" s="49"/>
      <c r="W766" s="49"/>
      <c r="X766" s="49"/>
      <c r="Y766" s="49"/>
      <c r="Z766" s="49"/>
      <c r="AA766" s="49"/>
      <c r="AB766" s="49"/>
      <c r="AC766" s="49"/>
      <c r="AD766" s="113"/>
      <c r="AE766" s="49"/>
      <c r="AF766" s="50"/>
      <c r="AG766" s="50"/>
      <c r="AH766" s="50"/>
      <c r="AI766" s="50"/>
      <c r="AJ766" s="55"/>
      <c r="AK766" s="50"/>
      <c r="AL766" s="50"/>
      <c r="AM766" s="50"/>
      <c r="AN766" s="50"/>
      <c r="AO766" s="9"/>
      <c r="AP766" s="9"/>
    </row>
    <row r="767" spans="1:42" x14ac:dyDescent="0.55000000000000004">
      <c r="A767" t="str">
        <f t="shared" si="11"/>
        <v/>
      </c>
      <c r="C767" s="103"/>
      <c r="D767" s="110"/>
      <c r="E767" s="112"/>
      <c r="F767" s="110"/>
      <c r="G767" s="112"/>
      <c r="H767" s="110"/>
      <c r="I767" s="110"/>
      <c r="J767" s="110"/>
      <c r="K767" s="110"/>
      <c r="L767" s="110"/>
      <c r="M767" s="110"/>
      <c r="N767" s="110"/>
      <c r="O767" s="110"/>
      <c r="P767" s="110"/>
      <c r="Q767" s="110"/>
      <c r="R767" s="110"/>
      <c r="S767" s="110"/>
      <c r="T767" s="110"/>
      <c r="U767" s="49"/>
      <c r="V767" s="49"/>
      <c r="W767" s="49"/>
      <c r="X767" s="49"/>
      <c r="Y767" s="49"/>
      <c r="Z767" s="49"/>
      <c r="AA767" s="49"/>
      <c r="AB767" s="49"/>
      <c r="AC767" s="49"/>
      <c r="AD767" s="113"/>
      <c r="AE767" s="49"/>
      <c r="AF767" s="50"/>
      <c r="AG767" s="50"/>
      <c r="AH767" s="50"/>
      <c r="AI767" s="50"/>
      <c r="AJ767" s="55"/>
      <c r="AK767" s="50"/>
      <c r="AL767" s="50"/>
      <c r="AM767" s="50"/>
      <c r="AN767" s="50"/>
      <c r="AO767" s="9"/>
      <c r="AP767" s="9"/>
    </row>
    <row r="768" spans="1:42" x14ac:dyDescent="0.55000000000000004">
      <c r="A768" t="str">
        <f t="shared" si="11"/>
        <v/>
      </c>
      <c r="C768" s="103"/>
      <c r="D768" s="110"/>
      <c r="E768" s="112"/>
      <c r="F768" s="110"/>
      <c r="G768" s="112"/>
      <c r="H768" s="110"/>
      <c r="I768" s="110"/>
      <c r="J768" s="110"/>
      <c r="K768" s="110"/>
      <c r="L768" s="110"/>
      <c r="M768" s="110"/>
      <c r="N768" s="110"/>
      <c r="O768" s="110"/>
      <c r="P768" s="110"/>
      <c r="Q768" s="110"/>
      <c r="R768" s="110"/>
      <c r="S768" s="110"/>
      <c r="T768" s="110"/>
      <c r="U768" s="49"/>
      <c r="V768" s="49"/>
      <c r="W768" s="49"/>
      <c r="X768" s="49"/>
      <c r="Y768" s="49"/>
      <c r="Z768" s="49"/>
      <c r="AA768" s="49"/>
      <c r="AB768" s="49"/>
      <c r="AC768" s="49"/>
      <c r="AD768" s="113"/>
      <c r="AE768" s="49"/>
      <c r="AF768" s="50"/>
      <c r="AG768" s="50"/>
      <c r="AH768" s="50"/>
      <c r="AI768" s="50"/>
      <c r="AJ768" s="55"/>
      <c r="AK768" s="50"/>
      <c r="AL768" s="50"/>
      <c r="AM768" s="50"/>
      <c r="AN768" s="50"/>
      <c r="AO768" s="9"/>
      <c r="AP768" s="9"/>
    </row>
    <row r="769" spans="1:42" x14ac:dyDescent="0.55000000000000004">
      <c r="A769" t="str">
        <f t="shared" si="11"/>
        <v/>
      </c>
      <c r="C769" s="103"/>
      <c r="D769" s="110"/>
      <c r="E769" s="110"/>
      <c r="F769" s="110"/>
      <c r="G769" s="110"/>
      <c r="H769" s="110"/>
      <c r="I769" s="110"/>
      <c r="J769" s="110"/>
      <c r="K769" s="110"/>
      <c r="L769" s="110"/>
      <c r="M769" s="110"/>
      <c r="N769" s="110"/>
      <c r="O769" s="110"/>
      <c r="P769" s="110"/>
      <c r="Q769" s="110"/>
      <c r="R769" s="110"/>
      <c r="S769" s="110"/>
      <c r="T769" s="110"/>
      <c r="U769" s="49"/>
      <c r="V769" s="49"/>
      <c r="W769" s="49"/>
      <c r="X769" s="49"/>
      <c r="Y769" s="49"/>
      <c r="Z769" s="49"/>
      <c r="AA769" s="49"/>
      <c r="AB769" s="49"/>
      <c r="AC769" s="49"/>
      <c r="AD769" s="113"/>
      <c r="AE769" s="49"/>
      <c r="AF769" s="50"/>
      <c r="AG769" s="50"/>
      <c r="AH769" s="50"/>
      <c r="AI769" s="50"/>
      <c r="AJ769" s="55"/>
      <c r="AK769" s="50"/>
      <c r="AL769" s="50"/>
      <c r="AM769" s="50"/>
      <c r="AN769" s="50"/>
      <c r="AO769" s="9"/>
      <c r="AP769" s="9"/>
    </row>
    <row r="770" spans="1:42" x14ac:dyDescent="0.55000000000000004">
      <c r="A770" t="str">
        <f t="shared" si="11"/>
        <v/>
      </c>
      <c r="C770" s="103"/>
      <c r="D770" s="110"/>
      <c r="E770" s="110"/>
      <c r="F770" s="110"/>
      <c r="G770" s="110"/>
      <c r="H770" s="110"/>
      <c r="I770" s="110"/>
      <c r="J770" s="110"/>
      <c r="K770" s="110"/>
      <c r="L770" s="110"/>
      <c r="M770" s="110"/>
      <c r="N770" s="110"/>
      <c r="O770" s="110"/>
      <c r="P770" s="110"/>
      <c r="Q770" s="110"/>
      <c r="R770" s="110"/>
      <c r="S770" s="110"/>
      <c r="T770" s="110"/>
      <c r="U770" s="49"/>
      <c r="V770" s="49"/>
      <c r="W770" s="49"/>
      <c r="X770" s="49"/>
      <c r="Y770" s="49"/>
      <c r="Z770" s="49"/>
      <c r="AA770" s="49"/>
      <c r="AB770" s="49"/>
      <c r="AC770" s="49"/>
      <c r="AD770" s="113"/>
      <c r="AE770" s="49"/>
      <c r="AF770" s="50"/>
      <c r="AG770" s="50"/>
      <c r="AH770" s="50"/>
      <c r="AI770" s="50"/>
      <c r="AJ770" s="55"/>
      <c r="AK770" s="50"/>
      <c r="AL770" s="50"/>
      <c r="AM770" s="50"/>
      <c r="AN770" s="50"/>
      <c r="AO770" s="9"/>
      <c r="AP770" s="9"/>
    </row>
    <row r="771" spans="1:42" x14ac:dyDescent="0.55000000000000004">
      <c r="A771" t="str">
        <f t="shared" ref="A771:A834" si="12">H771&amp;I771&amp;J771</f>
        <v/>
      </c>
      <c r="C771" s="103"/>
      <c r="D771" s="110"/>
      <c r="E771" s="110"/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49"/>
      <c r="V771" s="49"/>
      <c r="W771" s="49"/>
      <c r="X771" s="49"/>
      <c r="Y771" s="49"/>
      <c r="Z771" s="49"/>
      <c r="AA771" s="49"/>
      <c r="AB771" s="49"/>
      <c r="AC771" s="49"/>
      <c r="AD771" s="113"/>
      <c r="AE771" s="49"/>
      <c r="AF771" s="50"/>
      <c r="AG771" s="50"/>
      <c r="AH771" s="50"/>
      <c r="AI771" s="50"/>
      <c r="AJ771" s="55"/>
      <c r="AK771" s="50"/>
      <c r="AL771" s="50"/>
      <c r="AM771" s="50"/>
      <c r="AN771" s="50"/>
      <c r="AO771" s="9"/>
      <c r="AP771" s="9"/>
    </row>
    <row r="772" spans="1:42" x14ac:dyDescent="0.55000000000000004">
      <c r="A772" t="str">
        <f t="shared" si="12"/>
        <v/>
      </c>
      <c r="C772" s="103"/>
      <c r="D772" s="110"/>
      <c r="E772" s="110"/>
      <c r="F772" s="110"/>
      <c r="G772" s="110"/>
      <c r="H772" s="110"/>
      <c r="I772" s="110"/>
      <c r="J772" s="110"/>
      <c r="K772" s="110"/>
      <c r="L772" s="110"/>
      <c r="M772" s="110"/>
      <c r="N772" s="110"/>
      <c r="O772" s="110"/>
      <c r="P772" s="110"/>
      <c r="Q772" s="110"/>
      <c r="R772" s="110"/>
      <c r="S772" s="110"/>
      <c r="T772" s="110"/>
      <c r="U772" s="49"/>
      <c r="V772" s="49"/>
      <c r="W772" s="49"/>
      <c r="X772" s="49"/>
      <c r="Y772" s="49"/>
      <c r="Z772" s="49"/>
      <c r="AA772" s="49"/>
      <c r="AB772" s="49"/>
      <c r="AC772" s="49"/>
      <c r="AD772" s="113"/>
      <c r="AE772" s="49"/>
      <c r="AF772" s="50"/>
      <c r="AG772" s="50"/>
      <c r="AH772" s="50"/>
      <c r="AI772" s="50"/>
      <c r="AJ772" s="55"/>
      <c r="AK772" s="50"/>
      <c r="AL772" s="50"/>
      <c r="AM772" s="50"/>
      <c r="AN772" s="50"/>
      <c r="AO772" s="9"/>
      <c r="AP772" s="9"/>
    </row>
    <row r="773" spans="1:42" x14ac:dyDescent="0.55000000000000004">
      <c r="A773" t="str">
        <f t="shared" si="12"/>
        <v/>
      </c>
      <c r="C773" s="103"/>
      <c r="D773" s="110"/>
      <c r="E773" s="110"/>
      <c r="F773" s="110"/>
      <c r="G773" s="110"/>
      <c r="H773" s="110"/>
      <c r="I773" s="110"/>
      <c r="J773" s="110"/>
      <c r="K773" s="110"/>
      <c r="L773" s="110"/>
      <c r="M773" s="110"/>
      <c r="N773" s="110"/>
      <c r="O773" s="110"/>
      <c r="P773" s="110"/>
      <c r="Q773" s="110"/>
      <c r="R773" s="110"/>
      <c r="S773" s="110"/>
      <c r="T773" s="110"/>
      <c r="U773" s="49"/>
      <c r="V773" s="49"/>
      <c r="W773" s="49"/>
      <c r="X773" s="49"/>
      <c r="Y773" s="49"/>
      <c r="Z773" s="49"/>
      <c r="AA773" s="49"/>
      <c r="AB773" s="49"/>
      <c r="AC773" s="49"/>
      <c r="AD773" s="113"/>
      <c r="AE773" s="49"/>
      <c r="AF773" s="50"/>
      <c r="AG773" s="50"/>
      <c r="AH773" s="50"/>
      <c r="AI773" s="50"/>
      <c r="AJ773" s="55"/>
      <c r="AK773" s="50"/>
      <c r="AL773" s="50"/>
      <c r="AM773" s="50"/>
      <c r="AN773" s="50"/>
      <c r="AO773" s="9"/>
      <c r="AP773" s="9"/>
    </row>
    <row r="774" spans="1:42" x14ac:dyDescent="0.55000000000000004">
      <c r="A774" t="str">
        <f t="shared" si="12"/>
        <v/>
      </c>
      <c r="C774" s="103"/>
      <c r="D774" s="110"/>
      <c r="E774" s="110"/>
      <c r="F774" s="110"/>
      <c r="G774" s="110"/>
      <c r="H774" s="110"/>
      <c r="I774" s="110"/>
      <c r="J774" s="110"/>
      <c r="K774" s="110"/>
      <c r="L774" s="110"/>
      <c r="M774" s="110"/>
      <c r="N774" s="110"/>
      <c r="O774" s="110"/>
      <c r="P774" s="110"/>
      <c r="Q774" s="110"/>
      <c r="R774" s="110"/>
      <c r="S774" s="110"/>
      <c r="T774" s="110"/>
      <c r="U774" s="49"/>
      <c r="V774" s="49"/>
      <c r="W774" s="49"/>
      <c r="X774" s="49"/>
      <c r="Y774" s="49"/>
      <c r="Z774" s="49"/>
      <c r="AA774" s="49"/>
      <c r="AB774" s="49"/>
      <c r="AC774" s="49"/>
      <c r="AD774" s="113"/>
      <c r="AE774" s="49"/>
      <c r="AF774" s="50"/>
      <c r="AG774" s="50"/>
      <c r="AH774" s="50"/>
      <c r="AI774" s="50"/>
      <c r="AJ774" s="55"/>
      <c r="AK774" s="50"/>
      <c r="AL774" s="50"/>
      <c r="AM774" s="50"/>
      <c r="AN774" s="50"/>
      <c r="AO774" s="9"/>
      <c r="AP774" s="9"/>
    </row>
    <row r="775" spans="1:42" x14ac:dyDescent="0.55000000000000004">
      <c r="A775" t="str">
        <f t="shared" si="12"/>
        <v/>
      </c>
      <c r="C775" s="103"/>
      <c r="D775" s="110"/>
      <c r="E775" s="110"/>
      <c r="F775" s="110"/>
      <c r="G775" s="110"/>
      <c r="H775" s="110"/>
      <c r="I775" s="110"/>
      <c r="J775" s="110"/>
      <c r="K775" s="110"/>
      <c r="L775" s="110"/>
      <c r="M775" s="110"/>
      <c r="N775" s="110"/>
      <c r="O775" s="110"/>
      <c r="P775" s="110"/>
      <c r="Q775" s="110"/>
      <c r="R775" s="110"/>
      <c r="S775" s="110"/>
      <c r="T775" s="110"/>
      <c r="U775" s="49"/>
      <c r="V775" s="49"/>
      <c r="W775" s="49"/>
      <c r="X775" s="49"/>
      <c r="Y775" s="49"/>
      <c r="Z775" s="49"/>
      <c r="AA775" s="49"/>
      <c r="AB775" s="49"/>
      <c r="AC775" s="49"/>
      <c r="AD775" s="113"/>
      <c r="AE775" s="49"/>
      <c r="AF775" s="50"/>
      <c r="AG775" s="50"/>
      <c r="AH775" s="50"/>
      <c r="AI775" s="50"/>
      <c r="AJ775" s="55"/>
      <c r="AK775" s="50"/>
      <c r="AL775" s="50"/>
      <c r="AM775" s="50"/>
      <c r="AN775" s="50"/>
      <c r="AO775" s="9"/>
      <c r="AP775" s="9"/>
    </row>
    <row r="776" spans="1:42" x14ac:dyDescent="0.55000000000000004">
      <c r="A776" t="str">
        <f t="shared" si="12"/>
        <v/>
      </c>
      <c r="C776" s="103"/>
      <c r="D776" s="110"/>
      <c r="E776" s="110"/>
      <c r="F776" s="110"/>
      <c r="G776" s="110"/>
      <c r="H776" s="110"/>
      <c r="I776" s="110"/>
      <c r="J776" s="110"/>
      <c r="K776" s="110"/>
      <c r="L776" s="110"/>
      <c r="M776" s="110"/>
      <c r="N776" s="110"/>
      <c r="O776" s="110"/>
      <c r="P776" s="110"/>
      <c r="Q776" s="110"/>
      <c r="R776" s="110"/>
      <c r="S776" s="110"/>
      <c r="T776" s="110"/>
      <c r="U776" s="49"/>
      <c r="V776" s="49"/>
      <c r="W776" s="49"/>
      <c r="X776" s="49"/>
      <c r="Y776" s="49"/>
      <c r="Z776" s="49"/>
      <c r="AA776" s="49"/>
      <c r="AB776" s="49"/>
      <c r="AC776" s="49"/>
      <c r="AD776" s="113"/>
      <c r="AE776" s="49"/>
      <c r="AF776" s="50"/>
      <c r="AG776" s="50"/>
      <c r="AH776" s="50"/>
      <c r="AI776" s="50"/>
      <c r="AJ776" s="50"/>
      <c r="AK776" s="50"/>
      <c r="AL776" s="50"/>
      <c r="AM776" s="50"/>
      <c r="AN776" s="50"/>
      <c r="AO776" s="9"/>
      <c r="AP776" s="9"/>
    </row>
    <row r="777" spans="1:42" x14ac:dyDescent="0.55000000000000004">
      <c r="A777" t="str">
        <f t="shared" si="12"/>
        <v/>
      </c>
      <c r="C777" s="103"/>
      <c r="D777" s="110"/>
      <c r="E777" s="110"/>
      <c r="F777" s="110"/>
      <c r="G777" s="110"/>
      <c r="H777" s="110"/>
      <c r="I777" s="110"/>
      <c r="J777" s="110"/>
      <c r="K777" s="110"/>
      <c r="L777" s="110"/>
      <c r="M777" s="110"/>
      <c r="N777" s="110"/>
      <c r="O777" s="110"/>
      <c r="P777" s="110"/>
      <c r="Q777" s="110"/>
      <c r="R777" s="110"/>
      <c r="S777" s="110"/>
      <c r="T777" s="110"/>
      <c r="U777" s="49"/>
      <c r="V777" s="49"/>
      <c r="W777" s="49"/>
      <c r="X777" s="49"/>
      <c r="Y777" s="49"/>
      <c r="Z777" s="49"/>
      <c r="AA777" s="49"/>
      <c r="AB777" s="49"/>
      <c r="AC777" s="49"/>
      <c r="AD777" s="113"/>
      <c r="AE777" s="49"/>
      <c r="AF777" s="50"/>
      <c r="AG777" s="50"/>
      <c r="AH777" s="50"/>
      <c r="AI777" s="50"/>
      <c r="AJ777" s="55"/>
      <c r="AK777" s="50"/>
      <c r="AL777" s="50"/>
      <c r="AM777" s="50"/>
      <c r="AN777" s="50"/>
      <c r="AO777" s="9"/>
      <c r="AP777" s="9"/>
    </row>
    <row r="778" spans="1:42" x14ac:dyDescent="0.55000000000000004">
      <c r="A778" t="str">
        <f t="shared" si="12"/>
        <v/>
      </c>
      <c r="C778" s="103"/>
      <c r="D778" s="110"/>
      <c r="E778" s="110"/>
      <c r="F778" s="110"/>
      <c r="G778" s="110"/>
      <c r="H778" s="110"/>
      <c r="I778" s="110"/>
      <c r="J778" s="110"/>
      <c r="K778" s="110"/>
      <c r="L778" s="110"/>
      <c r="M778" s="110"/>
      <c r="N778" s="110"/>
      <c r="O778" s="110"/>
      <c r="P778" s="110"/>
      <c r="Q778" s="110"/>
      <c r="R778" s="110"/>
      <c r="S778" s="110"/>
      <c r="T778" s="110"/>
      <c r="U778" s="49"/>
      <c r="V778" s="49"/>
      <c r="W778" s="49"/>
      <c r="X778" s="49"/>
      <c r="Y778" s="49"/>
      <c r="Z778" s="49"/>
      <c r="AA778" s="49"/>
      <c r="AB778" s="49"/>
      <c r="AC778" s="49"/>
      <c r="AD778" s="113"/>
      <c r="AE778" s="49"/>
      <c r="AF778" s="50"/>
      <c r="AG778" s="50"/>
      <c r="AH778" s="50"/>
      <c r="AI778" s="50"/>
      <c r="AJ778" s="55"/>
      <c r="AK778" s="50"/>
      <c r="AL778" s="50"/>
      <c r="AM778" s="50"/>
      <c r="AN778" s="50"/>
      <c r="AO778" s="9"/>
      <c r="AP778" s="9"/>
    </row>
    <row r="779" spans="1:42" x14ac:dyDescent="0.55000000000000004">
      <c r="A779" t="str">
        <f t="shared" si="12"/>
        <v/>
      </c>
      <c r="C779" s="103"/>
      <c r="D779" s="110"/>
      <c r="E779" s="110"/>
      <c r="F779" s="110"/>
      <c r="G779" s="110"/>
      <c r="H779" s="110"/>
      <c r="I779" s="110"/>
      <c r="J779" s="110"/>
      <c r="K779" s="110"/>
      <c r="L779" s="110"/>
      <c r="M779" s="110"/>
      <c r="N779" s="110"/>
      <c r="O779" s="110"/>
      <c r="P779" s="110"/>
      <c r="Q779" s="110"/>
      <c r="R779" s="110"/>
      <c r="S779" s="110"/>
      <c r="T779" s="110"/>
      <c r="U779" s="49"/>
      <c r="V779" s="49"/>
      <c r="W779" s="49"/>
      <c r="X779" s="49"/>
      <c r="Y779" s="49"/>
      <c r="Z779" s="49"/>
      <c r="AA779" s="49"/>
      <c r="AB779" s="49"/>
      <c r="AC779" s="49"/>
      <c r="AD779" s="113"/>
      <c r="AE779" s="49"/>
      <c r="AF779" s="50"/>
      <c r="AG779" s="50"/>
      <c r="AH779" s="50"/>
      <c r="AI779" s="50"/>
      <c r="AJ779" s="55"/>
      <c r="AK779" s="50"/>
      <c r="AL779" s="50"/>
      <c r="AM779" s="50"/>
      <c r="AN779" s="50"/>
      <c r="AO779" s="9"/>
      <c r="AP779" s="9"/>
    </row>
    <row r="780" spans="1:42" x14ac:dyDescent="0.55000000000000004">
      <c r="A780" t="str">
        <f t="shared" si="12"/>
        <v/>
      </c>
      <c r="C780" s="103"/>
      <c r="D780" s="110"/>
      <c r="E780" s="110"/>
      <c r="F780" s="110"/>
      <c r="G780" s="110"/>
      <c r="H780" s="110"/>
      <c r="I780" s="110"/>
      <c r="J780" s="110"/>
      <c r="K780" s="110"/>
      <c r="L780" s="110"/>
      <c r="M780" s="110"/>
      <c r="N780" s="110"/>
      <c r="O780" s="110"/>
      <c r="P780" s="110"/>
      <c r="Q780" s="110"/>
      <c r="R780" s="110"/>
      <c r="S780" s="110"/>
      <c r="T780" s="110"/>
      <c r="U780" s="49"/>
      <c r="V780" s="49"/>
      <c r="W780" s="49"/>
      <c r="X780" s="49"/>
      <c r="Y780" s="49"/>
      <c r="Z780" s="49"/>
      <c r="AA780" s="49"/>
      <c r="AB780" s="49"/>
      <c r="AC780" s="49"/>
      <c r="AD780" s="113"/>
      <c r="AE780" s="49"/>
      <c r="AF780" s="50"/>
      <c r="AG780" s="50"/>
      <c r="AH780" s="50"/>
      <c r="AI780" s="50"/>
      <c r="AJ780" s="55"/>
      <c r="AK780" s="50"/>
      <c r="AL780" s="50"/>
      <c r="AM780" s="50"/>
      <c r="AN780" s="50"/>
      <c r="AO780" s="9"/>
      <c r="AP780" s="9"/>
    </row>
    <row r="781" spans="1:42" x14ac:dyDescent="0.55000000000000004">
      <c r="A781" t="str">
        <f t="shared" si="12"/>
        <v/>
      </c>
      <c r="C781" s="103"/>
      <c r="D781" s="110"/>
      <c r="E781" s="110"/>
      <c r="F781" s="110"/>
      <c r="G781" s="110"/>
      <c r="H781" s="110"/>
      <c r="I781" s="110"/>
      <c r="J781" s="110"/>
      <c r="K781" s="110"/>
      <c r="L781" s="110"/>
      <c r="M781" s="110"/>
      <c r="N781" s="110"/>
      <c r="O781" s="110"/>
      <c r="P781" s="110"/>
      <c r="Q781" s="110"/>
      <c r="R781" s="110"/>
      <c r="S781" s="110"/>
      <c r="T781" s="110"/>
      <c r="U781" s="49"/>
      <c r="V781" s="49"/>
      <c r="W781" s="49"/>
      <c r="X781" s="49"/>
      <c r="Y781" s="49"/>
      <c r="Z781" s="49"/>
      <c r="AA781" s="49"/>
      <c r="AB781" s="49"/>
      <c r="AC781" s="49"/>
      <c r="AD781" s="113"/>
      <c r="AE781" s="49"/>
      <c r="AF781" s="50"/>
      <c r="AG781" s="50"/>
      <c r="AH781" s="50"/>
      <c r="AI781" s="50"/>
      <c r="AJ781" s="55"/>
      <c r="AK781" s="50"/>
      <c r="AL781" s="50"/>
      <c r="AM781" s="50"/>
      <c r="AN781" s="50"/>
      <c r="AO781" s="9"/>
      <c r="AP781" s="9"/>
    </row>
    <row r="782" spans="1:42" x14ac:dyDescent="0.55000000000000004">
      <c r="A782" t="str">
        <f t="shared" si="12"/>
        <v/>
      </c>
      <c r="C782" s="103"/>
      <c r="D782" s="110"/>
      <c r="E782" s="110"/>
      <c r="F782" s="110"/>
      <c r="G782" s="110"/>
      <c r="H782" s="110"/>
      <c r="I782" s="110"/>
      <c r="J782" s="110"/>
      <c r="K782" s="110"/>
      <c r="L782" s="110"/>
      <c r="M782" s="110"/>
      <c r="N782" s="110"/>
      <c r="O782" s="110"/>
      <c r="P782" s="110"/>
      <c r="Q782" s="110"/>
      <c r="R782" s="110"/>
      <c r="S782" s="110"/>
      <c r="T782" s="110"/>
      <c r="U782" s="49"/>
      <c r="V782" s="49"/>
      <c r="W782" s="49"/>
      <c r="X782" s="49"/>
      <c r="Y782" s="49"/>
      <c r="Z782" s="49"/>
      <c r="AA782" s="49"/>
      <c r="AB782" s="49"/>
      <c r="AC782" s="49"/>
      <c r="AD782" s="113"/>
      <c r="AE782" s="49"/>
      <c r="AF782" s="50"/>
      <c r="AG782" s="50"/>
      <c r="AH782" s="50"/>
      <c r="AI782" s="50"/>
      <c r="AJ782" s="55"/>
      <c r="AK782" s="50"/>
      <c r="AL782" s="50"/>
      <c r="AM782" s="50"/>
      <c r="AN782" s="50"/>
      <c r="AO782" s="9"/>
      <c r="AP782" s="9"/>
    </row>
    <row r="783" spans="1:42" x14ac:dyDescent="0.55000000000000004">
      <c r="A783" t="str">
        <f t="shared" si="12"/>
        <v/>
      </c>
      <c r="C783" s="103"/>
      <c r="D783" s="110"/>
      <c r="E783" s="110"/>
      <c r="F783" s="110"/>
      <c r="G783" s="110"/>
      <c r="H783" s="110"/>
      <c r="I783" s="110"/>
      <c r="J783" s="110"/>
      <c r="K783" s="110"/>
      <c r="L783" s="110"/>
      <c r="M783" s="110"/>
      <c r="N783" s="110"/>
      <c r="O783" s="110"/>
      <c r="P783" s="110"/>
      <c r="Q783" s="110"/>
      <c r="R783" s="110"/>
      <c r="S783" s="110"/>
      <c r="T783" s="110"/>
      <c r="U783" s="49"/>
      <c r="V783" s="49"/>
      <c r="W783" s="49"/>
      <c r="X783" s="49"/>
      <c r="Y783" s="49"/>
      <c r="Z783" s="49"/>
      <c r="AA783" s="49"/>
      <c r="AB783" s="49"/>
      <c r="AC783" s="49"/>
      <c r="AD783" s="113"/>
      <c r="AE783" s="49"/>
      <c r="AF783" s="50"/>
      <c r="AG783" s="50"/>
      <c r="AH783" s="50"/>
      <c r="AI783" s="50"/>
      <c r="AJ783" s="55"/>
      <c r="AK783" s="50"/>
      <c r="AL783" s="50"/>
      <c r="AM783" s="50"/>
      <c r="AN783" s="50"/>
      <c r="AO783" s="9"/>
      <c r="AP783" s="9"/>
    </row>
    <row r="784" spans="1:42" x14ac:dyDescent="0.55000000000000004">
      <c r="A784" t="str">
        <f t="shared" si="12"/>
        <v/>
      </c>
      <c r="C784" s="103"/>
      <c r="D784" s="110"/>
      <c r="E784" s="110"/>
      <c r="F784" s="110"/>
      <c r="G784" s="110"/>
      <c r="H784" s="110"/>
      <c r="I784" s="110"/>
      <c r="J784" s="110"/>
      <c r="K784" s="110"/>
      <c r="L784" s="110"/>
      <c r="M784" s="110"/>
      <c r="N784" s="110"/>
      <c r="O784" s="110"/>
      <c r="P784" s="110"/>
      <c r="Q784" s="110"/>
      <c r="R784" s="110"/>
      <c r="S784" s="110"/>
      <c r="T784" s="110"/>
      <c r="U784" s="49"/>
      <c r="V784" s="49"/>
      <c r="W784" s="49"/>
      <c r="X784" s="49"/>
      <c r="Y784" s="49"/>
      <c r="Z784" s="49"/>
      <c r="AA784" s="49"/>
      <c r="AB784" s="49"/>
      <c r="AC784" s="49"/>
      <c r="AD784" s="113"/>
      <c r="AE784" s="49"/>
      <c r="AF784" s="50"/>
      <c r="AG784" s="50"/>
      <c r="AH784" s="50"/>
      <c r="AI784" s="50"/>
      <c r="AJ784" s="55"/>
      <c r="AK784" s="50"/>
      <c r="AL784" s="50"/>
      <c r="AM784" s="50"/>
      <c r="AN784" s="50"/>
      <c r="AO784" s="9"/>
      <c r="AP784" s="9"/>
    </row>
    <row r="785" spans="1:42" x14ac:dyDescent="0.55000000000000004">
      <c r="A785" t="str">
        <f t="shared" si="12"/>
        <v/>
      </c>
      <c r="C785" s="103"/>
      <c r="D785" s="110"/>
      <c r="E785" s="110"/>
      <c r="F785" s="110"/>
      <c r="G785" s="110"/>
      <c r="H785" s="110"/>
      <c r="I785" s="110"/>
      <c r="J785" s="110"/>
      <c r="K785" s="110"/>
      <c r="L785" s="110"/>
      <c r="M785" s="110"/>
      <c r="N785" s="110"/>
      <c r="O785" s="110"/>
      <c r="P785" s="110"/>
      <c r="Q785" s="110"/>
      <c r="R785" s="110"/>
      <c r="S785" s="110"/>
      <c r="T785" s="110"/>
      <c r="U785" s="49"/>
      <c r="V785" s="49"/>
      <c r="W785" s="49"/>
      <c r="X785" s="49"/>
      <c r="Y785" s="49"/>
      <c r="Z785" s="49"/>
      <c r="AA785" s="49"/>
      <c r="AB785" s="49"/>
      <c r="AC785" s="49"/>
      <c r="AD785" s="113"/>
      <c r="AE785" s="49"/>
      <c r="AF785" s="50"/>
      <c r="AG785" s="50"/>
      <c r="AH785" s="50"/>
      <c r="AI785" s="50"/>
      <c r="AJ785" s="55"/>
      <c r="AK785" s="50"/>
      <c r="AL785" s="50"/>
      <c r="AM785" s="50"/>
      <c r="AN785" s="50"/>
      <c r="AO785" s="9"/>
      <c r="AP785" s="9"/>
    </row>
    <row r="786" spans="1:42" x14ac:dyDescent="0.55000000000000004">
      <c r="A786" t="str">
        <f t="shared" si="12"/>
        <v/>
      </c>
      <c r="C786" s="103"/>
      <c r="D786" s="110"/>
      <c r="E786" s="110"/>
      <c r="F786" s="110"/>
      <c r="G786" s="110"/>
      <c r="H786" s="110"/>
      <c r="I786" s="110"/>
      <c r="J786" s="110"/>
      <c r="K786" s="110"/>
      <c r="L786" s="110"/>
      <c r="M786" s="110"/>
      <c r="N786" s="110"/>
      <c r="O786" s="110"/>
      <c r="P786" s="110"/>
      <c r="Q786" s="110"/>
      <c r="R786" s="110"/>
      <c r="S786" s="110"/>
      <c r="T786" s="110"/>
      <c r="U786" s="49"/>
      <c r="V786" s="49"/>
      <c r="W786" s="49"/>
      <c r="X786" s="49"/>
      <c r="Y786" s="49"/>
      <c r="Z786" s="49"/>
      <c r="AA786" s="49"/>
      <c r="AB786" s="49"/>
      <c r="AC786" s="49"/>
      <c r="AD786" s="113"/>
      <c r="AE786" s="49"/>
      <c r="AF786" s="50"/>
      <c r="AG786" s="50"/>
      <c r="AH786" s="50"/>
      <c r="AI786" s="50"/>
      <c r="AJ786" s="55"/>
      <c r="AK786" s="50"/>
      <c r="AL786" s="50"/>
      <c r="AM786" s="50"/>
      <c r="AN786" s="50"/>
      <c r="AO786" s="9"/>
      <c r="AP786" s="9"/>
    </row>
    <row r="787" spans="1:42" x14ac:dyDescent="0.55000000000000004">
      <c r="A787" t="str">
        <f t="shared" si="12"/>
        <v/>
      </c>
      <c r="C787" s="103"/>
      <c r="D787" s="110"/>
      <c r="E787" s="110"/>
      <c r="F787" s="110"/>
      <c r="G787" s="110"/>
      <c r="H787" s="110"/>
      <c r="I787" s="110"/>
      <c r="J787" s="110"/>
      <c r="K787" s="110"/>
      <c r="L787" s="110"/>
      <c r="M787" s="110"/>
      <c r="N787" s="110"/>
      <c r="O787" s="110"/>
      <c r="P787" s="110"/>
      <c r="Q787" s="110"/>
      <c r="R787" s="110"/>
      <c r="S787" s="110"/>
      <c r="T787" s="110"/>
      <c r="U787" s="49"/>
      <c r="V787" s="49"/>
      <c r="W787" s="49"/>
      <c r="X787" s="49"/>
      <c r="Y787" s="49"/>
      <c r="Z787" s="49"/>
      <c r="AA787" s="49"/>
      <c r="AB787" s="49"/>
      <c r="AC787" s="49"/>
      <c r="AD787" s="113"/>
      <c r="AE787" s="49"/>
      <c r="AF787" s="50"/>
      <c r="AG787" s="50"/>
      <c r="AH787" s="50"/>
      <c r="AI787" s="50"/>
      <c r="AJ787" s="55"/>
      <c r="AK787" s="50"/>
      <c r="AL787" s="50"/>
      <c r="AM787" s="50"/>
      <c r="AN787" s="50"/>
      <c r="AO787" s="9"/>
      <c r="AP787" s="9"/>
    </row>
    <row r="788" spans="1:42" x14ac:dyDescent="0.55000000000000004">
      <c r="A788" t="str">
        <f t="shared" si="12"/>
        <v/>
      </c>
      <c r="C788" s="103"/>
      <c r="D788" s="110"/>
      <c r="E788" s="110"/>
      <c r="F788" s="110"/>
      <c r="G788" s="110"/>
      <c r="H788" s="110"/>
      <c r="I788" s="110"/>
      <c r="J788" s="110"/>
      <c r="K788" s="110"/>
      <c r="L788" s="110"/>
      <c r="M788" s="110"/>
      <c r="N788" s="110"/>
      <c r="O788" s="110"/>
      <c r="P788" s="110"/>
      <c r="Q788" s="110"/>
      <c r="R788" s="110"/>
      <c r="S788" s="110"/>
      <c r="T788" s="110"/>
      <c r="U788" s="49"/>
      <c r="V788" s="49"/>
      <c r="W788" s="49"/>
      <c r="X788" s="49"/>
      <c r="Y788" s="49"/>
      <c r="Z788" s="49"/>
      <c r="AA788" s="49"/>
      <c r="AB788" s="49"/>
      <c r="AC788" s="49"/>
      <c r="AD788" s="113"/>
      <c r="AE788" s="49"/>
      <c r="AF788" s="50"/>
      <c r="AG788" s="50"/>
      <c r="AH788" s="50"/>
      <c r="AI788" s="50"/>
      <c r="AJ788" s="55"/>
      <c r="AK788" s="50"/>
      <c r="AL788" s="50"/>
      <c r="AM788" s="50"/>
      <c r="AN788" s="50"/>
      <c r="AO788" s="9"/>
      <c r="AP788" s="9"/>
    </row>
    <row r="789" spans="1:42" x14ac:dyDescent="0.55000000000000004">
      <c r="A789" t="str">
        <f t="shared" si="12"/>
        <v/>
      </c>
      <c r="C789" s="103"/>
      <c r="D789" s="110"/>
      <c r="E789" s="110"/>
      <c r="F789" s="110"/>
      <c r="G789" s="110"/>
      <c r="H789" s="110"/>
      <c r="I789" s="110"/>
      <c r="J789" s="110"/>
      <c r="K789" s="110"/>
      <c r="L789" s="110"/>
      <c r="M789" s="110"/>
      <c r="N789" s="110"/>
      <c r="O789" s="110"/>
      <c r="P789" s="110"/>
      <c r="Q789" s="110"/>
      <c r="R789" s="110"/>
      <c r="S789" s="110"/>
      <c r="T789" s="110"/>
      <c r="U789" s="49"/>
      <c r="V789" s="49"/>
      <c r="W789" s="49"/>
      <c r="X789" s="49"/>
      <c r="Y789" s="49"/>
      <c r="Z789" s="49"/>
      <c r="AA789" s="49"/>
      <c r="AB789" s="49"/>
      <c r="AC789" s="49"/>
      <c r="AD789" s="113"/>
      <c r="AE789" s="49"/>
      <c r="AF789" s="50"/>
      <c r="AG789" s="50"/>
      <c r="AH789" s="50"/>
      <c r="AI789" s="50"/>
      <c r="AJ789" s="55"/>
      <c r="AK789" s="50"/>
      <c r="AL789" s="50"/>
      <c r="AM789" s="50"/>
      <c r="AN789" s="50"/>
      <c r="AO789" s="9"/>
      <c r="AP789" s="9"/>
    </row>
    <row r="790" spans="1:42" x14ac:dyDescent="0.55000000000000004">
      <c r="A790" t="str">
        <f t="shared" si="12"/>
        <v/>
      </c>
      <c r="C790" s="103"/>
      <c r="D790" s="110"/>
      <c r="E790" s="110"/>
      <c r="F790" s="110"/>
      <c r="G790" s="110"/>
      <c r="H790" s="110"/>
      <c r="I790" s="110"/>
      <c r="J790" s="110"/>
      <c r="K790" s="110"/>
      <c r="L790" s="110"/>
      <c r="M790" s="110"/>
      <c r="N790" s="110"/>
      <c r="O790" s="110"/>
      <c r="P790" s="110"/>
      <c r="Q790" s="110"/>
      <c r="R790" s="110"/>
      <c r="S790" s="110"/>
      <c r="T790" s="110"/>
      <c r="U790" s="49"/>
      <c r="V790" s="49"/>
      <c r="W790" s="49"/>
      <c r="X790" s="49"/>
      <c r="Y790" s="49"/>
      <c r="Z790" s="49"/>
      <c r="AA790" s="49"/>
      <c r="AB790" s="49"/>
      <c r="AC790" s="49"/>
      <c r="AD790" s="113"/>
      <c r="AE790" s="49"/>
      <c r="AF790" s="50"/>
      <c r="AG790" s="50"/>
      <c r="AH790" s="50"/>
      <c r="AI790" s="50"/>
      <c r="AJ790" s="55"/>
      <c r="AK790" s="50"/>
      <c r="AL790" s="50"/>
      <c r="AM790" s="50"/>
      <c r="AN790" s="50"/>
      <c r="AO790" s="9"/>
      <c r="AP790" s="9"/>
    </row>
    <row r="791" spans="1:42" x14ac:dyDescent="0.55000000000000004">
      <c r="A791" t="str">
        <f t="shared" si="12"/>
        <v/>
      </c>
      <c r="C791" s="103"/>
      <c r="D791" s="110"/>
      <c r="E791" s="110"/>
      <c r="F791" s="110"/>
      <c r="G791" s="110"/>
      <c r="H791" s="110"/>
      <c r="I791" s="110"/>
      <c r="J791" s="110"/>
      <c r="K791" s="110"/>
      <c r="L791" s="110"/>
      <c r="M791" s="110"/>
      <c r="N791" s="110"/>
      <c r="O791" s="110"/>
      <c r="P791" s="110"/>
      <c r="Q791" s="110"/>
      <c r="R791" s="110"/>
      <c r="S791" s="110"/>
      <c r="T791" s="110"/>
      <c r="U791" s="49"/>
      <c r="V791" s="49"/>
      <c r="W791" s="49"/>
      <c r="X791" s="49"/>
      <c r="Y791" s="49"/>
      <c r="Z791" s="49"/>
      <c r="AA791" s="49"/>
      <c r="AB791" s="49"/>
      <c r="AC791" s="49"/>
      <c r="AD791" s="113"/>
      <c r="AE791" s="49"/>
      <c r="AF791" s="50"/>
      <c r="AG791" s="50"/>
      <c r="AH791" s="50"/>
      <c r="AI791" s="50"/>
      <c r="AJ791" s="55"/>
      <c r="AK791" s="50"/>
      <c r="AL791" s="50"/>
      <c r="AM791" s="50"/>
      <c r="AN791" s="50"/>
      <c r="AO791" s="9"/>
      <c r="AP791" s="9"/>
    </row>
    <row r="792" spans="1:42" x14ac:dyDescent="0.55000000000000004">
      <c r="A792" t="str">
        <f t="shared" si="12"/>
        <v/>
      </c>
      <c r="C792" s="103"/>
      <c r="D792" s="110"/>
      <c r="E792" s="110"/>
      <c r="F792" s="110"/>
      <c r="G792" s="110"/>
      <c r="H792" s="110"/>
      <c r="I792" s="110"/>
      <c r="J792" s="110"/>
      <c r="K792" s="110"/>
      <c r="L792" s="110"/>
      <c r="M792" s="110"/>
      <c r="N792" s="110"/>
      <c r="O792" s="110"/>
      <c r="P792" s="110"/>
      <c r="Q792" s="110"/>
      <c r="R792" s="110"/>
      <c r="S792" s="110"/>
      <c r="T792" s="110"/>
      <c r="U792" s="49"/>
      <c r="V792" s="49"/>
      <c r="W792" s="49"/>
      <c r="X792" s="49"/>
      <c r="Y792" s="49"/>
      <c r="Z792" s="49"/>
      <c r="AA792" s="49"/>
      <c r="AB792" s="49"/>
      <c r="AC792" s="49"/>
      <c r="AD792" s="113"/>
      <c r="AE792" s="49"/>
      <c r="AF792" s="50"/>
      <c r="AG792" s="50"/>
      <c r="AH792" s="50"/>
      <c r="AI792" s="50"/>
      <c r="AJ792" s="55"/>
      <c r="AK792" s="50"/>
      <c r="AL792" s="50"/>
      <c r="AM792" s="50"/>
      <c r="AN792" s="50"/>
      <c r="AO792" s="9"/>
      <c r="AP792" s="9"/>
    </row>
    <row r="793" spans="1:42" x14ac:dyDescent="0.55000000000000004">
      <c r="A793" t="str">
        <f t="shared" si="12"/>
        <v/>
      </c>
      <c r="C793" s="103"/>
      <c r="D793" s="110"/>
      <c r="E793" s="110"/>
      <c r="F793" s="110"/>
      <c r="G793" s="110"/>
      <c r="H793" s="110"/>
      <c r="I793" s="110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49"/>
      <c r="V793" s="49"/>
      <c r="W793" s="49"/>
      <c r="X793" s="49"/>
      <c r="Y793" s="49"/>
      <c r="Z793" s="49"/>
      <c r="AA793" s="49"/>
      <c r="AB793" s="49"/>
      <c r="AC793" s="49"/>
      <c r="AD793" s="113"/>
      <c r="AE793" s="49"/>
      <c r="AF793" s="50"/>
      <c r="AG793" s="50"/>
      <c r="AH793" s="50"/>
      <c r="AI793" s="50"/>
      <c r="AJ793" s="55"/>
      <c r="AK793" s="50"/>
      <c r="AL793" s="50"/>
      <c r="AM793" s="50"/>
      <c r="AN793" s="50"/>
      <c r="AO793" s="9"/>
      <c r="AP793" s="9"/>
    </row>
    <row r="794" spans="1:42" x14ac:dyDescent="0.55000000000000004">
      <c r="A794" t="str">
        <f t="shared" si="12"/>
        <v/>
      </c>
      <c r="C794" s="103"/>
      <c r="D794" s="110"/>
      <c r="E794" s="112"/>
      <c r="F794" s="110"/>
      <c r="G794" s="112"/>
      <c r="H794" s="110"/>
      <c r="I794" s="110"/>
      <c r="J794" s="110"/>
      <c r="K794" s="110"/>
      <c r="L794" s="110"/>
      <c r="M794" s="110"/>
      <c r="N794" s="110"/>
      <c r="O794" s="110"/>
      <c r="P794" s="110"/>
      <c r="Q794" s="110"/>
      <c r="R794" s="110"/>
      <c r="S794" s="110"/>
      <c r="T794" s="110"/>
      <c r="U794" s="49"/>
      <c r="V794" s="49"/>
      <c r="W794" s="49"/>
      <c r="X794" s="49"/>
      <c r="Y794" s="49"/>
      <c r="Z794" s="49"/>
      <c r="AA794" s="49"/>
      <c r="AB794" s="49"/>
      <c r="AC794" s="49"/>
      <c r="AD794" s="113"/>
      <c r="AE794" s="49"/>
      <c r="AF794" s="50"/>
      <c r="AG794" s="50"/>
      <c r="AH794" s="50"/>
      <c r="AI794" s="50"/>
      <c r="AJ794" s="55"/>
      <c r="AK794" s="50"/>
      <c r="AL794" s="50"/>
      <c r="AM794" s="50"/>
      <c r="AN794" s="50"/>
      <c r="AO794" s="9"/>
      <c r="AP794" s="9"/>
    </row>
    <row r="795" spans="1:42" x14ac:dyDescent="0.55000000000000004">
      <c r="A795" t="str">
        <f t="shared" si="12"/>
        <v/>
      </c>
      <c r="C795" s="103"/>
      <c r="D795" s="110"/>
      <c r="E795" s="112"/>
      <c r="F795" s="110"/>
      <c r="G795" s="112"/>
      <c r="H795" s="110"/>
      <c r="I795" s="110"/>
      <c r="J795" s="110"/>
      <c r="K795" s="110"/>
      <c r="L795" s="110"/>
      <c r="M795" s="110"/>
      <c r="N795" s="110"/>
      <c r="O795" s="110"/>
      <c r="P795" s="110"/>
      <c r="Q795" s="110"/>
      <c r="R795" s="110"/>
      <c r="S795" s="110"/>
      <c r="T795" s="110"/>
      <c r="U795" s="49"/>
      <c r="V795" s="49"/>
      <c r="W795" s="49"/>
      <c r="X795" s="49"/>
      <c r="Y795" s="49"/>
      <c r="Z795" s="49"/>
      <c r="AA795" s="49"/>
      <c r="AB795" s="49"/>
      <c r="AC795" s="49"/>
      <c r="AD795" s="113"/>
      <c r="AE795" s="49"/>
      <c r="AF795" s="50"/>
      <c r="AG795" s="50"/>
      <c r="AH795" s="50"/>
      <c r="AI795" s="50"/>
      <c r="AJ795" s="55"/>
      <c r="AK795" s="50"/>
      <c r="AL795" s="50"/>
      <c r="AM795" s="50"/>
      <c r="AN795" s="50"/>
      <c r="AO795" s="9"/>
      <c r="AP795" s="9"/>
    </row>
    <row r="796" spans="1:42" x14ac:dyDescent="0.55000000000000004">
      <c r="A796" t="str">
        <f t="shared" si="12"/>
        <v/>
      </c>
      <c r="C796" s="103"/>
      <c r="D796" s="110"/>
      <c r="E796" s="112"/>
      <c r="F796" s="110"/>
      <c r="G796" s="112"/>
      <c r="H796" s="110"/>
      <c r="I796" s="110"/>
      <c r="J796" s="110"/>
      <c r="K796" s="110"/>
      <c r="L796" s="110"/>
      <c r="M796" s="110"/>
      <c r="N796" s="110"/>
      <c r="O796" s="110"/>
      <c r="P796" s="110"/>
      <c r="Q796" s="110"/>
      <c r="R796" s="110"/>
      <c r="S796" s="110"/>
      <c r="T796" s="110"/>
      <c r="U796" s="49"/>
      <c r="V796" s="49"/>
      <c r="W796" s="49"/>
      <c r="X796" s="49"/>
      <c r="Y796" s="49"/>
      <c r="Z796" s="49"/>
      <c r="AA796" s="49"/>
      <c r="AB796" s="49"/>
      <c r="AC796" s="49"/>
      <c r="AD796" s="113"/>
      <c r="AE796" s="49"/>
      <c r="AF796" s="50"/>
      <c r="AG796" s="50"/>
      <c r="AH796" s="50"/>
      <c r="AI796" s="50"/>
      <c r="AJ796" s="55"/>
      <c r="AK796" s="50"/>
      <c r="AL796" s="50"/>
      <c r="AM796" s="50"/>
      <c r="AN796" s="50"/>
      <c r="AO796" s="9"/>
      <c r="AP796" s="9"/>
    </row>
    <row r="797" spans="1:42" x14ac:dyDescent="0.55000000000000004">
      <c r="A797" t="str">
        <f t="shared" si="12"/>
        <v/>
      </c>
      <c r="C797" s="103"/>
      <c r="D797" s="110"/>
      <c r="E797" s="112"/>
      <c r="F797" s="110"/>
      <c r="G797" s="112"/>
      <c r="H797" s="110"/>
      <c r="I797" s="110"/>
      <c r="J797" s="110"/>
      <c r="K797" s="110"/>
      <c r="L797" s="110"/>
      <c r="M797" s="110"/>
      <c r="N797" s="110"/>
      <c r="O797" s="110"/>
      <c r="P797" s="110"/>
      <c r="Q797" s="110"/>
      <c r="R797" s="110"/>
      <c r="S797" s="110"/>
      <c r="T797" s="110"/>
      <c r="U797" s="49"/>
      <c r="V797" s="49"/>
      <c r="W797" s="49"/>
      <c r="X797" s="49"/>
      <c r="Y797" s="49"/>
      <c r="Z797" s="49"/>
      <c r="AA797" s="49"/>
      <c r="AB797" s="49"/>
      <c r="AC797" s="49"/>
      <c r="AD797" s="113"/>
      <c r="AE797" s="49"/>
      <c r="AF797" s="50"/>
      <c r="AG797" s="50"/>
      <c r="AH797" s="50"/>
      <c r="AI797" s="50"/>
      <c r="AJ797" s="55"/>
      <c r="AK797" s="50"/>
      <c r="AL797" s="50"/>
      <c r="AM797" s="50"/>
      <c r="AN797" s="50"/>
      <c r="AO797" s="9"/>
      <c r="AP797" s="9"/>
    </row>
    <row r="798" spans="1:42" x14ac:dyDescent="0.55000000000000004">
      <c r="A798" t="str">
        <f t="shared" si="12"/>
        <v/>
      </c>
      <c r="C798" s="103"/>
      <c r="D798" s="110"/>
      <c r="E798" s="112"/>
      <c r="F798" s="110"/>
      <c r="G798" s="112"/>
      <c r="H798" s="110"/>
      <c r="I798" s="110"/>
      <c r="J798" s="110"/>
      <c r="K798" s="110"/>
      <c r="L798" s="110"/>
      <c r="M798" s="110"/>
      <c r="N798" s="110"/>
      <c r="O798" s="110"/>
      <c r="P798" s="110"/>
      <c r="Q798" s="110"/>
      <c r="R798" s="110"/>
      <c r="S798" s="110"/>
      <c r="T798" s="110"/>
      <c r="U798" s="49"/>
      <c r="V798" s="49"/>
      <c r="W798" s="49"/>
      <c r="X798" s="49"/>
      <c r="Y798" s="49"/>
      <c r="Z798" s="49"/>
      <c r="AA798" s="49"/>
      <c r="AB798" s="49"/>
      <c r="AC798" s="49"/>
      <c r="AD798" s="113"/>
      <c r="AE798" s="49"/>
      <c r="AF798" s="50"/>
      <c r="AG798" s="50"/>
      <c r="AH798" s="50"/>
      <c r="AI798" s="50"/>
      <c r="AJ798" s="55"/>
      <c r="AK798" s="50"/>
      <c r="AL798" s="50"/>
      <c r="AM798" s="50"/>
      <c r="AN798" s="50"/>
      <c r="AO798" s="9"/>
      <c r="AP798" s="9"/>
    </row>
    <row r="799" spans="1:42" x14ac:dyDescent="0.55000000000000004">
      <c r="A799" t="str">
        <f t="shared" si="12"/>
        <v/>
      </c>
      <c r="C799" s="103"/>
      <c r="D799" s="110"/>
      <c r="E799" s="112"/>
      <c r="F799" s="110"/>
      <c r="G799" s="112"/>
      <c r="H799" s="110"/>
      <c r="I799" s="110"/>
      <c r="J799" s="110"/>
      <c r="K799" s="110"/>
      <c r="L799" s="110"/>
      <c r="M799" s="110"/>
      <c r="N799" s="110"/>
      <c r="O799" s="110"/>
      <c r="P799" s="110"/>
      <c r="Q799" s="110"/>
      <c r="R799" s="110"/>
      <c r="S799" s="110"/>
      <c r="T799" s="110"/>
      <c r="U799" s="49"/>
      <c r="V799" s="49"/>
      <c r="W799" s="49"/>
      <c r="X799" s="49"/>
      <c r="Y799" s="49"/>
      <c r="Z799" s="49"/>
      <c r="AA799" s="49"/>
      <c r="AB799" s="49"/>
      <c r="AC799" s="49"/>
      <c r="AD799" s="113"/>
      <c r="AE799" s="49"/>
      <c r="AF799" s="50"/>
      <c r="AG799" s="50"/>
      <c r="AH799" s="50"/>
      <c r="AI799" s="50"/>
      <c r="AJ799" s="50"/>
      <c r="AK799" s="50"/>
      <c r="AL799" s="50"/>
      <c r="AM799" s="50"/>
      <c r="AN799" s="50"/>
      <c r="AO799" s="9"/>
      <c r="AP799" s="9"/>
    </row>
    <row r="800" spans="1:42" x14ac:dyDescent="0.55000000000000004">
      <c r="A800" t="str">
        <f t="shared" si="12"/>
        <v/>
      </c>
      <c r="C800" s="103"/>
      <c r="D800" s="110"/>
      <c r="E800" s="112"/>
      <c r="F800" s="110"/>
      <c r="G800" s="112"/>
      <c r="H800" s="110"/>
      <c r="I800" s="110"/>
      <c r="J800" s="110"/>
      <c r="K800" s="110"/>
      <c r="L800" s="110"/>
      <c r="M800" s="110"/>
      <c r="N800" s="110"/>
      <c r="O800" s="110"/>
      <c r="P800" s="110"/>
      <c r="Q800" s="110"/>
      <c r="R800" s="110"/>
      <c r="S800" s="110"/>
      <c r="T800" s="110"/>
      <c r="U800" s="49"/>
      <c r="V800" s="49"/>
      <c r="W800" s="49"/>
      <c r="X800" s="49"/>
      <c r="Y800" s="49"/>
      <c r="Z800" s="49"/>
      <c r="AA800" s="49"/>
      <c r="AB800" s="49"/>
      <c r="AC800" s="49"/>
      <c r="AD800" s="113"/>
      <c r="AE800" s="49"/>
      <c r="AF800" s="50"/>
      <c r="AG800" s="50"/>
      <c r="AH800" s="50"/>
      <c r="AI800" s="50"/>
      <c r="AJ800" s="50"/>
      <c r="AK800" s="50"/>
      <c r="AL800" s="50"/>
      <c r="AM800" s="50"/>
      <c r="AN800" s="50"/>
      <c r="AO800" s="9"/>
      <c r="AP800" s="9"/>
    </row>
    <row r="801" spans="1:42" x14ac:dyDescent="0.55000000000000004">
      <c r="A801" t="str">
        <f t="shared" si="12"/>
        <v/>
      </c>
      <c r="C801" s="103"/>
      <c r="D801" s="110"/>
      <c r="E801" s="112"/>
      <c r="F801" s="110"/>
      <c r="G801" s="112"/>
      <c r="H801" s="110"/>
      <c r="I801" s="110"/>
      <c r="J801" s="110"/>
      <c r="K801" s="110"/>
      <c r="L801" s="110"/>
      <c r="M801" s="110"/>
      <c r="N801" s="110"/>
      <c r="O801" s="110"/>
      <c r="P801" s="110"/>
      <c r="Q801" s="110"/>
      <c r="R801" s="110"/>
      <c r="S801" s="110"/>
      <c r="T801" s="110"/>
      <c r="U801" s="49"/>
      <c r="V801" s="49"/>
      <c r="W801" s="49"/>
      <c r="X801" s="49"/>
      <c r="Y801" s="49"/>
      <c r="Z801" s="49"/>
      <c r="AA801" s="49"/>
      <c r="AB801" s="49"/>
      <c r="AC801" s="49"/>
      <c r="AD801" s="113"/>
      <c r="AE801" s="49"/>
      <c r="AF801" s="50"/>
      <c r="AG801" s="50"/>
      <c r="AH801" s="50"/>
      <c r="AI801" s="57"/>
      <c r="AJ801" s="50"/>
      <c r="AK801" s="50"/>
      <c r="AL801" s="50"/>
      <c r="AM801" s="50"/>
      <c r="AN801" s="50"/>
      <c r="AO801" s="9"/>
      <c r="AP801" s="9"/>
    </row>
    <row r="802" spans="1:42" x14ac:dyDescent="0.55000000000000004">
      <c r="A802" t="str">
        <f t="shared" si="12"/>
        <v/>
      </c>
      <c r="C802" s="103"/>
      <c r="D802" s="110"/>
      <c r="E802" s="112"/>
      <c r="F802" s="110"/>
      <c r="G802" s="112"/>
      <c r="H802" s="110"/>
      <c r="I802" s="110"/>
      <c r="J802" s="110"/>
      <c r="K802" s="110"/>
      <c r="L802" s="110"/>
      <c r="M802" s="110"/>
      <c r="N802" s="110"/>
      <c r="O802" s="110"/>
      <c r="P802" s="110"/>
      <c r="Q802" s="110"/>
      <c r="R802" s="110"/>
      <c r="S802" s="110"/>
      <c r="T802" s="110"/>
      <c r="U802" s="49"/>
      <c r="V802" s="49"/>
      <c r="W802" s="49"/>
      <c r="X802" s="49"/>
      <c r="Y802" s="49"/>
      <c r="Z802" s="49"/>
      <c r="AA802" s="49"/>
      <c r="AB802" s="49"/>
      <c r="AC802" s="49"/>
      <c r="AD802" s="113"/>
      <c r="AE802" s="49"/>
      <c r="AF802" s="50"/>
      <c r="AG802" s="50"/>
      <c r="AH802" s="50"/>
      <c r="AI802" s="58"/>
      <c r="AJ802" s="50"/>
      <c r="AK802" s="50"/>
      <c r="AL802" s="50"/>
      <c r="AM802" s="50"/>
      <c r="AN802" s="50"/>
      <c r="AO802" s="9"/>
      <c r="AP802" s="9"/>
    </row>
    <row r="803" spans="1:42" x14ac:dyDescent="0.55000000000000004">
      <c r="A803" t="str">
        <f t="shared" si="12"/>
        <v/>
      </c>
      <c r="C803" s="103"/>
      <c r="D803" s="110"/>
      <c r="E803" s="112"/>
      <c r="F803" s="110"/>
      <c r="G803" s="112"/>
      <c r="H803" s="110"/>
      <c r="I803" s="110"/>
      <c r="J803" s="110"/>
      <c r="K803" s="110"/>
      <c r="L803" s="110"/>
      <c r="M803" s="110"/>
      <c r="N803" s="110"/>
      <c r="O803" s="110"/>
      <c r="P803" s="110"/>
      <c r="Q803" s="110"/>
      <c r="R803" s="110"/>
      <c r="S803" s="110"/>
      <c r="T803" s="110"/>
      <c r="U803" s="49"/>
      <c r="V803" s="49"/>
      <c r="W803" s="49"/>
      <c r="X803" s="49"/>
      <c r="Y803" s="49"/>
      <c r="Z803" s="49"/>
      <c r="AA803" s="49"/>
      <c r="AB803" s="49"/>
      <c r="AC803" s="49"/>
      <c r="AD803" s="113"/>
      <c r="AE803" s="49"/>
      <c r="AF803" s="50"/>
      <c r="AG803" s="50"/>
      <c r="AH803" s="50"/>
      <c r="AI803" s="57"/>
      <c r="AJ803" s="50"/>
      <c r="AK803" s="50"/>
      <c r="AL803" s="50"/>
      <c r="AM803" s="50"/>
      <c r="AN803" s="50"/>
      <c r="AO803" s="9"/>
      <c r="AP803" s="9"/>
    </row>
    <row r="804" spans="1:42" x14ac:dyDescent="0.55000000000000004">
      <c r="A804" t="str">
        <f t="shared" si="12"/>
        <v/>
      </c>
      <c r="C804" s="103"/>
      <c r="D804" s="110"/>
      <c r="E804" s="112"/>
      <c r="F804" s="110"/>
      <c r="G804" s="112"/>
      <c r="H804" s="110"/>
      <c r="I804" s="110"/>
      <c r="J804" s="110"/>
      <c r="K804" s="110"/>
      <c r="L804" s="110"/>
      <c r="M804" s="110"/>
      <c r="N804" s="110"/>
      <c r="O804" s="110"/>
      <c r="P804" s="110"/>
      <c r="Q804" s="110"/>
      <c r="R804" s="110"/>
      <c r="S804" s="110"/>
      <c r="T804" s="110"/>
      <c r="U804" s="49"/>
      <c r="V804" s="49"/>
      <c r="W804" s="49"/>
      <c r="X804" s="49"/>
      <c r="Y804" s="49"/>
      <c r="Z804" s="49"/>
      <c r="AA804" s="49"/>
      <c r="AB804" s="49"/>
      <c r="AC804" s="49"/>
      <c r="AD804" s="113"/>
      <c r="AE804" s="49"/>
      <c r="AF804" s="50"/>
      <c r="AG804" s="50"/>
      <c r="AH804" s="50"/>
      <c r="AI804" s="57"/>
      <c r="AJ804" s="50"/>
      <c r="AK804" s="50"/>
      <c r="AL804" s="50"/>
      <c r="AM804" s="50"/>
      <c r="AN804" s="50"/>
      <c r="AO804" s="9"/>
      <c r="AP804" s="9"/>
    </row>
    <row r="805" spans="1:42" x14ac:dyDescent="0.55000000000000004">
      <c r="A805" t="str">
        <f t="shared" si="12"/>
        <v/>
      </c>
      <c r="C805" s="103"/>
      <c r="D805" s="110"/>
      <c r="E805" s="112"/>
      <c r="F805" s="110"/>
      <c r="G805" s="112"/>
      <c r="H805" s="110"/>
      <c r="I805" s="110"/>
      <c r="J805" s="110"/>
      <c r="K805" s="110"/>
      <c r="L805" s="110"/>
      <c r="M805" s="110"/>
      <c r="N805" s="110"/>
      <c r="O805" s="110"/>
      <c r="P805" s="110"/>
      <c r="Q805" s="110"/>
      <c r="R805" s="110"/>
      <c r="S805" s="110"/>
      <c r="T805" s="110"/>
      <c r="U805" s="49"/>
      <c r="V805" s="49"/>
      <c r="W805" s="49"/>
      <c r="X805" s="49"/>
      <c r="Y805" s="49"/>
      <c r="Z805" s="49"/>
      <c r="AA805" s="49"/>
      <c r="AB805" s="49"/>
      <c r="AC805" s="49"/>
      <c r="AD805" s="113"/>
      <c r="AE805" s="49"/>
      <c r="AF805" s="50"/>
      <c r="AG805" s="50"/>
      <c r="AH805" s="50"/>
      <c r="AI805" s="57"/>
      <c r="AJ805" s="50"/>
      <c r="AK805" s="50"/>
      <c r="AL805" s="50"/>
      <c r="AM805" s="50"/>
      <c r="AN805" s="50"/>
      <c r="AO805" s="9"/>
      <c r="AP805" s="9"/>
    </row>
    <row r="806" spans="1:42" x14ac:dyDescent="0.55000000000000004">
      <c r="A806" t="str">
        <f t="shared" si="12"/>
        <v/>
      </c>
      <c r="C806" s="103"/>
      <c r="D806" s="110"/>
      <c r="E806" s="112"/>
      <c r="F806" s="110"/>
      <c r="G806" s="112"/>
      <c r="H806" s="110"/>
      <c r="I806" s="110"/>
      <c r="J806" s="110"/>
      <c r="K806" s="110"/>
      <c r="L806" s="110"/>
      <c r="M806" s="110"/>
      <c r="N806" s="110"/>
      <c r="O806" s="110"/>
      <c r="P806" s="110"/>
      <c r="Q806" s="110"/>
      <c r="R806" s="110"/>
      <c r="S806" s="110"/>
      <c r="T806" s="110"/>
      <c r="U806" s="49"/>
      <c r="V806" s="49"/>
      <c r="W806" s="49"/>
      <c r="X806" s="49"/>
      <c r="Y806" s="49"/>
      <c r="Z806" s="49"/>
      <c r="AA806" s="49"/>
      <c r="AB806" s="49"/>
      <c r="AC806" s="49"/>
      <c r="AD806" s="113"/>
      <c r="AE806" s="49"/>
      <c r="AF806" s="50"/>
      <c r="AG806" s="50"/>
      <c r="AH806" s="50"/>
      <c r="AI806" s="57"/>
      <c r="AJ806" s="50"/>
      <c r="AK806" s="50"/>
      <c r="AL806" s="50"/>
      <c r="AM806" s="50"/>
      <c r="AN806" s="50"/>
      <c r="AO806" s="9"/>
      <c r="AP806" s="9"/>
    </row>
    <row r="807" spans="1:42" x14ac:dyDescent="0.55000000000000004">
      <c r="A807" t="str">
        <f t="shared" si="12"/>
        <v/>
      </c>
      <c r="C807" s="103"/>
      <c r="D807" s="110"/>
      <c r="E807" s="112"/>
      <c r="F807" s="110"/>
      <c r="G807" s="112"/>
      <c r="H807" s="110"/>
      <c r="I807" s="110"/>
      <c r="J807" s="110"/>
      <c r="K807" s="110"/>
      <c r="L807" s="110"/>
      <c r="M807" s="110"/>
      <c r="N807" s="110"/>
      <c r="O807" s="110"/>
      <c r="P807" s="110"/>
      <c r="Q807" s="110"/>
      <c r="R807" s="110"/>
      <c r="S807" s="110"/>
      <c r="T807" s="110"/>
      <c r="U807" s="49"/>
      <c r="V807" s="49"/>
      <c r="W807" s="49"/>
      <c r="X807" s="49"/>
      <c r="Y807" s="49"/>
      <c r="Z807" s="49"/>
      <c r="AA807" s="49"/>
      <c r="AB807" s="49"/>
      <c r="AC807" s="49"/>
      <c r="AD807" s="113"/>
      <c r="AE807" s="49"/>
      <c r="AF807" s="50"/>
      <c r="AG807" s="50"/>
      <c r="AH807" s="50"/>
      <c r="AI807" s="57"/>
      <c r="AJ807" s="50"/>
      <c r="AK807" s="50"/>
      <c r="AL807" s="50"/>
      <c r="AM807" s="50"/>
      <c r="AN807" s="50"/>
      <c r="AO807" s="9"/>
      <c r="AP807" s="9"/>
    </row>
    <row r="808" spans="1:42" x14ac:dyDescent="0.55000000000000004">
      <c r="A808" t="str">
        <f t="shared" si="12"/>
        <v/>
      </c>
      <c r="C808" s="103"/>
      <c r="D808" s="110"/>
      <c r="E808" s="112"/>
      <c r="F808" s="110"/>
      <c r="G808" s="112"/>
      <c r="H808" s="110"/>
      <c r="I808" s="110"/>
      <c r="J808" s="110"/>
      <c r="K808" s="110"/>
      <c r="L808" s="110"/>
      <c r="M808" s="110"/>
      <c r="N808" s="110"/>
      <c r="O808" s="110"/>
      <c r="P808" s="110"/>
      <c r="Q808" s="110"/>
      <c r="R808" s="110"/>
      <c r="S808" s="110"/>
      <c r="T808" s="110"/>
      <c r="U808" s="49"/>
      <c r="V808" s="49"/>
      <c r="W808" s="49"/>
      <c r="X808" s="49"/>
      <c r="Y808" s="49"/>
      <c r="Z808" s="49"/>
      <c r="AA808" s="49"/>
      <c r="AB808" s="49"/>
      <c r="AC808" s="49"/>
      <c r="AD808" s="113"/>
      <c r="AE808" s="49"/>
      <c r="AF808" s="50"/>
      <c r="AG808" s="50"/>
      <c r="AH808" s="50"/>
      <c r="AI808" s="57"/>
      <c r="AJ808" s="50"/>
      <c r="AK808" s="50"/>
      <c r="AL808" s="50"/>
      <c r="AM808" s="50"/>
      <c r="AN808" s="50"/>
      <c r="AO808" s="9"/>
      <c r="AP808" s="9"/>
    </row>
    <row r="809" spans="1:42" x14ac:dyDescent="0.55000000000000004">
      <c r="A809" t="str">
        <f t="shared" si="12"/>
        <v/>
      </c>
      <c r="C809" s="103"/>
      <c r="D809" s="110"/>
      <c r="E809" s="112"/>
      <c r="F809" s="110"/>
      <c r="G809" s="112"/>
      <c r="H809" s="110"/>
      <c r="I809" s="110"/>
      <c r="J809" s="110"/>
      <c r="K809" s="110"/>
      <c r="L809" s="110"/>
      <c r="M809" s="110"/>
      <c r="N809" s="110"/>
      <c r="O809" s="110"/>
      <c r="P809" s="110"/>
      <c r="Q809" s="110"/>
      <c r="R809" s="110"/>
      <c r="S809" s="110"/>
      <c r="T809" s="110"/>
      <c r="U809" s="49"/>
      <c r="V809" s="49"/>
      <c r="W809" s="49"/>
      <c r="X809" s="49"/>
      <c r="Y809" s="49"/>
      <c r="Z809" s="49"/>
      <c r="AA809" s="49"/>
      <c r="AB809" s="49"/>
      <c r="AC809" s="49"/>
      <c r="AD809" s="113"/>
      <c r="AE809" s="49"/>
      <c r="AF809" s="50"/>
      <c r="AG809" s="50"/>
      <c r="AH809" s="50"/>
      <c r="AI809" s="57"/>
      <c r="AJ809" s="50"/>
      <c r="AK809" s="50"/>
      <c r="AL809" s="50"/>
      <c r="AM809" s="50"/>
      <c r="AN809" s="50"/>
      <c r="AO809" s="9"/>
      <c r="AP809" s="9"/>
    </row>
    <row r="810" spans="1:42" x14ac:dyDescent="0.55000000000000004">
      <c r="A810" t="str">
        <f t="shared" si="12"/>
        <v/>
      </c>
      <c r="C810" s="103"/>
      <c r="D810" s="110"/>
      <c r="E810" s="112"/>
      <c r="F810" s="110"/>
      <c r="G810" s="112"/>
      <c r="H810" s="110"/>
      <c r="I810" s="110"/>
      <c r="J810" s="110"/>
      <c r="K810" s="110"/>
      <c r="L810" s="110"/>
      <c r="M810" s="110"/>
      <c r="N810" s="110"/>
      <c r="O810" s="110"/>
      <c r="P810" s="110"/>
      <c r="Q810" s="110"/>
      <c r="R810" s="110"/>
      <c r="S810" s="110"/>
      <c r="T810" s="110"/>
      <c r="U810" s="49"/>
      <c r="V810" s="49"/>
      <c r="W810" s="49"/>
      <c r="X810" s="49"/>
      <c r="Y810" s="49"/>
      <c r="Z810" s="49"/>
      <c r="AA810" s="49"/>
      <c r="AB810" s="49"/>
      <c r="AC810" s="49"/>
      <c r="AD810" s="113"/>
      <c r="AE810" s="49"/>
      <c r="AF810" s="50"/>
      <c r="AG810" s="50"/>
      <c r="AH810" s="50"/>
      <c r="AI810" s="57"/>
      <c r="AJ810" s="50"/>
      <c r="AK810" s="50"/>
      <c r="AL810" s="50"/>
      <c r="AM810" s="50"/>
      <c r="AN810" s="50"/>
      <c r="AO810" s="9"/>
      <c r="AP810" s="9"/>
    </row>
    <row r="811" spans="1:42" x14ac:dyDescent="0.55000000000000004">
      <c r="A811" t="str">
        <f t="shared" si="12"/>
        <v/>
      </c>
      <c r="C811" s="103"/>
      <c r="D811" s="110"/>
      <c r="E811" s="112"/>
      <c r="F811" s="110"/>
      <c r="G811" s="112"/>
      <c r="H811" s="110"/>
      <c r="I811" s="110"/>
      <c r="J811" s="110"/>
      <c r="K811" s="110"/>
      <c r="L811" s="110"/>
      <c r="M811" s="110"/>
      <c r="N811" s="110"/>
      <c r="O811" s="110"/>
      <c r="P811" s="110"/>
      <c r="Q811" s="110"/>
      <c r="R811" s="110"/>
      <c r="S811" s="110"/>
      <c r="T811" s="110"/>
      <c r="U811" s="49"/>
      <c r="V811" s="49"/>
      <c r="W811" s="49"/>
      <c r="X811" s="49"/>
      <c r="Y811" s="49"/>
      <c r="Z811" s="49"/>
      <c r="AA811" s="49"/>
      <c r="AB811" s="49"/>
      <c r="AC811" s="49"/>
      <c r="AD811" s="113"/>
      <c r="AE811" s="49"/>
      <c r="AF811" s="50"/>
      <c r="AG811" s="50"/>
      <c r="AH811" s="50"/>
      <c r="AI811" s="57"/>
      <c r="AJ811" s="50"/>
      <c r="AK811" s="50"/>
      <c r="AL811" s="50"/>
      <c r="AM811" s="50"/>
      <c r="AN811" s="50"/>
      <c r="AO811" s="9"/>
      <c r="AP811" s="9"/>
    </row>
    <row r="812" spans="1:42" x14ac:dyDescent="0.55000000000000004">
      <c r="A812" t="str">
        <f t="shared" si="12"/>
        <v/>
      </c>
      <c r="C812" s="103"/>
      <c r="D812" s="110"/>
      <c r="E812" s="112"/>
      <c r="F812" s="110"/>
      <c r="G812" s="112"/>
      <c r="H812" s="110"/>
      <c r="I812" s="110"/>
      <c r="J812" s="110"/>
      <c r="K812" s="110"/>
      <c r="L812" s="110"/>
      <c r="M812" s="110"/>
      <c r="N812" s="110"/>
      <c r="O812" s="110"/>
      <c r="P812" s="110"/>
      <c r="Q812" s="110"/>
      <c r="R812" s="110"/>
      <c r="S812" s="110"/>
      <c r="T812" s="110"/>
      <c r="U812" s="49"/>
      <c r="V812" s="49"/>
      <c r="W812" s="49"/>
      <c r="X812" s="49"/>
      <c r="Y812" s="49"/>
      <c r="Z812" s="49"/>
      <c r="AA812" s="49"/>
      <c r="AB812" s="49"/>
      <c r="AC812" s="49"/>
      <c r="AD812" s="113"/>
      <c r="AE812" s="49"/>
      <c r="AF812" s="50"/>
      <c r="AG812" s="50"/>
      <c r="AH812" s="50"/>
      <c r="AI812" s="57"/>
      <c r="AJ812" s="50"/>
      <c r="AK812" s="50"/>
      <c r="AL812" s="50"/>
      <c r="AM812" s="50"/>
      <c r="AN812" s="50"/>
      <c r="AO812" s="9"/>
      <c r="AP812" s="9"/>
    </row>
    <row r="813" spans="1:42" x14ac:dyDescent="0.55000000000000004">
      <c r="A813" t="str">
        <f t="shared" si="12"/>
        <v/>
      </c>
      <c r="C813" s="103"/>
      <c r="D813" s="110"/>
      <c r="E813" s="112"/>
      <c r="F813" s="110"/>
      <c r="G813" s="112"/>
      <c r="H813" s="110"/>
      <c r="I813" s="110"/>
      <c r="J813" s="110"/>
      <c r="K813" s="110"/>
      <c r="L813" s="110"/>
      <c r="M813" s="110"/>
      <c r="N813" s="110"/>
      <c r="O813" s="110"/>
      <c r="P813" s="110"/>
      <c r="Q813" s="110"/>
      <c r="R813" s="110"/>
      <c r="S813" s="110"/>
      <c r="T813" s="110"/>
      <c r="U813" s="49"/>
      <c r="V813" s="49"/>
      <c r="W813" s="49"/>
      <c r="X813" s="49"/>
      <c r="Y813" s="49"/>
      <c r="Z813" s="49"/>
      <c r="AA813" s="49"/>
      <c r="AB813" s="49"/>
      <c r="AC813" s="49"/>
      <c r="AD813" s="113"/>
      <c r="AE813" s="49"/>
      <c r="AF813" s="50"/>
      <c r="AG813" s="50"/>
      <c r="AH813" s="50"/>
      <c r="AI813" s="57"/>
      <c r="AJ813" s="50"/>
      <c r="AK813" s="50"/>
      <c r="AL813" s="50"/>
      <c r="AM813" s="50"/>
      <c r="AN813" s="50"/>
      <c r="AO813" s="9"/>
      <c r="AP813" s="9"/>
    </row>
    <row r="814" spans="1:42" x14ac:dyDescent="0.55000000000000004">
      <c r="A814" t="str">
        <f t="shared" si="12"/>
        <v/>
      </c>
      <c r="C814" s="103"/>
      <c r="D814" s="110"/>
      <c r="E814" s="112"/>
      <c r="F814" s="110"/>
      <c r="G814" s="112"/>
      <c r="H814" s="110"/>
      <c r="I814" s="110"/>
      <c r="J814" s="110"/>
      <c r="K814" s="110"/>
      <c r="L814" s="110"/>
      <c r="M814" s="110"/>
      <c r="N814" s="110"/>
      <c r="O814" s="110"/>
      <c r="P814" s="110"/>
      <c r="Q814" s="110"/>
      <c r="R814" s="110"/>
      <c r="S814" s="110"/>
      <c r="T814" s="110"/>
      <c r="U814" s="49"/>
      <c r="V814" s="49"/>
      <c r="W814" s="49"/>
      <c r="X814" s="49"/>
      <c r="Y814" s="49"/>
      <c r="Z814" s="49"/>
      <c r="AA814" s="49"/>
      <c r="AB814" s="49"/>
      <c r="AC814" s="49"/>
      <c r="AD814" s="113"/>
      <c r="AE814" s="49"/>
      <c r="AF814" s="50"/>
      <c r="AG814" s="50"/>
      <c r="AH814" s="50"/>
      <c r="AI814" s="52"/>
      <c r="AJ814" s="50"/>
      <c r="AK814" s="50"/>
      <c r="AL814" s="50"/>
      <c r="AM814" s="50"/>
      <c r="AN814" s="50"/>
      <c r="AO814" s="9"/>
      <c r="AP814" s="9"/>
    </row>
    <row r="815" spans="1:42" x14ac:dyDescent="0.55000000000000004">
      <c r="A815" t="str">
        <f t="shared" si="12"/>
        <v/>
      </c>
      <c r="C815" s="103"/>
      <c r="D815" s="110"/>
      <c r="E815" s="112"/>
      <c r="F815" s="110"/>
      <c r="G815" s="112"/>
      <c r="H815" s="110"/>
      <c r="I815" s="110"/>
      <c r="J815" s="110"/>
      <c r="K815" s="110"/>
      <c r="L815" s="110"/>
      <c r="M815" s="110"/>
      <c r="N815" s="110"/>
      <c r="O815" s="110"/>
      <c r="P815" s="110"/>
      <c r="Q815" s="110"/>
      <c r="R815" s="110"/>
      <c r="S815" s="110"/>
      <c r="T815" s="110"/>
      <c r="U815" s="49"/>
      <c r="V815" s="49"/>
      <c r="W815" s="49"/>
      <c r="X815" s="49"/>
      <c r="Y815" s="49"/>
      <c r="Z815" s="49"/>
      <c r="AA815" s="49"/>
      <c r="AB815" s="49"/>
      <c r="AC815" s="49"/>
      <c r="AD815" s="113"/>
      <c r="AE815" s="49"/>
      <c r="AF815" s="50"/>
      <c r="AG815" s="50"/>
      <c r="AH815" s="50"/>
      <c r="AI815" s="52"/>
      <c r="AJ815" s="50"/>
      <c r="AK815" s="50"/>
      <c r="AL815" s="50"/>
      <c r="AM815" s="50"/>
      <c r="AN815" s="50"/>
      <c r="AO815" s="9"/>
      <c r="AP815" s="9"/>
    </row>
    <row r="816" spans="1:42" x14ac:dyDescent="0.55000000000000004">
      <c r="A816" t="str">
        <f t="shared" si="12"/>
        <v/>
      </c>
      <c r="C816" s="103"/>
      <c r="D816" s="110"/>
      <c r="E816" s="112"/>
      <c r="F816" s="110"/>
      <c r="G816" s="112"/>
      <c r="H816" s="110"/>
      <c r="I816" s="110"/>
      <c r="J816" s="110"/>
      <c r="K816" s="110"/>
      <c r="L816" s="110"/>
      <c r="M816" s="110"/>
      <c r="N816" s="110"/>
      <c r="O816" s="110"/>
      <c r="P816" s="110"/>
      <c r="Q816" s="110"/>
      <c r="R816" s="110"/>
      <c r="S816" s="110"/>
      <c r="T816" s="110"/>
      <c r="U816" s="49"/>
      <c r="V816" s="49"/>
      <c r="W816" s="49"/>
      <c r="X816" s="49"/>
      <c r="Y816" s="49"/>
      <c r="Z816" s="49"/>
      <c r="AA816" s="49"/>
      <c r="AB816" s="49"/>
      <c r="AC816" s="49"/>
      <c r="AD816" s="113"/>
      <c r="AE816" s="49"/>
      <c r="AF816" s="50"/>
      <c r="AG816" s="50"/>
      <c r="AH816" s="50"/>
      <c r="AI816" s="52"/>
      <c r="AJ816" s="50"/>
      <c r="AK816" s="50"/>
      <c r="AL816" s="50"/>
      <c r="AM816" s="50"/>
      <c r="AN816" s="50"/>
      <c r="AO816" s="9"/>
      <c r="AP816" s="9"/>
    </row>
    <row r="817" spans="1:42" x14ac:dyDescent="0.55000000000000004">
      <c r="A817" t="str">
        <f t="shared" si="12"/>
        <v/>
      </c>
      <c r="C817" s="103"/>
      <c r="D817" s="110"/>
      <c r="E817" s="112"/>
      <c r="F817" s="110"/>
      <c r="G817" s="112"/>
      <c r="H817" s="110"/>
      <c r="I817" s="110"/>
      <c r="J817" s="110"/>
      <c r="K817" s="110"/>
      <c r="L817" s="110"/>
      <c r="M817" s="110"/>
      <c r="N817" s="110"/>
      <c r="O817" s="110"/>
      <c r="P817" s="110"/>
      <c r="Q817" s="110"/>
      <c r="R817" s="110"/>
      <c r="S817" s="110"/>
      <c r="T817" s="110"/>
      <c r="U817" s="49"/>
      <c r="V817" s="49"/>
      <c r="W817" s="49"/>
      <c r="X817" s="49"/>
      <c r="Y817" s="49"/>
      <c r="Z817" s="49"/>
      <c r="AA817" s="49"/>
      <c r="AB817" s="49"/>
      <c r="AC817" s="49"/>
      <c r="AD817" s="113"/>
      <c r="AE817" s="49"/>
      <c r="AF817" s="50"/>
      <c r="AG817" s="50"/>
      <c r="AH817" s="50"/>
      <c r="AI817" s="52"/>
      <c r="AJ817" s="50"/>
      <c r="AK817" s="50"/>
      <c r="AL817" s="50"/>
      <c r="AM817" s="50"/>
      <c r="AN817" s="50"/>
      <c r="AO817" s="9"/>
      <c r="AP817" s="9"/>
    </row>
    <row r="818" spans="1:42" x14ac:dyDescent="0.55000000000000004">
      <c r="A818" t="str">
        <f t="shared" si="12"/>
        <v/>
      </c>
      <c r="C818" s="103"/>
      <c r="D818" s="110"/>
      <c r="E818" s="112"/>
      <c r="F818" s="110"/>
      <c r="G818" s="112"/>
      <c r="H818" s="110"/>
      <c r="I818" s="110"/>
      <c r="J818" s="110"/>
      <c r="K818" s="110"/>
      <c r="L818" s="110"/>
      <c r="M818" s="110"/>
      <c r="N818" s="110"/>
      <c r="O818" s="110"/>
      <c r="P818" s="110"/>
      <c r="Q818" s="110"/>
      <c r="R818" s="110"/>
      <c r="S818" s="110"/>
      <c r="T818" s="110"/>
      <c r="U818" s="49"/>
      <c r="V818" s="49"/>
      <c r="W818" s="49"/>
      <c r="X818" s="49"/>
      <c r="Y818" s="49"/>
      <c r="Z818" s="49"/>
      <c r="AA818" s="49"/>
      <c r="AB818" s="49"/>
      <c r="AC818" s="49"/>
      <c r="AD818" s="113"/>
      <c r="AE818" s="49"/>
      <c r="AF818" s="50"/>
      <c r="AG818" s="50"/>
      <c r="AH818" s="50"/>
      <c r="AI818" s="52"/>
      <c r="AJ818" s="50"/>
      <c r="AK818" s="50"/>
      <c r="AL818" s="50"/>
      <c r="AM818" s="50"/>
      <c r="AN818" s="50"/>
      <c r="AO818" s="9"/>
      <c r="AP818" s="9"/>
    </row>
    <row r="819" spans="1:42" x14ac:dyDescent="0.55000000000000004">
      <c r="A819" t="str">
        <f t="shared" si="12"/>
        <v/>
      </c>
      <c r="C819" s="103"/>
      <c r="D819" s="110"/>
      <c r="E819" s="112"/>
      <c r="F819" s="110"/>
      <c r="G819" s="112"/>
      <c r="H819" s="110"/>
      <c r="I819" s="110"/>
      <c r="J819" s="110"/>
      <c r="K819" s="110"/>
      <c r="L819" s="110"/>
      <c r="M819" s="110"/>
      <c r="N819" s="110"/>
      <c r="O819" s="110"/>
      <c r="P819" s="110"/>
      <c r="Q819" s="110"/>
      <c r="R819" s="110"/>
      <c r="S819" s="110"/>
      <c r="T819" s="110"/>
      <c r="U819" s="49"/>
      <c r="V819" s="49"/>
      <c r="W819" s="49"/>
      <c r="X819" s="49"/>
      <c r="Y819" s="49"/>
      <c r="Z819" s="49"/>
      <c r="AA819" s="49"/>
      <c r="AB819" s="49"/>
      <c r="AC819" s="49"/>
      <c r="AD819" s="113"/>
      <c r="AE819" s="49"/>
      <c r="AF819" s="50"/>
      <c r="AG819" s="50"/>
      <c r="AH819" s="50"/>
      <c r="AI819" s="52"/>
      <c r="AJ819" s="50"/>
      <c r="AK819" s="50"/>
      <c r="AL819" s="50"/>
      <c r="AM819" s="50"/>
      <c r="AN819" s="50"/>
      <c r="AO819" s="9"/>
      <c r="AP819" s="9"/>
    </row>
    <row r="820" spans="1:42" x14ac:dyDescent="0.55000000000000004">
      <c r="A820" t="str">
        <f t="shared" si="12"/>
        <v/>
      </c>
      <c r="C820" s="103"/>
      <c r="D820" s="110"/>
      <c r="E820" s="112"/>
      <c r="F820" s="110"/>
      <c r="G820" s="112"/>
      <c r="H820" s="110"/>
      <c r="I820" s="110"/>
      <c r="J820" s="110"/>
      <c r="K820" s="110"/>
      <c r="L820" s="110"/>
      <c r="M820" s="110"/>
      <c r="N820" s="110"/>
      <c r="O820" s="110"/>
      <c r="P820" s="110"/>
      <c r="Q820" s="110"/>
      <c r="R820" s="110"/>
      <c r="S820" s="110"/>
      <c r="T820" s="110"/>
      <c r="U820" s="49"/>
      <c r="V820" s="49"/>
      <c r="W820" s="49"/>
      <c r="X820" s="49"/>
      <c r="Y820" s="49"/>
      <c r="Z820" s="49"/>
      <c r="AA820" s="49"/>
      <c r="AB820" s="49"/>
      <c r="AC820" s="49"/>
      <c r="AD820" s="113"/>
      <c r="AE820" s="49"/>
      <c r="AF820" s="50"/>
      <c r="AG820" s="50"/>
      <c r="AH820" s="50"/>
      <c r="AI820" s="52"/>
      <c r="AJ820" s="50"/>
      <c r="AK820" s="50"/>
      <c r="AL820" s="50"/>
      <c r="AM820" s="50"/>
      <c r="AN820" s="50"/>
      <c r="AO820" s="9"/>
      <c r="AP820" s="9"/>
    </row>
    <row r="821" spans="1:42" x14ac:dyDescent="0.55000000000000004">
      <c r="A821" t="str">
        <f t="shared" si="12"/>
        <v/>
      </c>
      <c r="C821" s="103"/>
      <c r="D821" s="110"/>
      <c r="E821" s="112"/>
      <c r="F821" s="110"/>
      <c r="G821" s="112"/>
      <c r="H821" s="110"/>
      <c r="I821" s="110"/>
      <c r="J821" s="110"/>
      <c r="K821" s="110"/>
      <c r="L821" s="110"/>
      <c r="M821" s="110"/>
      <c r="N821" s="110"/>
      <c r="O821" s="110"/>
      <c r="P821" s="110"/>
      <c r="Q821" s="110"/>
      <c r="R821" s="110"/>
      <c r="S821" s="110"/>
      <c r="T821" s="110"/>
      <c r="U821" s="49"/>
      <c r="V821" s="49"/>
      <c r="W821" s="49"/>
      <c r="X821" s="49"/>
      <c r="Y821" s="49"/>
      <c r="Z821" s="49"/>
      <c r="AA821" s="49"/>
      <c r="AB821" s="49"/>
      <c r="AC821" s="49"/>
      <c r="AD821" s="113"/>
      <c r="AE821" s="49"/>
      <c r="AF821" s="50"/>
      <c r="AG821" s="50"/>
      <c r="AH821" s="50"/>
      <c r="AI821" s="52"/>
      <c r="AJ821" s="50"/>
      <c r="AK821" s="50"/>
      <c r="AL821" s="50"/>
      <c r="AM821" s="50"/>
      <c r="AN821" s="50"/>
      <c r="AO821" s="9"/>
      <c r="AP821" s="9"/>
    </row>
    <row r="822" spans="1:42" x14ac:dyDescent="0.55000000000000004">
      <c r="A822" t="str">
        <f t="shared" si="12"/>
        <v/>
      </c>
      <c r="C822" s="103"/>
      <c r="D822" s="110"/>
      <c r="E822" s="112"/>
      <c r="F822" s="110"/>
      <c r="G822" s="112"/>
      <c r="H822" s="110"/>
      <c r="I822" s="110"/>
      <c r="J822" s="110"/>
      <c r="K822" s="110"/>
      <c r="L822" s="110"/>
      <c r="M822" s="110"/>
      <c r="N822" s="110"/>
      <c r="O822" s="110"/>
      <c r="P822" s="110"/>
      <c r="Q822" s="110"/>
      <c r="R822" s="110"/>
      <c r="S822" s="110"/>
      <c r="T822" s="110"/>
      <c r="U822" s="49"/>
      <c r="V822" s="49"/>
      <c r="W822" s="49"/>
      <c r="X822" s="49"/>
      <c r="Y822" s="49"/>
      <c r="Z822" s="49"/>
      <c r="AA822" s="49"/>
      <c r="AB822" s="49"/>
      <c r="AC822" s="49"/>
      <c r="AD822" s="113"/>
      <c r="AE822" s="49"/>
      <c r="AF822" s="50"/>
      <c r="AG822" s="50"/>
      <c r="AH822" s="50"/>
      <c r="AI822" s="52"/>
      <c r="AJ822" s="50"/>
      <c r="AK822" s="50"/>
      <c r="AL822" s="50"/>
      <c r="AM822" s="50"/>
      <c r="AN822" s="50"/>
      <c r="AO822" s="9"/>
      <c r="AP822" s="9"/>
    </row>
    <row r="823" spans="1:42" x14ac:dyDescent="0.55000000000000004">
      <c r="A823" t="str">
        <f t="shared" si="12"/>
        <v/>
      </c>
      <c r="C823" s="103"/>
      <c r="D823" s="110"/>
      <c r="E823" s="112"/>
      <c r="F823" s="110"/>
      <c r="G823" s="112"/>
      <c r="H823" s="110"/>
      <c r="I823" s="110"/>
      <c r="J823" s="110"/>
      <c r="K823" s="110"/>
      <c r="L823" s="110"/>
      <c r="M823" s="110"/>
      <c r="N823" s="110"/>
      <c r="O823" s="110"/>
      <c r="P823" s="110"/>
      <c r="Q823" s="110"/>
      <c r="R823" s="110"/>
      <c r="S823" s="110"/>
      <c r="T823" s="110"/>
      <c r="U823" s="49"/>
      <c r="V823" s="49"/>
      <c r="W823" s="49"/>
      <c r="X823" s="49"/>
      <c r="Y823" s="49"/>
      <c r="Z823" s="49"/>
      <c r="AA823" s="49"/>
      <c r="AB823" s="49"/>
      <c r="AC823" s="49"/>
      <c r="AD823" s="113"/>
      <c r="AE823" s="49"/>
      <c r="AF823" s="50"/>
      <c r="AG823" s="50"/>
      <c r="AH823" s="50"/>
      <c r="AI823" s="52"/>
      <c r="AJ823" s="50"/>
      <c r="AK823" s="50"/>
      <c r="AL823" s="50"/>
      <c r="AM823" s="50"/>
      <c r="AN823" s="50"/>
      <c r="AO823" s="9"/>
      <c r="AP823" s="9"/>
    </row>
    <row r="824" spans="1:42" x14ac:dyDescent="0.55000000000000004">
      <c r="A824" t="str">
        <f t="shared" si="12"/>
        <v/>
      </c>
      <c r="C824" s="103"/>
      <c r="D824" s="110"/>
      <c r="E824" s="112"/>
      <c r="F824" s="110"/>
      <c r="G824" s="112"/>
      <c r="H824" s="110"/>
      <c r="I824" s="110"/>
      <c r="J824" s="110"/>
      <c r="K824" s="110"/>
      <c r="L824" s="110"/>
      <c r="M824" s="110"/>
      <c r="N824" s="110"/>
      <c r="O824" s="110"/>
      <c r="P824" s="110"/>
      <c r="Q824" s="110"/>
      <c r="R824" s="110"/>
      <c r="S824" s="110"/>
      <c r="T824" s="110"/>
      <c r="U824" s="49"/>
      <c r="V824" s="49"/>
      <c r="W824" s="49"/>
      <c r="X824" s="49"/>
      <c r="Y824" s="49"/>
      <c r="Z824" s="49"/>
      <c r="AA824" s="49"/>
      <c r="AB824" s="49"/>
      <c r="AC824" s="49"/>
      <c r="AD824" s="113"/>
      <c r="AE824" s="49"/>
      <c r="AF824" s="50"/>
      <c r="AG824" s="50"/>
      <c r="AH824" s="50"/>
      <c r="AI824" s="52"/>
      <c r="AJ824" s="50"/>
      <c r="AK824" s="50"/>
      <c r="AL824" s="50"/>
      <c r="AM824" s="50"/>
      <c r="AN824" s="50"/>
      <c r="AO824" s="9"/>
      <c r="AP824" s="9"/>
    </row>
    <row r="825" spans="1:42" x14ac:dyDescent="0.55000000000000004">
      <c r="A825" t="str">
        <f t="shared" si="12"/>
        <v/>
      </c>
      <c r="C825" s="103"/>
      <c r="D825" s="110"/>
      <c r="E825" s="112"/>
      <c r="F825" s="110"/>
      <c r="G825" s="112"/>
      <c r="H825" s="110"/>
      <c r="I825" s="110"/>
      <c r="J825" s="110"/>
      <c r="K825" s="110"/>
      <c r="L825" s="110"/>
      <c r="M825" s="110"/>
      <c r="N825" s="110"/>
      <c r="O825" s="110"/>
      <c r="P825" s="110"/>
      <c r="Q825" s="110"/>
      <c r="R825" s="110"/>
      <c r="S825" s="110"/>
      <c r="T825" s="110"/>
      <c r="U825" s="49"/>
      <c r="V825" s="49"/>
      <c r="W825" s="49"/>
      <c r="X825" s="49"/>
      <c r="Y825" s="49"/>
      <c r="Z825" s="49"/>
      <c r="AA825" s="49"/>
      <c r="AB825" s="49"/>
      <c r="AC825" s="49"/>
      <c r="AD825" s="113"/>
      <c r="AE825" s="49"/>
      <c r="AF825" s="50"/>
      <c r="AG825" s="50"/>
      <c r="AH825" s="50"/>
      <c r="AI825" s="52"/>
      <c r="AJ825" s="50"/>
      <c r="AK825" s="50"/>
      <c r="AL825" s="50"/>
      <c r="AM825" s="50"/>
      <c r="AN825" s="50"/>
      <c r="AO825" s="9"/>
      <c r="AP825" s="9"/>
    </row>
    <row r="826" spans="1:42" x14ac:dyDescent="0.55000000000000004">
      <c r="A826" t="str">
        <f t="shared" si="12"/>
        <v/>
      </c>
      <c r="C826" s="103"/>
      <c r="D826" s="110"/>
      <c r="E826" s="112"/>
      <c r="F826" s="110"/>
      <c r="G826" s="112"/>
      <c r="H826" s="110"/>
      <c r="I826" s="110"/>
      <c r="J826" s="110"/>
      <c r="K826" s="110"/>
      <c r="L826" s="110"/>
      <c r="M826" s="110"/>
      <c r="N826" s="110"/>
      <c r="O826" s="110"/>
      <c r="P826" s="110"/>
      <c r="Q826" s="110"/>
      <c r="R826" s="110"/>
      <c r="S826" s="110"/>
      <c r="T826" s="110"/>
      <c r="U826" s="49"/>
      <c r="V826" s="49"/>
      <c r="W826" s="49"/>
      <c r="X826" s="49"/>
      <c r="Y826" s="49"/>
      <c r="Z826" s="49"/>
      <c r="AA826" s="49"/>
      <c r="AB826" s="49"/>
      <c r="AC826" s="49"/>
      <c r="AD826" s="113"/>
      <c r="AE826" s="49"/>
      <c r="AF826" s="50"/>
      <c r="AG826" s="50"/>
      <c r="AH826" s="50"/>
      <c r="AI826" s="52"/>
      <c r="AJ826" s="50"/>
      <c r="AK826" s="50"/>
      <c r="AL826" s="50"/>
      <c r="AM826" s="50"/>
      <c r="AN826" s="50"/>
      <c r="AO826" s="9"/>
      <c r="AP826" s="9"/>
    </row>
    <row r="827" spans="1:42" x14ac:dyDescent="0.55000000000000004">
      <c r="A827" t="str">
        <f t="shared" si="12"/>
        <v/>
      </c>
      <c r="C827" s="103"/>
      <c r="D827" s="110"/>
      <c r="E827" s="112"/>
      <c r="F827" s="110"/>
      <c r="G827" s="112"/>
      <c r="H827" s="110"/>
      <c r="I827" s="110"/>
      <c r="J827" s="110"/>
      <c r="K827" s="110"/>
      <c r="L827" s="110"/>
      <c r="M827" s="110"/>
      <c r="N827" s="110"/>
      <c r="O827" s="110"/>
      <c r="P827" s="110"/>
      <c r="Q827" s="110"/>
      <c r="R827" s="110"/>
      <c r="S827" s="110"/>
      <c r="T827" s="110"/>
      <c r="U827" s="49"/>
      <c r="V827" s="49"/>
      <c r="W827" s="49"/>
      <c r="X827" s="49"/>
      <c r="Y827" s="49"/>
      <c r="Z827" s="49"/>
      <c r="AA827" s="49"/>
      <c r="AB827" s="49"/>
      <c r="AC827" s="49"/>
      <c r="AD827" s="113"/>
      <c r="AE827" s="49"/>
      <c r="AF827" s="50"/>
      <c r="AG827" s="50"/>
      <c r="AH827" s="50"/>
      <c r="AI827" s="52"/>
      <c r="AJ827" s="50"/>
      <c r="AK827" s="50"/>
      <c r="AL827" s="50"/>
      <c r="AM827" s="50"/>
      <c r="AN827" s="50"/>
      <c r="AO827" s="9"/>
      <c r="AP827" s="9"/>
    </row>
    <row r="828" spans="1:42" x14ac:dyDescent="0.55000000000000004">
      <c r="A828" t="str">
        <f t="shared" si="12"/>
        <v/>
      </c>
      <c r="C828" s="103"/>
      <c r="D828" s="110"/>
      <c r="E828" s="112"/>
      <c r="F828" s="110"/>
      <c r="G828" s="112"/>
      <c r="H828" s="110"/>
      <c r="I828" s="110"/>
      <c r="J828" s="110"/>
      <c r="K828" s="110"/>
      <c r="L828" s="110"/>
      <c r="M828" s="110"/>
      <c r="N828" s="110"/>
      <c r="O828" s="110"/>
      <c r="P828" s="110"/>
      <c r="Q828" s="110"/>
      <c r="R828" s="110"/>
      <c r="S828" s="110"/>
      <c r="T828" s="110"/>
      <c r="U828" s="49"/>
      <c r="V828" s="49"/>
      <c r="W828" s="49"/>
      <c r="X828" s="49"/>
      <c r="Y828" s="49"/>
      <c r="Z828" s="49"/>
      <c r="AA828" s="49"/>
      <c r="AB828" s="49"/>
      <c r="AC828" s="49"/>
      <c r="AD828" s="113"/>
      <c r="AE828" s="49"/>
      <c r="AF828" s="50"/>
      <c r="AG828" s="50"/>
      <c r="AH828" s="50"/>
      <c r="AI828" s="52"/>
      <c r="AJ828" s="50"/>
      <c r="AK828" s="50"/>
      <c r="AL828" s="50"/>
      <c r="AM828" s="50"/>
      <c r="AN828" s="50"/>
      <c r="AO828" s="9"/>
      <c r="AP828" s="9"/>
    </row>
    <row r="829" spans="1:42" x14ac:dyDescent="0.55000000000000004">
      <c r="A829" t="str">
        <f t="shared" si="12"/>
        <v/>
      </c>
      <c r="C829" s="103"/>
      <c r="D829" s="110"/>
      <c r="E829" s="112"/>
      <c r="F829" s="110"/>
      <c r="G829" s="112"/>
      <c r="H829" s="110"/>
      <c r="I829" s="110"/>
      <c r="J829" s="110"/>
      <c r="K829" s="110"/>
      <c r="L829" s="110"/>
      <c r="M829" s="110"/>
      <c r="N829" s="110"/>
      <c r="O829" s="110"/>
      <c r="P829" s="110"/>
      <c r="Q829" s="110"/>
      <c r="R829" s="110"/>
      <c r="S829" s="110"/>
      <c r="T829" s="110"/>
      <c r="U829" s="49"/>
      <c r="V829" s="49"/>
      <c r="W829" s="49"/>
      <c r="X829" s="49"/>
      <c r="Y829" s="49"/>
      <c r="Z829" s="49"/>
      <c r="AA829" s="49"/>
      <c r="AB829" s="49"/>
      <c r="AC829" s="49"/>
      <c r="AD829" s="113"/>
      <c r="AE829" s="49"/>
      <c r="AF829" s="50"/>
      <c r="AG829" s="50"/>
      <c r="AH829" s="50"/>
      <c r="AI829" s="52"/>
      <c r="AJ829" s="50"/>
      <c r="AK829" s="50"/>
      <c r="AL829" s="50"/>
      <c r="AM829" s="50"/>
      <c r="AN829" s="50"/>
      <c r="AO829" s="9"/>
      <c r="AP829" s="9"/>
    </row>
    <row r="830" spans="1:42" x14ac:dyDescent="0.55000000000000004">
      <c r="A830" t="str">
        <f t="shared" si="12"/>
        <v/>
      </c>
      <c r="C830" s="103"/>
      <c r="D830" s="110"/>
      <c r="E830" s="112"/>
      <c r="F830" s="110"/>
      <c r="G830" s="112"/>
      <c r="H830" s="110"/>
      <c r="I830" s="110"/>
      <c r="J830" s="110"/>
      <c r="K830" s="110"/>
      <c r="L830" s="110"/>
      <c r="M830" s="110"/>
      <c r="N830" s="110"/>
      <c r="O830" s="110"/>
      <c r="P830" s="110"/>
      <c r="Q830" s="110"/>
      <c r="R830" s="110"/>
      <c r="S830" s="110"/>
      <c r="T830" s="110"/>
      <c r="U830" s="49"/>
      <c r="V830" s="49"/>
      <c r="W830" s="49"/>
      <c r="X830" s="49"/>
      <c r="Y830" s="49"/>
      <c r="Z830" s="49"/>
      <c r="AA830" s="49"/>
      <c r="AB830" s="49"/>
      <c r="AC830" s="49"/>
      <c r="AD830" s="113"/>
      <c r="AE830" s="49"/>
      <c r="AF830" s="50"/>
      <c r="AG830" s="50"/>
      <c r="AH830" s="50"/>
      <c r="AI830" s="52"/>
      <c r="AJ830" s="50"/>
      <c r="AK830" s="50"/>
      <c r="AL830" s="50"/>
      <c r="AM830" s="50"/>
      <c r="AN830" s="50"/>
      <c r="AO830" s="9"/>
      <c r="AP830" s="9"/>
    </row>
    <row r="831" spans="1:42" x14ac:dyDescent="0.55000000000000004">
      <c r="A831" t="str">
        <f t="shared" si="12"/>
        <v/>
      </c>
      <c r="C831" s="103"/>
      <c r="D831" s="110"/>
      <c r="E831" s="112"/>
      <c r="F831" s="110"/>
      <c r="G831" s="112"/>
      <c r="H831" s="110"/>
      <c r="I831" s="110"/>
      <c r="J831" s="110"/>
      <c r="K831" s="110"/>
      <c r="L831" s="110"/>
      <c r="M831" s="110"/>
      <c r="N831" s="110"/>
      <c r="O831" s="110"/>
      <c r="P831" s="110"/>
      <c r="Q831" s="110"/>
      <c r="R831" s="110"/>
      <c r="S831" s="110"/>
      <c r="T831" s="110"/>
      <c r="U831" s="49"/>
      <c r="V831" s="49"/>
      <c r="W831" s="49"/>
      <c r="X831" s="49"/>
      <c r="Y831" s="49"/>
      <c r="Z831" s="49"/>
      <c r="AA831" s="49"/>
      <c r="AB831" s="49"/>
      <c r="AC831" s="49"/>
      <c r="AD831" s="113"/>
      <c r="AE831" s="49"/>
      <c r="AF831" s="50"/>
      <c r="AG831" s="50"/>
      <c r="AH831" s="50"/>
      <c r="AI831" s="52"/>
      <c r="AJ831" s="50"/>
      <c r="AK831" s="50"/>
      <c r="AL831" s="50"/>
      <c r="AM831" s="50"/>
      <c r="AN831" s="50"/>
      <c r="AO831" s="9"/>
      <c r="AP831" s="9"/>
    </row>
    <row r="832" spans="1:42" x14ac:dyDescent="0.55000000000000004">
      <c r="A832" t="str">
        <f t="shared" si="12"/>
        <v/>
      </c>
      <c r="C832" s="103"/>
      <c r="D832" s="110"/>
      <c r="E832" s="112"/>
      <c r="F832" s="110"/>
      <c r="G832" s="112"/>
      <c r="H832" s="110"/>
      <c r="I832" s="110"/>
      <c r="J832" s="110"/>
      <c r="K832" s="110"/>
      <c r="L832" s="110"/>
      <c r="M832" s="110"/>
      <c r="N832" s="110"/>
      <c r="O832" s="110"/>
      <c r="P832" s="110"/>
      <c r="Q832" s="110"/>
      <c r="R832" s="110"/>
      <c r="S832" s="110"/>
      <c r="T832" s="110"/>
      <c r="U832" s="49"/>
      <c r="V832" s="49"/>
      <c r="W832" s="49"/>
      <c r="X832" s="49"/>
      <c r="Y832" s="49"/>
      <c r="Z832" s="49"/>
      <c r="AA832" s="49"/>
      <c r="AB832" s="49"/>
      <c r="AC832" s="49"/>
      <c r="AD832" s="113"/>
      <c r="AE832" s="49"/>
      <c r="AF832" s="50"/>
      <c r="AG832" s="50"/>
      <c r="AH832" s="50"/>
      <c r="AI832" s="52"/>
      <c r="AJ832" s="50"/>
      <c r="AK832" s="50"/>
      <c r="AL832" s="50"/>
      <c r="AM832" s="50"/>
      <c r="AN832" s="50"/>
      <c r="AO832" s="9"/>
      <c r="AP832" s="9"/>
    </row>
    <row r="833" spans="1:42" x14ac:dyDescent="0.55000000000000004">
      <c r="A833" t="str">
        <f t="shared" si="12"/>
        <v/>
      </c>
      <c r="C833" s="103"/>
      <c r="D833" s="110"/>
      <c r="E833" s="112"/>
      <c r="F833" s="110"/>
      <c r="G833" s="112"/>
      <c r="H833" s="110"/>
      <c r="I833" s="110"/>
      <c r="J833" s="110"/>
      <c r="K833" s="110"/>
      <c r="L833" s="110"/>
      <c r="M833" s="110"/>
      <c r="N833" s="110"/>
      <c r="O833" s="110"/>
      <c r="P833" s="110"/>
      <c r="Q833" s="110"/>
      <c r="R833" s="110"/>
      <c r="S833" s="110"/>
      <c r="T833" s="110"/>
      <c r="U833" s="49"/>
      <c r="V833" s="49"/>
      <c r="W833" s="49"/>
      <c r="X833" s="49"/>
      <c r="Y833" s="49"/>
      <c r="Z833" s="49"/>
      <c r="AA833" s="49"/>
      <c r="AB833" s="49"/>
      <c r="AC833" s="49"/>
      <c r="AD833" s="113"/>
      <c r="AE833" s="49"/>
      <c r="AF833" s="50"/>
      <c r="AG833" s="50"/>
      <c r="AH833" s="50"/>
      <c r="AI833" s="52"/>
      <c r="AJ833" s="50"/>
      <c r="AK833" s="50"/>
      <c r="AL833" s="50"/>
      <c r="AM833" s="50"/>
      <c r="AN833" s="50"/>
      <c r="AO833" s="9"/>
      <c r="AP833" s="9"/>
    </row>
    <row r="834" spans="1:42" x14ac:dyDescent="0.55000000000000004">
      <c r="A834" t="str">
        <f t="shared" si="12"/>
        <v/>
      </c>
      <c r="C834" s="103"/>
      <c r="D834" s="110"/>
      <c r="E834" s="112"/>
      <c r="F834" s="110"/>
      <c r="G834" s="112"/>
      <c r="H834" s="110"/>
      <c r="I834" s="110"/>
      <c r="J834" s="110"/>
      <c r="K834" s="110"/>
      <c r="L834" s="110"/>
      <c r="M834" s="110"/>
      <c r="N834" s="110"/>
      <c r="O834" s="110"/>
      <c r="P834" s="110"/>
      <c r="Q834" s="110"/>
      <c r="R834" s="110"/>
      <c r="S834" s="110"/>
      <c r="T834" s="110"/>
      <c r="U834" s="49"/>
      <c r="V834" s="49"/>
      <c r="W834" s="49"/>
      <c r="X834" s="49"/>
      <c r="Y834" s="49"/>
      <c r="Z834" s="49"/>
      <c r="AA834" s="49"/>
      <c r="AB834" s="49"/>
      <c r="AC834" s="49"/>
      <c r="AD834" s="113"/>
      <c r="AE834" s="49"/>
      <c r="AF834" s="50"/>
      <c r="AG834" s="50"/>
      <c r="AH834" s="50"/>
      <c r="AI834" s="52"/>
      <c r="AJ834" s="50"/>
      <c r="AK834" s="50"/>
      <c r="AL834" s="50"/>
      <c r="AM834" s="50"/>
      <c r="AN834" s="50"/>
      <c r="AO834" s="9"/>
      <c r="AP834" s="9"/>
    </row>
    <row r="835" spans="1:42" x14ac:dyDescent="0.55000000000000004">
      <c r="A835" t="str">
        <f t="shared" ref="A835:A898" si="13">H835&amp;I835&amp;J835</f>
        <v/>
      </c>
      <c r="C835" s="103"/>
      <c r="D835" s="110"/>
      <c r="E835" s="112"/>
      <c r="F835" s="110"/>
      <c r="G835" s="112"/>
      <c r="H835" s="110"/>
      <c r="I835" s="110"/>
      <c r="J835" s="110"/>
      <c r="K835" s="110"/>
      <c r="L835" s="110"/>
      <c r="M835" s="110"/>
      <c r="N835" s="110"/>
      <c r="O835" s="110"/>
      <c r="P835" s="110"/>
      <c r="Q835" s="110"/>
      <c r="R835" s="110"/>
      <c r="S835" s="110"/>
      <c r="T835" s="110"/>
      <c r="U835" s="49"/>
      <c r="V835" s="49"/>
      <c r="W835" s="49"/>
      <c r="X835" s="49"/>
      <c r="Y835" s="49"/>
      <c r="Z835" s="49"/>
      <c r="AA835" s="49"/>
      <c r="AB835" s="49"/>
      <c r="AC835" s="49"/>
      <c r="AD835" s="113"/>
      <c r="AE835" s="49"/>
      <c r="AF835" s="50"/>
      <c r="AG835" s="50"/>
      <c r="AH835" s="50"/>
      <c r="AI835" s="52"/>
      <c r="AJ835" s="50"/>
      <c r="AK835" s="50"/>
      <c r="AL835" s="50"/>
      <c r="AM835" s="50"/>
      <c r="AN835" s="50"/>
      <c r="AO835" s="9"/>
      <c r="AP835" s="9"/>
    </row>
    <row r="836" spans="1:42" x14ac:dyDescent="0.55000000000000004">
      <c r="A836" t="str">
        <f t="shared" si="13"/>
        <v/>
      </c>
      <c r="C836" s="103"/>
      <c r="D836" s="110"/>
      <c r="E836" s="112"/>
      <c r="F836" s="110"/>
      <c r="G836" s="112"/>
      <c r="H836" s="110"/>
      <c r="I836" s="110"/>
      <c r="J836" s="110"/>
      <c r="K836" s="110"/>
      <c r="L836" s="110"/>
      <c r="M836" s="110"/>
      <c r="N836" s="110"/>
      <c r="O836" s="110"/>
      <c r="P836" s="110"/>
      <c r="Q836" s="110"/>
      <c r="R836" s="110"/>
      <c r="S836" s="110"/>
      <c r="T836" s="110"/>
      <c r="U836" s="49"/>
      <c r="V836" s="49"/>
      <c r="W836" s="49"/>
      <c r="X836" s="49"/>
      <c r="Y836" s="49"/>
      <c r="Z836" s="49"/>
      <c r="AA836" s="49"/>
      <c r="AB836" s="49"/>
      <c r="AC836" s="49"/>
      <c r="AD836" s="113"/>
      <c r="AE836" s="49"/>
      <c r="AF836" s="50"/>
      <c r="AG836" s="50"/>
      <c r="AH836" s="50"/>
      <c r="AI836" s="52"/>
      <c r="AJ836" s="50"/>
      <c r="AK836" s="50"/>
      <c r="AL836" s="50"/>
      <c r="AM836" s="50"/>
      <c r="AN836" s="50"/>
      <c r="AO836" s="9"/>
      <c r="AP836" s="9"/>
    </row>
    <row r="837" spans="1:42" x14ac:dyDescent="0.55000000000000004">
      <c r="A837" t="str">
        <f t="shared" si="13"/>
        <v/>
      </c>
      <c r="C837" s="103"/>
      <c r="D837" s="110"/>
      <c r="E837" s="112"/>
      <c r="F837" s="110"/>
      <c r="G837" s="112"/>
      <c r="H837" s="110"/>
      <c r="I837" s="110"/>
      <c r="J837" s="110"/>
      <c r="K837" s="110"/>
      <c r="L837" s="110"/>
      <c r="M837" s="110"/>
      <c r="N837" s="110"/>
      <c r="O837" s="110"/>
      <c r="P837" s="110"/>
      <c r="Q837" s="110"/>
      <c r="R837" s="110"/>
      <c r="S837" s="110"/>
      <c r="T837" s="110"/>
      <c r="U837" s="49"/>
      <c r="V837" s="49"/>
      <c r="W837" s="49"/>
      <c r="X837" s="49"/>
      <c r="Y837" s="49"/>
      <c r="Z837" s="49"/>
      <c r="AA837" s="49"/>
      <c r="AB837" s="49"/>
      <c r="AC837" s="49"/>
      <c r="AD837" s="113"/>
      <c r="AE837" s="49"/>
      <c r="AF837" s="50"/>
      <c r="AG837" s="50"/>
      <c r="AH837" s="50"/>
      <c r="AI837" s="52"/>
      <c r="AJ837" s="50"/>
      <c r="AK837" s="50"/>
      <c r="AL837" s="50"/>
      <c r="AM837" s="50"/>
      <c r="AN837" s="50"/>
      <c r="AO837" s="9"/>
      <c r="AP837" s="9"/>
    </row>
    <row r="838" spans="1:42" x14ac:dyDescent="0.55000000000000004">
      <c r="A838" t="str">
        <f t="shared" si="13"/>
        <v/>
      </c>
      <c r="C838" s="103"/>
      <c r="D838" s="110"/>
      <c r="E838" s="112"/>
      <c r="F838" s="110"/>
      <c r="G838" s="112"/>
      <c r="H838" s="110"/>
      <c r="I838" s="110"/>
      <c r="J838" s="110"/>
      <c r="K838" s="110"/>
      <c r="L838" s="110"/>
      <c r="M838" s="110"/>
      <c r="N838" s="110"/>
      <c r="O838" s="110"/>
      <c r="P838" s="110"/>
      <c r="Q838" s="110"/>
      <c r="R838" s="110"/>
      <c r="S838" s="110"/>
      <c r="T838" s="110"/>
      <c r="U838" s="49"/>
      <c r="V838" s="49"/>
      <c r="W838" s="49"/>
      <c r="X838" s="49"/>
      <c r="Y838" s="49"/>
      <c r="Z838" s="49"/>
      <c r="AA838" s="49"/>
      <c r="AB838" s="49"/>
      <c r="AC838" s="49"/>
      <c r="AD838" s="113"/>
      <c r="AE838" s="49"/>
      <c r="AF838" s="50"/>
      <c r="AG838" s="50"/>
      <c r="AH838" s="50"/>
      <c r="AI838" s="56"/>
      <c r="AJ838" s="50"/>
      <c r="AK838" s="50"/>
      <c r="AL838" s="50"/>
      <c r="AM838" s="50"/>
      <c r="AN838" s="50"/>
      <c r="AO838" s="9"/>
      <c r="AP838" s="9"/>
    </row>
    <row r="839" spans="1:42" x14ac:dyDescent="0.55000000000000004">
      <c r="A839" t="str">
        <f t="shared" si="13"/>
        <v/>
      </c>
      <c r="C839" s="103"/>
      <c r="D839" s="110"/>
      <c r="E839" s="112"/>
      <c r="F839" s="110"/>
      <c r="G839" s="112"/>
      <c r="H839" s="110"/>
      <c r="I839" s="110"/>
      <c r="J839" s="110"/>
      <c r="K839" s="110"/>
      <c r="L839" s="110"/>
      <c r="M839" s="110"/>
      <c r="N839" s="110"/>
      <c r="O839" s="110"/>
      <c r="P839" s="110"/>
      <c r="Q839" s="110"/>
      <c r="R839" s="110"/>
      <c r="S839" s="110"/>
      <c r="T839" s="110"/>
      <c r="U839" s="49"/>
      <c r="V839" s="49"/>
      <c r="W839" s="49"/>
      <c r="X839" s="49"/>
      <c r="Y839" s="49"/>
      <c r="Z839" s="49"/>
      <c r="AA839" s="49"/>
      <c r="AB839" s="49"/>
      <c r="AC839" s="49"/>
      <c r="AD839" s="113"/>
      <c r="AE839" s="49"/>
      <c r="AF839" s="50"/>
      <c r="AG839" s="50"/>
      <c r="AH839" s="50"/>
      <c r="AI839" s="52"/>
      <c r="AJ839" s="50"/>
      <c r="AK839" s="50"/>
      <c r="AL839" s="50"/>
      <c r="AM839" s="50"/>
      <c r="AN839" s="50"/>
      <c r="AO839" s="9"/>
      <c r="AP839" s="9"/>
    </row>
    <row r="840" spans="1:42" x14ac:dyDescent="0.55000000000000004">
      <c r="A840" t="str">
        <f t="shared" si="13"/>
        <v/>
      </c>
      <c r="C840" s="103"/>
      <c r="D840" s="110"/>
      <c r="E840" s="112"/>
      <c r="F840" s="110"/>
      <c r="G840" s="112"/>
      <c r="H840" s="110"/>
      <c r="I840" s="110"/>
      <c r="J840" s="110"/>
      <c r="K840" s="110"/>
      <c r="L840" s="110"/>
      <c r="M840" s="110"/>
      <c r="N840" s="110"/>
      <c r="O840" s="110"/>
      <c r="P840" s="110"/>
      <c r="Q840" s="110"/>
      <c r="R840" s="110"/>
      <c r="S840" s="110"/>
      <c r="T840" s="110"/>
      <c r="U840" s="49"/>
      <c r="V840" s="49"/>
      <c r="W840" s="49"/>
      <c r="X840" s="49"/>
      <c r="Y840" s="49"/>
      <c r="Z840" s="49"/>
      <c r="AA840" s="49"/>
      <c r="AB840" s="49"/>
      <c r="AC840" s="49"/>
      <c r="AD840" s="113"/>
      <c r="AE840" s="49"/>
      <c r="AF840" s="50"/>
      <c r="AG840" s="50"/>
      <c r="AH840" s="50"/>
      <c r="AI840" s="52"/>
      <c r="AJ840" s="50"/>
      <c r="AK840" s="50"/>
      <c r="AL840" s="50"/>
      <c r="AM840" s="50"/>
      <c r="AN840" s="50"/>
      <c r="AO840" s="9"/>
      <c r="AP840" s="9"/>
    </row>
    <row r="841" spans="1:42" x14ac:dyDescent="0.55000000000000004">
      <c r="A841" t="str">
        <f t="shared" si="13"/>
        <v/>
      </c>
      <c r="C841" s="103"/>
      <c r="D841" s="110"/>
      <c r="E841" s="112"/>
      <c r="F841" s="110"/>
      <c r="G841" s="112"/>
      <c r="H841" s="110"/>
      <c r="I841" s="110"/>
      <c r="J841" s="110"/>
      <c r="K841" s="110"/>
      <c r="L841" s="110"/>
      <c r="M841" s="110"/>
      <c r="N841" s="110"/>
      <c r="O841" s="110"/>
      <c r="P841" s="110"/>
      <c r="Q841" s="110"/>
      <c r="R841" s="110"/>
      <c r="S841" s="110"/>
      <c r="T841" s="110"/>
      <c r="U841" s="49"/>
      <c r="V841" s="49"/>
      <c r="W841" s="49"/>
      <c r="X841" s="49"/>
      <c r="Y841" s="49"/>
      <c r="Z841" s="49"/>
      <c r="AA841" s="49"/>
      <c r="AB841" s="49"/>
      <c r="AC841" s="49"/>
      <c r="AD841" s="113"/>
      <c r="AE841" s="49"/>
      <c r="AF841" s="50"/>
      <c r="AG841" s="50"/>
      <c r="AH841" s="50"/>
      <c r="AI841" s="52"/>
      <c r="AJ841" s="50"/>
      <c r="AK841" s="50"/>
      <c r="AL841" s="50"/>
      <c r="AM841" s="50"/>
      <c r="AN841" s="50"/>
      <c r="AO841" s="9"/>
      <c r="AP841" s="9"/>
    </row>
    <row r="842" spans="1:42" x14ac:dyDescent="0.55000000000000004">
      <c r="A842" t="str">
        <f t="shared" si="13"/>
        <v/>
      </c>
      <c r="C842" s="103"/>
      <c r="D842" s="110"/>
      <c r="E842" s="112"/>
      <c r="F842" s="110"/>
      <c r="G842" s="112"/>
      <c r="H842" s="110"/>
      <c r="I842" s="110"/>
      <c r="J842" s="110"/>
      <c r="K842" s="110"/>
      <c r="L842" s="110"/>
      <c r="M842" s="110"/>
      <c r="N842" s="110"/>
      <c r="O842" s="110"/>
      <c r="P842" s="110"/>
      <c r="Q842" s="110"/>
      <c r="R842" s="110"/>
      <c r="S842" s="110"/>
      <c r="T842" s="110"/>
      <c r="U842" s="49"/>
      <c r="V842" s="49"/>
      <c r="W842" s="49"/>
      <c r="X842" s="49"/>
      <c r="Y842" s="49"/>
      <c r="Z842" s="49"/>
      <c r="AA842" s="49"/>
      <c r="AB842" s="49"/>
      <c r="AC842" s="49"/>
      <c r="AD842" s="113"/>
      <c r="AE842" s="49"/>
      <c r="AF842" s="50"/>
      <c r="AG842" s="50"/>
      <c r="AH842" s="50"/>
      <c r="AI842" s="52"/>
      <c r="AJ842" s="50"/>
      <c r="AK842" s="50"/>
      <c r="AL842" s="50"/>
      <c r="AM842" s="50"/>
      <c r="AN842" s="50"/>
      <c r="AO842" s="9"/>
      <c r="AP842" s="9"/>
    </row>
    <row r="843" spans="1:42" x14ac:dyDescent="0.55000000000000004">
      <c r="A843" t="str">
        <f t="shared" si="13"/>
        <v/>
      </c>
      <c r="C843" s="103"/>
      <c r="D843" s="110"/>
      <c r="E843" s="112"/>
      <c r="F843" s="110"/>
      <c r="G843" s="112"/>
      <c r="H843" s="110"/>
      <c r="I843" s="110"/>
      <c r="J843" s="110"/>
      <c r="K843" s="110"/>
      <c r="L843" s="110"/>
      <c r="M843" s="110"/>
      <c r="N843" s="110"/>
      <c r="O843" s="110"/>
      <c r="P843" s="110"/>
      <c r="Q843" s="110"/>
      <c r="R843" s="110"/>
      <c r="S843" s="110"/>
      <c r="T843" s="110"/>
      <c r="U843" s="49"/>
      <c r="V843" s="49"/>
      <c r="W843" s="49"/>
      <c r="X843" s="49"/>
      <c r="Y843" s="49"/>
      <c r="Z843" s="49"/>
      <c r="AA843" s="49"/>
      <c r="AB843" s="49"/>
      <c r="AC843" s="49"/>
      <c r="AD843" s="113"/>
      <c r="AE843" s="49"/>
      <c r="AF843" s="50"/>
      <c r="AG843" s="50"/>
      <c r="AH843" s="50"/>
      <c r="AI843" s="52"/>
      <c r="AJ843" s="50"/>
      <c r="AK843" s="50"/>
      <c r="AL843" s="50"/>
      <c r="AM843" s="50"/>
      <c r="AN843" s="50"/>
      <c r="AO843" s="9"/>
      <c r="AP843" s="9"/>
    </row>
    <row r="844" spans="1:42" x14ac:dyDescent="0.55000000000000004">
      <c r="A844" t="str">
        <f t="shared" si="13"/>
        <v/>
      </c>
      <c r="C844" s="103"/>
      <c r="D844" s="110"/>
      <c r="E844" s="112"/>
      <c r="F844" s="110"/>
      <c r="G844" s="112"/>
      <c r="H844" s="110"/>
      <c r="I844" s="110"/>
      <c r="J844" s="110"/>
      <c r="K844" s="110"/>
      <c r="L844" s="110"/>
      <c r="M844" s="110"/>
      <c r="N844" s="110"/>
      <c r="O844" s="110"/>
      <c r="P844" s="110"/>
      <c r="Q844" s="110"/>
      <c r="R844" s="110"/>
      <c r="S844" s="110"/>
      <c r="T844" s="110"/>
      <c r="U844" s="49"/>
      <c r="V844" s="49"/>
      <c r="W844" s="49"/>
      <c r="X844" s="49"/>
      <c r="Y844" s="49"/>
      <c r="Z844" s="49"/>
      <c r="AA844" s="49"/>
      <c r="AB844" s="49"/>
      <c r="AC844" s="49"/>
      <c r="AD844" s="113"/>
      <c r="AE844" s="49"/>
      <c r="AF844" s="50"/>
      <c r="AG844" s="50"/>
      <c r="AH844" s="50"/>
      <c r="AI844" s="52"/>
      <c r="AJ844" s="50"/>
      <c r="AK844" s="50"/>
      <c r="AL844" s="50"/>
      <c r="AM844" s="50"/>
      <c r="AN844" s="50"/>
      <c r="AO844" s="9"/>
      <c r="AP844" s="9"/>
    </row>
    <row r="845" spans="1:42" x14ac:dyDescent="0.55000000000000004">
      <c r="A845" t="str">
        <f t="shared" si="13"/>
        <v/>
      </c>
      <c r="C845" s="103"/>
      <c r="D845" s="110"/>
      <c r="E845" s="112"/>
      <c r="F845" s="110"/>
      <c r="G845" s="112"/>
      <c r="H845" s="110"/>
      <c r="I845" s="110"/>
      <c r="J845" s="110"/>
      <c r="K845" s="110"/>
      <c r="L845" s="110"/>
      <c r="M845" s="110"/>
      <c r="N845" s="110"/>
      <c r="O845" s="110"/>
      <c r="P845" s="110"/>
      <c r="Q845" s="110"/>
      <c r="R845" s="110"/>
      <c r="S845" s="110"/>
      <c r="T845" s="110"/>
      <c r="U845" s="49"/>
      <c r="V845" s="49"/>
      <c r="W845" s="49"/>
      <c r="X845" s="49"/>
      <c r="Y845" s="49"/>
      <c r="Z845" s="49"/>
      <c r="AA845" s="49"/>
      <c r="AB845" s="49"/>
      <c r="AC845" s="49"/>
      <c r="AD845" s="113"/>
      <c r="AE845" s="49"/>
      <c r="AF845" s="50"/>
      <c r="AG845" s="50"/>
      <c r="AH845" s="50"/>
      <c r="AI845" s="52"/>
      <c r="AJ845" s="50"/>
      <c r="AK845" s="50"/>
      <c r="AL845" s="50"/>
      <c r="AM845" s="50"/>
      <c r="AN845" s="50"/>
      <c r="AO845" s="9"/>
      <c r="AP845" s="9"/>
    </row>
    <row r="846" spans="1:42" x14ac:dyDescent="0.55000000000000004">
      <c r="A846" t="str">
        <f t="shared" si="13"/>
        <v/>
      </c>
      <c r="C846" s="103"/>
      <c r="D846" s="110"/>
      <c r="E846" s="112"/>
      <c r="F846" s="110"/>
      <c r="G846" s="112"/>
      <c r="H846" s="110"/>
      <c r="I846" s="110"/>
      <c r="J846" s="110"/>
      <c r="K846" s="110"/>
      <c r="L846" s="110"/>
      <c r="M846" s="110"/>
      <c r="N846" s="110"/>
      <c r="O846" s="110"/>
      <c r="P846" s="110"/>
      <c r="Q846" s="110"/>
      <c r="R846" s="110"/>
      <c r="S846" s="110"/>
      <c r="T846" s="110"/>
      <c r="U846" s="49"/>
      <c r="V846" s="49"/>
      <c r="W846" s="49"/>
      <c r="X846" s="49"/>
      <c r="Y846" s="49"/>
      <c r="Z846" s="49"/>
      <c r="AA846" s="49"/>
      <c r="AB846" s="49"/>
      <c r="AC846" s="49"/>
      <c r="AD846" s="113"/>
      <c r="AE846" s="49"/>
      <c r="AF846" s="50"/>
      <c r="AG846" s="50"/>
      <c r="AH846" s="50"/>
      <c r="AI846" s="52"/>
      <c r="AJ846" s="50"/>
      <c r="AK846" s="50"/>
      <c r="AL846" s="50"/>
      <c r="AM846" s="50"/>
      <c r="AN846" s="50"/>
      <c r="AO846" s="9"/>
      <c r="AP846" s="9"/>
    </row>
    <row r="847" spans="1:42" x14ac:dyDescent="0.55000000000000004">
      <c r="A847" t="str">
        <f t="shared" si="13"/>
        <v/>
      </c>
      <c r="C847" s="103"/>
      <c r="D847" s="110"/>
      <c r="E847" s="112"/>
      <c r="F847" s="110"/>
      <c r="G847" s="112"/>
      <c r="H847" s="110"/>
      <c r="I847" s="110"/>
      <c r="J847" s="110"/>
      <c r="K847" s="110"/>
      <c r="L847" s="110"/>
      <c r="M847" s="110"/>
      <c r="N847" s="110"/>
      <c r="O847" s="110"/>
      <c r="P847" s="110"/>
      <c r="Q847" s="110"/>
      <c r="R847" s="110"/>
      <c r="S847" s="110"/>
      <c r="T847" s="110"/>
      <c r="U847" s="49"/>
      <c r="V847" s="49"/>
      <c r="W847" s="49"/>
      <c r="X847" s="49"/>
      <c r="Y847" s="49"/>
      <c r="Z847" s="49"/>
      <c r="AA847" s="49"/>
      <c r="AB847" s="49"/>
      <c r="AC847" s="49"/>
      <c r="AD847" s="113"/>
      <c r="AE847" s="49"/>
      <c r="AF847" s="50"/>
      <c r="AG847" s="50"/>
      <c r="AH847" s="50"/>
      <c r="AI847" s="52"/>
      <c r="AJ847" s="50"/>
      <c r="AK847" s="50"/>
      <c r="AL847" s="50"/>
      <c r="AM847" s="50"/>
      <c r="AN847" s="50"/>
      <c r="AO847" s="9"/>
      <c r="AP847" s="9"/>
    </row>
    <row r="848" spans="1:42" x14ac:dyDescent="0.55000000000000004">
      <c r="A848" t="str">
        <f t="shared" si="13"/>
        <v/>
      </c>
      <c r="C848" s="103"/>
      <c r="D848" s="110"/>
      <c r="E848" s="112"/>
      <c r="F848" s="110"/>
      <c r="G848" s="112"/>
      <c r="H848" s="110"/>
      <c r="I848" s="110"/>
      <c r="J848" s="110"/>
      <c r="K848" s="110"/>
      <c r="L848" s="110"/>
      <c r="M848" s="110"/>
      <c r="N848" s="110"/>
      <c r="O848" s="110"/>
      <c r="P848" s="110"/>
      <c r="Q848" s="110"/>
      <c r="R848" s="110"/>
      <c r="S848" s="110"/>
      <c r="T848" s="110"/>
      <c r="U848" s="49"/>
      <c r="V848" s="49"/>
      <c r="W848" s="49"/>
      <c r="X848" s="49"/>
      <c r="Y848" s="49"/>
      <c r="Z848" s="49"/>
      <c r="AA848" s="49"/>
      <c r="AB848" s="49"/>
      <c r="AC848" s="49"/>
      <c r="AD848" s="113"/>
      <c r="AE848" s="49"/>
      <c r="AF848" s="50"/>
      <c r="AG848" s="50"/>
      <c r="AH848" s="50"/>
      <c r="AI848" s="52"/>
      <c r="AJ848" s="50"/>
      <c r="AK848" s="50"/>
      <c r="AL848" s="50"/>
      <c r="AM848" s="50"/>
      <c r="AN848" s="50"/>
      <c r="AO848" s="9"/>
      <c r="AP848" s="9"/>
    </row>
    <row r="849" spans="1:42" x14ac:dyDescent="0.55000000000000004">
      <c r="A849" t="str">
        <f t="shared" si="13"/>
        <v/>
      </c>
      <c r="C849" s="103"/>
      <c r="D849" s="110"/>
      <c r="E849" s="112"/>
      <c r="F849" s="110"/>
      <c r="G849" s="112"/>
      <c r="H849" s="110"/>
      <c r="I849" s="110"/>
      <c r="J849" s="110"/>
      <c r="K849" s="110"/>
      <c r="L849" s="110"/>
      <c r="M849" s="110"/>
      <c r="N849" s="110"/>
      <c r="O849" s="110"/>
      <c r="P849" s="110"/>
      <c r="Q849" s="110"/>
      <c r="R849" s="110"/>
      <c r="S849" s="110"/>
      <c r="T849" s="110"/>
      <c r="U849" s="49"/>
      <c r="V849" s="49"/>
      <c r="W849" s="49"/>
      <c r="X849" s="49"/>
      <c r="Y849" s="49"/>
      <c r="Z849" s="49"/>
      <c r="AA849" s="49"/>
      <c r="AB849" s="49"/>
      <c r="AC849" s="49"/>
      <c r="AD849" s="113"/>
      <c r="AE849" s="49"/>
      <c r="AF849" s="50"/>
      <c r="AG849" s="50"/>
      <c r="AH849" s="50"/>
      <c r="AI849" s="52"/>
      <c r="AJ849" s="50"/>
      <c r="AK849" s="50"/>
      <c r="AL849" s="50"/>
      <c r="AM849" s="50"/>
      <c r="AN849" s="50"/>
      <c r="AO849" s="9"/>
      <c r="AP849" s="9"/>
    </row>
    <row r="850" spans="1:42" x14ac:dyDescent="0.55000000000000004">
      <c r="A850" t="str">
        <f t="shared" si="13"/>
        <v/>
      </c>
      <c r="C850" s="103"/>
      <c r="D850" s="110"/>
      <c r="E850" s="112"/>
      <c r="F850" s="110"/>
      <c r="G850" s="112"/>
      <c r="H850" s="110"/>
      <c r="I850" s="110"/>
      <c r="J850" s="110"/>
      <c r="K850" s="110"/>
      <c r="L850" s="110"/>
      <c r="M850" s="110"/>
      <c r="N850" s="110"/>
      <c r="O850" s="110"/>
      <c r="P850" s="110"/>
      <c r="Q850" s="110"/>
      <c r="R850" s="110"/>
      <c r="S850" s="110"/>
      <c r="T850" s="110"/>
      <c r="U850" s="49"/>
      <c r="V850" s="49"/>
      <c r="W850" s="49"/>
      <c r="X850" s="49"/>
      <c r="Y850" s="49"/>
      <c r="Z850" s="49"/>
      <c r="AA850" s="49"/>
      <c r="AB850" s="49"/>
      <c r="AC850" s="49"/>
      <c r="AD850" s="113"/>
      <c r="AE850" s="49"/>
      <c r="AF850" s="50"/>
      <c r="AG850" s="50"/>
      <c r="AH850" s="50"/>
      <c r="AI850" s="52"/>
      <c r="AJ850" s="50"/>
      <c r="AK850" s="50"/>
      <c r="AL850" s="50"/>
      <c r="AM850" s="50"/>
      <c r="AN850" s="50"/>
      <c r="AO850" s="9"/>
      <c r="AP850" s="9"/>
    </row>
    <row r="851" spans="1:42" x14ac:dyDescent="0.55000000000000004">
      <c r="A851" t="str">
        <f t="shared" si="13"/>
        <v/>
      </c>
      <c r="C851" s="103"/>
      <c r="D851" s="110"/>
      <c r="E851" s="112"/>
      <c r="F851" s="110"/>
      <c r="G851" s="112"/>
      <c r="H851" s="110"/>
      <c r="I851" s="110"/>
      <c r="J851" s="110"/>
      <c r="K851" s="110"/>
      <c r="L851" s="110"/>
      <c r="M851" s="110"/>
      <c r="N851" s="110"/>
      <c r="O851" s="110"/>
      <c r="P851" s="110"/>
      <c r="Q851" s="110"/>
      <c r="R851" s="110"/>
      <c r="S851" s="110"/>
      <c r="T851" s="110"/>
      <c r="U851" s="49"/>
      <c r="V851" s="49"/>
      <c r="W851" s="49"/>
      <c r="X851" s="49"/>
      <c r="Y851" s="49"/>
      <c r="Z851" s="49"/>
      <c r="AA851" s="49"/>
      <c r="AB851" s="49"/>
      <c r="AC851" s="49"/>
      <c r="AD851" s="113"/>
      <c r="AE851" s="49"/>
      <c r="AF851" s="50"/>
      <c r="AG851" s="50"/>
      <c r="AH851" s="50"/>
      <c r="AI851" s="52"/>
      <c r="AJ851" s="50"/>
      <c r="AK851" s="50"/>
      <c r="AL851" s="50"/>
      <c r="AM851" s="50"/>
      <c r="AN851" s="50"/>
      <c r="AO851" s="9"/>
      <c r="AP851" s="9"/>
    </row>
    <row r="852" spans="1:42" x14ac:dyDescent="0.55000000000000004">
      <c r="A852" t="str">
        <f t="shared" si="13"/>
        <v/>
      </c>
      <c r="C852" s="103"/>
      <c r="D852" s="110"/>
      <c r="E852" s="112"/>
      <c r="F852" s="110"/>
      <c r="G852" s="112"/>
      <c r="H852" s="110"/>
      <c r="I852" s="110"/>
      <c r="J852" s="110"/>
      <c r="K852" s="110"/>
      <c r="L852" s="110"/>
      <c r="M852" s="110"/>
      <c r="N852" s="110"/>
      <c r="O852" s="110"/>
      <c r="P852" s="110"/>
      <c r="Q852" s="110"/>
      <c r="R852" s="110"/>
      <c r="S852" s="110"/>
      <c r="T852" s="110"/>
      <c r="U852" s="49"/>
      <c r="V852" s="49"/>
      <c r="W852" s="49"/>
      <c r="X852" s="49"/>
      <c r="Y852" s="49"/>
      <c r="Z852" s="49"/>
      <c r="AA852" s="49"/>
      <c r="AB852" s="49"/>
      <c r="AC852" s="49"/>
      <c r="AD852" s="113"/>
      <c r="AE852" s="49"/>
      <c r="AF852" s="50"/>
      <c r="AG852" s="50"/>
      <c r="AH852" s="50"/>
      <c r="AI852" s="52"/>
      <c r="AJ852" s="50"/>
      <c r="AK852" s="50"/>
      <c r="AL852" s="50"/>
      <c r="AM852" s="50"/>
      <c r="AN852" s="50"/>
      <c r="AO852" s="9"/>
      <c r="AP852" s="9"/>
    </row>
    <row r="853" spans="1:42" x14ac:dyDescent="0.55000000000000004">
      <c r="A853" t="str">
        <f t="shared" si="13"/>
        <v/>
      </c>
      <c r="C853" s="103"/>
      <c r="D853" s="110"/>
      <c r="E853" s="112"/>
      <c r="F853" s="110"/>
      <c r="G853" s="112"/>
      <c r="H853" s="110"/>
      <c r="I853" s="110"/>
      <c r="J853" s="110"/>
      <c r="K853" s="110"/>
      <c r="L853" s="110"/>
      <c r="M853" s="110"/>
      <c r="N853" s="110"/>
      <c r="O853" s="110"/>
      <c r="P853" s="110"/>
      <c r="Q853" s="110"/>
      <c r="R853" s="110"/>
      <c r="S853" s="110"/>
      <c r="T853" s="110"/>
      <c r="U853" s="49"/>
      <c r="V853" s="49"/>
      <c r="W853" s="49"/>
      <c r="X853" s="49"/>
      <c r="Y853" s="49"/>
      <c r="Z853" s="49"/>
      <c r="AA853" s="49"/>
      <c r="AB853" s="49"/>
      <c r="AC853" s="49"/>
      <c r="AD853" s="113"/>
      <c r="AE853" s="49"/>
      <c r="AF853" s="50"/>
      <c r="AG853" s="50"/>
      <c r="AH853" s="50"/>
      <c r="AI853" s="52"/>
      <c r="AJ853" s="50"/>
      <c r="AK853" s="50"/>
      <c r="AL853" s="50"/>
      <c r="AM853" s="50"/>
      <c r="AN853" s="50"/>
      <c r="AO853" s="9"/>
      <c r="AP853" s="9"/>
    </row>
    <row r="854" spans="1:42" x14ac:dyDescent="0.55000000000000004">
      <c r="A854" t="str">
        <f t="shared" si="13"/>
        <v/>
      </c>
      <c r="C854" s="103"/>
      <c r="D854" s="110"/>
      <c r="E854" s="112"/>
      <c r="F854" s="110"/>
      <c r="G854" s="112"/>
      <c r="H854" s="110"/>
      <c r="I854" s="110"/>
      <c r="J854" s="110"/>
      <c r="K854" s="110"/>
      <c r="L854" s="110"/>
      <c r="M854" s="110"/>
      <c r="N854" s="110"/>
      <c r="O854" s="110"/>
      <c r="P854" s="110"/>
      <c r="Q854" s="110"/>
      <c r="R854" s="110"/>
      <c r="S854" s="110"/>
      <c r="T854" s="110"/>
      <c r="U854" s="49"/>
      <c r="V854" s="49"/>
      <c r="W854" s="49"/>
      <c r="X854" s="49"/>
      <c r="Y854" s="49"/>
      <c r="Z854" s="49"/>
      <c r="AA854" s="49"/>
      <c r="AB854" s="49"/>
      <c r="AC854" s="49"/>
      <c r="AD854" s="113"/>
      <c r="AE854" s="49"/>
      <c r="AF854" s="50"/>
      <c r="AG854" s="50"/>
      <c r="AH854" s="50"/>
      <c r="AI854" s="52"/>
      <c r="AJ854" s="50"/>
      <c r="AK854" s="50"/>
      <c r="AL854" s="50"/>
      <c r="AM854" s="50"/>
      <c r="AN854" s="50"/>
      <c r="AO854" s="9"/>
      <c r="AP854" s="9"/>
    </row>
    <row r="855" spans="1:42" x14ac:dyDescent="0.55000000000000004">
      <c r="A855" t="str">
        <f t="shared" si="13"/>
        <v/>
      </c>
      <c r="C855" s="103"/>
      <c r="D855" s="110"/>
      <c r="E855" s="112"/>
      <c r="F855" s="110"/>
      <c r="G855" s="112"/>
      <c r="H855" s="110"/>
      <c r="I855" s="110"/>
      <c r="J855" s="110"/>
      <c r="K855" s="110"/>
      <c r="L855" s="110"/>
      <c r="M855" s="110"/>
      <c r="N855" s="110"/>
      <c r="O855" s="110"/>
      <c r="P855" s="110"/>
      <c r="Q855" s="110"/>
      <c r="R855" s="110"/>
      <c r="S855" s="110"/>
      <c r="T855" s="110"/>
      <c r="U855" s="49"/>
      <c r="V855" s="49"/>
      <c r="W855" s="49"/>
      <c r="X855" s="49"/>
      <c r="Y855" s="49"/>
      <c r="Z855" s="49"/>
      <c r="AA855" s="49"/>
      <c r="AB855" s="49"/>
      <c r="AC855" s="49"/>
      <c r="AD855" s="113"/>
      <c r="AE855" s="49"/>
      <c r="AF855" s="50"/>
      <c r="AG855" s="50"/>
      <c r="AH855" s="50"/>
      <c r="AI855" s="52"/>
      <c r="AJ855" s="50"/>
      <c r="AK855" s="50"/>
      <c r="AL855" s="50"/>
      <c r="AM855" s="50"/>
      <c r="AN855" s="50"/>
      <c r="AO855" s="9"/>
      <c r="AP855" s="9"/>
    </row>
    <row r="856" spans="1:42" x14ac:dyDescent="0.55000000000000004">
      <c r="A856" t="str">
        <f t="shared" si="13"/>
        <v/>
      </c>
      <c r="C856" s="103"/>
      <c r="D856" s="110"/>
      <c r="E856" s="112"/>
      <c r="F856" s="110"/>
      <c r="G856" s="112"/>
      <c r="H856" s="110"/>
      <c r="I856" s="110"/>
      <c r="J856" s="110"/>
      <c r="K856" s="110"/>
      <c r="L856" s="110"/>
      <c r="M856" s="110"/>
      <c r="N856" s="110"/>
      <c r="O856" s="110"/>
      <c r="P856" s="110"/>
      <c r="Q856" s="110"/>
      <c r="R856" s="110"/>
      <c r="S856" s="110"/>
      <c r="T856" s="110"/>
      <c r="U856" s="49"/>
      <c r="V856" s="49"/>
      <c r="W856" s="49"/>
      <c r="X856" s="49"/>
      <c r="Y856" s="49"/>
      <c r="Z856" s="49"/>
      <c r="AA856" s="49"/>
      <c r="AB856" s="49"/>
      <c r="AC856" s="49"/>
      <c r="AD856" s="113"/>
      <c r="AE856" s="49"/>
      <c r="AF856" s="50"/>
      <c r="AG856" s="50"/>
      <c r="AH856" s="50"/>
      <c r="AI856" s="52"/>
      <c r="AJ856" s="50"/>
      <c r="AK856" s="50"/>
      <c r="AL856" s="50"/>
      <c r="AM856" s="50"/>
      <c r="AN856" s="50"/>
      <c r="AO856" s="9"/>
      <c r="AP856" s="9"/>
    </row>
    <row r="857" spans="1:42" x14ac:dyDescent="0.55000000000000004">
      <c r="A857" t="str">
        <f t="shared" si="13"/>
        <v/>
      </c>
      <c r="C857" s="103"/>
      <c r="D857" s="110"/>
      <c r="E857" s="112"/>
      <c r="F857" s="110"/>
      <c r="G857" s="112"/>
      <c r="H857" s="110"/>
      <c r="I857" s="110"/>
      <c r="J857" s="110"/>
      <c r="K857" s="110"/>
      <c r="L857" s="110"/>
      <c r="M857" s="110"/>
      <c r="N857" s="110"/>
      <c r="O857" s="110"/>
      <c r="P857" s="110"/>
      <c r="Q857" s="110"/>
      <c r="R857" s="110"/>
      <c r="S857" s="110"/>
      <c r="T857" s="110"/>
      <c r="U857" s="49"/>
      <c r="V857" s="49"/>
      <c r="W857" s="49"/>
      <c r="X857" s="49"/>
      <c r="Y857" s="49"/>
      <c r="Z857" s="49"/>
      <c r="AA857" s="49"/>
      <c r="AB857" s="49"/>
      <c r="AC857" s="49"/>
      <c r="AD857" s="113"/>
      <c r="AE857" s="49"/>
      <c r="AF857" s="50"/>
      <c r="AG857" s="50"/>
      <c r="AH857" s="50"/>
      <c r="AI857" s="52"/>
      <c r="AJ857" s="50"/>
      <c r="AK857" s="50"/>
      <c r="AL857" s="50"/>
      <c r="AM857" s="50"/>
      <c r="AN857" s="50"/>
      <c r="AO857" s="9"/>
      <c r="AP857" s="9"/>
    </row>
    <row r="858" spans="1:42" x14ac:dyDescent="0.55000000000000004">
      <c r="A858" t="str">
        <f t="shared" si="13"/>
        <v/>
      </c>
      <c r="C858" s="103"/>
      <c r="D858" s="110"/>
      <c r="E858" s="112"/>
      <c r="F858" s="110"/>
      <c r="G858" s="112"/>
      <c r="H858" s="110"/>
      <c r="I858" s="110"/>
      <c r="J858" s="110"/>
      <c r="K858" s="110"/>
      <c r="L858" s="110"/>
      <c r="M858" s="110"/>
      <c r="N858" s="110"/>
      <c r="O858" s="110"/>
      <c r="P858" s="110"/>
      <c r="Q858" s="110"/>
      <c r="R858" s="110"/>
      <c r="S858" s="110"/>
      <c r="T858" s="110"/>
      <c r="U858" s="49"/>
      <c r="V858" s="49"/>
      <c r="W858" s="49"/>
      <c r="X858" s="49"/>
      <c r="Y858" s="49"/>
      <c r="Z858" s="49"/>
      <c r="AA858" s="49"/>
      <c r="AB858" s="49"/>
      <c r="AC858" s="49"/>
      <c r="AD858" s="113"/>
      <c r="AE858" s="49"/>
      <c r="AF858" s="50"/>
      <c r="AG858" s="50"/>
      <c r="AH858" s="50"/>
      <c r="AI858" s="52"/>
      <c r="AJ858" s="50"/>
      <c r="AK858" s="50"/>
      <c r="AL858" s="50"/>
      <c r="AM858" s="50"/>
      <c r="AN858" s="50"/>
      <c r="AO858" s="9"/>
      <c r="AP858" s="9"/>
    </row>
    <row r="859" spans="1:42" x14ac:dyDescent="0.55000000000000004">
      <c r="A859" t="str">
        <f t="shared" si="13"/>
        <v/>
      </c>
      <c r="C859" s="103"/>
      <c r="D859" s="110"/>
      <c r="E859" s="112"/>
      <c r="F859" s="110"/>
      <c r="G859" s="112"/>
      <c r="H859" s="110"/>
      <c r="I859" s="110"/>
      <c r="J859" s="110"/>
      <c r="K859" s="110"/>
      <c r="L859" s="110"/>
      <c r="M859" s="110"/>
      <c r="N859" s="110"/>
      <c r="O859" s="110"/>
      <c r="P859" s="110"/>
      <c r="Q859" s="110"/>
      <c r="R859" s="110"/>
      <c r="S859" s="110"/>
      <c r="T859" s="110"/>
      <c r="U859" s="49"/>
      <c r="V859" s="49"/>
      <c r="W859" s="49"/>
      <c r="X859" s="49"/>
      <c r="Y859" s="49"/>
      <c r="Z859" s="49"/>
      <c r="AA859" s="49"/>
      <c r="AB859" s="49"/>
      <c r="AC859" s="49"/>
      <c r="AD859" s="113"/>
      <c r="AE859" s="49"/>
      <c r="AF859" s="50"/>
      <c r="AG859" s="50"/>
      <c r="AH859" s="50"/>
      <c r="AI859" s="52"/>
      <c r="AJ859" s="50"/>
      <c r="AK859" s="50"/>
      <c r="AL859" s="50"/>
      <c r="AM859" s="50"/>
      <c r="AN859" s="50"/>
      <c r="AO859" s="9"/>
      <c r="AP859" s="9"/>
    </row>
    <row r="860" spans="1:42" x14ac:dyDescent="0.55000000000000004">
      <c r="A860" t="str">
        <f t="shared" si="13"/>
        <v/>
      </c>
      <c r="C860" s="103"/>
      <c r="D860" s="110"/>
      <c r="E860" s="112"/>
      <c r="F860" s="110"/>
      <c r="G860" s="112"/>
      <c r="H860" s="110"/>
      <c r="I860" s="110"/>
      <c r="J860" s="110"/>
      <c r="K860" s="110"/>
      <c r="L860" s="110"/>
      <c r="M860" s="110"/>
      <c r="N860" s="110"/>
      <c r="O860" s="110"/>
      <c r="P860" s="110"/>
      <c r="Q860" s="110"/>
      <c r="R860" s="110"/>
      <c r="S860" s="110"/>
      <c r="T860" s="110"/>
      <c r="U860" s="49"/>
      <c r="V860" s="49"/>
      <c r="W860" s="49"/>
      <c r="X860" s="49"/>
      <c r="Y860" s="49"/>
      <c r="Z860" s="49"/>
      <c r="AA860" s="49"/>
      <c r="AB860" s="49"/>
      <c r="AC860" s="49"/>
      <c r="AD860" s="113"/>
      <c r="AE860" s="49"/>
      <c r="AF860" s="50"/>
      <c r="AG860" s="50"/>
      <c r="AH860" s="50"/>
      <c r="AI860" s="52"/>
      <c r="AJ860" s="50"/>
      <c r="AK860" s="50"/>
      <c r="AL860" s="50"/>
      <c r="AM860" s="50"/>
      <c r="AN860" s="50"/>
      <c r="AO860" s="9"/>
      <c r="AP860" s="9"/>
    </row>
    <row r="861" spans="1:42" x14ac:dyDescent="0.55000000000000004">
      <c r="A861" t="str">
        <f t="shared" si="13"/>
        <v/>
      </c>
      <c r="C861" s="103"/>
      <c r="D861" s="110"/>
      <c r="E861" s="112"/>
      <c r="F861" s="110"/>
      <c r="G861" s="112"/>
      <c r="H861" s="110"/>
      <c r="I861" s="110"/>
      <c r="J861" s="110"/>
      <c r="K861" s="110"/>
      <c r="L861" s="110"/>
      <c r="M861" s="110"/>
      <c r="N861" s="110"/>
      <c r="O861" s="110"/>
      <c r="P861" s="110"/>
      <c r="Q861" s="110"/>
      <c r="R861" s="110"/>
      <c r="S861" s="110"/>
      <c r="T861" s="110"/>
      <c r="U861" s="49"/>
      <c r="V861" s="49"/>
      <c r="W861" s="49"/>
      <c r="X861" s="49"/>
      <c r="Y861" s="49"/>
      <c r="Z861" s="49"/>
      <c r="AA861" s="49"/>
      <c r="AB861" s="49"/>
      <c r="AC861" s="49"/>
      <c r="AD861" s="113"/>
      <c r="AE861" s="49"/>
      <c r="AF861" s="50"/>
      <c r="AG861" s="50"/>
      <c r="AH861" s="50"/>
      <c r="AI861" s="52"/>
      <c r="AJ861" s="50"/>
      <c r="AK861" s="50"/>
      <c r="AL861" s="50"/>
      <c r="AM861" s="50"/>
      <c r="AN861" s="50"/>
      <c r="AO861" s="9"/>
      <c r="AP861" s="9"/>
    </row>
    <row r="862" spans="1:42" x14ac:dyDescent="0.55000000000000004">
      <c r="A862" t="str">
        <f t="shared" si="13"/>
        <v/>
      </c>
      <c r="C862" s="103"/>
      <c r="D862" s="110"/>
      <c r="E862" s="112"/>
      <c r="F862" s="110"/>
      <c r="G862" s="112"/>
      <c r="H862" s="110"/>
      <c r="I862" s="110"/>
      <c r="J862" s="110"/>
      <c r="K862" s="110"/>
      <c r="L862" s="110"/>
      <c r="M862" s="110"/>
      <c r="N862" s="110"/>
      <c r="O862" s="110"/>
      <c r="P862" s="110"/>
      <c r="Q862" s="110"/>
      <c r="R862" s="110"/>
      <c r="S862" s="110"/>
      <c r="T862" s="110"/>
      <c r="U862" s="49"/>
      <c r="V862" s="49"/>
      <c r="W862" s="49"/>
      <c r="X862" s="49"/>
      <c r="Y862" s="49"/>
      <c r="Z862" s="49"/>
      <c r="AA862" s="49"/>
      <c r="AB862" s="49"/>
      <c r="AC862" s="49"/>
      <c r="AD862" s="113"/>
      <c r="AE862" s="49"/>
      <c r="AF862" s="50"/>
      <c r="AG862" s="50"/>
      <c r="AH862" s="50"/>
      <c r="AI862" s="52"/>
      <c r="AJ862" s="50"/>
      <c r="AK862" s="50"/>
      <c r="AL862" s="50"/>
      <c r="AM862" s="50"/>
      <c r="AN862" s="50"/>
      <c r="AO862" s="9"/>
      <c r="AP862" s="9"/>
    </row>
    <row r="863" spans="1:42" x14ac:dyDescent="0.55000000000000004">
      <c r="A863" t="str">
        <f t="shared" si="13"/>
        <v/>
      </c>
      <c r="C863" s="103"/>
      <c r="D863" s="110"/>
      <c r="E863" s="112"/>
      <c r="F863" s="110"/>
      <c r="G863" s="112"/>
      <c r="H863" s="110"/>
      <c r="I863" s="110"/>
      <c r="J863" s="110"/>
      <c r="K863" s="110"/>
      <c r="L863" s="110"/>
      <c r="M863" s="110"/>
      <c r="N863" s="110"/>
      <c r="O863" s="110"/>
      <c r="P863" s="110"/>
      <c r="Q863" s="110"/>
      <c r="R863" s="110"/>
      <c r="S863" s="110"/>
      <c r="T863" s="110"/>
      <c r="U863" s="49"/>
      <c r="V863" s="49"/>
      <c r="W863" s="49"/>
      <c r="X863" s="49"/>
      <c r="Y863" s="49"/>
      <c r="Z863" s="49"/>
      <c r="AA863" s="49"/>
      <c r="AB863" s="49"/>
      <c r="AC863" s="49"/>
      <c r="AD863" s="113"/>
      <c r="AE863" s="49"/>
      <c r="AF863" s="50"/>
      <c r="AG863" s="50"/>
      <c r="AH863" s="50"/>
      <c r="AI863" s="52"/>
      <c r="AJ863" s="50"/>
      <c r="AK863" s="50"/>
      <c r="AL863" s="50"/>
      <c r="AM863" s="50"/>
      <c r="AN863" s="50"/>
      <c r="AO863" s="9"/>
      <c r="AP863" s="9"/>
    </row>
    <row r="864" spans="1:42" x14ac:dyDescent="0.55000000000000004">
      <c r="A864" t="str">
        <f t="shared" si="13"/>
        <v/>
      </c>
      <c r="C864" s="103"/>
      <c r="D864" s="110"/>
      <c r="E864" s="112"/>
      <c r="F864" s="110"/>
      <c r="G864" s="112"/>
      <c r="H864" s="110"/>
      <c r="I864" s="110"/>
      <c r="J864" s="110"/>
      <c r="K864" s="110"/>
      <c r="L864" s="110"/>
      <c r="M864" s="110"/>
      <c r="N864" s="110"/>
      <c r="O864" s="110"/>
      <c r="P864" s="110"/>
      <c r="Q864" s="110"/>
      <c r="R864" s="110"/>
      <c r="S864" s="110"/>
      <c r="T864" s="110"/>
      <c r="U864" s="49"/>
      <c r="V864" s="49"/>
      <c r="W864" s="49"/>
      <c r="X864" s="49"/>
      <c r="Y864" s="49"/>
      <c r="Z864" s="49"/>
      <c r="AA864" s="49"/>
      <c r="AB864" s="49"/>
      <c r="AC864" s="49"/>
      <c r="AD864" s="113"/>
      <c r="AE864" s="49"/>
      <c r="AF864" s="50"/>
      <c r="AG864" s="50"/>
      <c r="AH864" s="50"/>
      <c r="AI864" s="52"/>
      <c r="AJ864" s="50"/>
      <c r="AK864" s="50"/>
      <c r="AL864" s="50"/>
      <c r="AM864" s="50"/>
      <c r="AN864" s="50"/>
      <c r="AO864" s="9"/>
      <c r="AP864" s="9"/>
    </row>
    <row r="865" spans="1:42" x14ac:dyDescent="0.55000000000000004">
      <c r="A865" t="str">
        <f t="shared" si="13"/>
        <v/>
      </c>
      <c r="C865" s="103"/>
      <c r="D865" s="110"/>
      <c r="E865" s="112"/>
      <c r="F865" s="110"/>
      <c r="G865" s="112"/>
      <c r="H865" s="110"/>
      <c r="I865" s="110"/>
      <c r="J865" s="110"/>
      <c r="K865" s="110"/>
      <c r="L865" s="110"/>
      <c r="M865" s="110"/>
      <c r="N865" s="110"/>
      <c r="O865" s="110"/>
      <c r="P865" s="110"/>
      <c r="Q865" s="110"/>
      <c r="R865" s="110"/>
      <c r="S865" s="110"/>
      <c r="T865" s="110"/>
      <c r="U865" s="49"/>
      <c r="V865" s="49"/>
      <c r="W865" s="49"/>
      <c r="X865" s="49"/>
      <c r="Y865" s="49"/>
      <c r="Z865" s="49"/>
      <c r="AA865" s="49"/>
      <c r="AB865" s="49"/>
      <c r="AC865" s="49"/>
      <c r="AD865" s="113"/>
      <c r="AE865" s="49"/>
      <c r="AF865" s="50"/>
      <c r="AG865" s="50"/>
      <c r="AH865" s="50"/>
      <c r="AI865" s="52"/>
      <c r="AJ865" s="50"/>
      <c r="AK865" s="50"/>
      <c r="AL865" s="50"/>
      <c r="AM865" s="50"/>
      <c r="AN865" s="50"/>
      <c r="AO865" s="9"/>
      <c r="AP865" s="9"/>
    </row>
    <row r="866" spans="1:42" x14ac:dyDescent="0.55000000000000004">
      <c r="A866" t="str">
        <f t="shared" si="13"/>
        <v/>
      </c>
      <c r="C866" s="103"/>
      <c r="D866" s="110"/>
      <c r="E866" s="112"/>
      <c r="F866" s="110"/>
      <c r="G866" s="112"/>
      <c r="H866" s="110"/>
      <c r="I866" s="110"/>
      <c r="J866" s="110"/>
      <c r="K866" s="110"/>
      <c r="L866" s="110"/>
      <c r="M866" s="110"/>
      <c r="N866" s="110"/>
      <c r="O866" s="110"/>
      <c r="P866" s="110"/>
      <c r="Q866" s="110"/>
      <c r="R866" s="110"/>
      <c r="S866" s="110"/>
      <c r="T866" s="110"/>
      <c r="U866" s="49"/>
      <c r="V866" s="49"/>
      <c r="W866" s="49"/>
      <c r="X866" s="49"/>
      <c r="Y866" s="49"/>
      <c r="Z866" s="49"/>
      <c r="AA866" s="49"/>
      <c r="AB866" s="49"/>
      <c r="AC866" s="49"/>
      <c r="AD866" s="113"/>
      <c r="AE866" s="49"/>
      <c r="AF866" s="50"/>
      <c r="AG866" s="50"/>
      <c r="AH866" s="50"/>
      <c r="AI866" s="52"/>
      <c r="AJ866" s="50"/>
      <c r="AK866" s="50"/>
      <c r="AL866" s="50"/>
      <c r="AM866" s="50"/>
      <c r="AN866" s="50"/>
      <c r="AO866" s="9"/>
      <c r="AP866" s="9"/>
    </row>
    <row r="867" spans="1:42" x14ac:dyDescent="0.55000000000000004">
      <c r="A867" t="str">
        <f t="shared" si="13"/>
        <v/>
      </c>
      <c r="C867" s="103"/>
      <c r="D867" s="110"/>
      <c r="E867" s="112"/>
      <c r="F867" s="110"/>
      <c r="G867" s="112"/>
      <c r="H867" s="110"/>
      <c r="I867" s="110"/>
      <c r="J867" s="110"/>
      <c r="K867" s="110"/>
      <c r="L867" s="110"/>
      <c r="M867" s="110"/>
      <c r="N867" s="110"/>
      <c r="O867" s="110"/>
      <c r="P867" s="110"/>
      <c r="Q867" s="110"/>
      <c r="R867" s="110"/>
      <c r="S867" s="110"/>
      <c r="T867" s="110"/>
      <c r="U867" s="49"/>
      <c r="V867" s="49"/>
      <c r="W867" s="49"/>
      <c r="X867" s="49"/>
      <c r="Y867" s="49"/>
      <c r="Z867" s="49"/>
      <c r="AA867" s="49"/>
      <c r="AB867" s="49"/>
      <c r="AC867" s="49"/>
      <c r="AD867" s="113"/>
      <c r="AE867" s="49"/>
      <c r="AF867" s="50"/>
      <c r="AG867" s="50"/>
      <c r="AH867" s="50"/>
      <c r="AI867" s="52"/>
      <c r="AJ867" s="50"/>
      <c r="AK867" s="50"/>
      <c r="AL867" s="50"/>
      <c r="AM867" s="50"/>
      <c r="AN867" s="50"/>
      <c r="AO867" s="9"/>
      <c r="AP867" s="9"/>
    </row>
    <row r="868" spans="1:42" x14ac:dyDescent="0.55000000000000004">
      <c r="A868" t="str">
        <f t="shared" si="13"/>
        <v/>
      </c>
      <c r="C868" s="103"/>
      <c r="D868" s="110"/>
      <c r="E868" s="112"/>
      <c r="F868" s="110"/>
      <c r="G868" s="112"/>
      <c r="H868" s="110"/>
      <c r="I868" s="110"/>
      <c r="J868" s="110"/>
      <c r="K868" s="110"/>
      <c r="L868" s="110"/>
      <c r="M868" s="110"/>
      <c r="N868" s="110"/>
      <c r="O868" s="110"/>
      <c r="P868" s="110"/>
      <c r="Q868" s="110"/>
      <c r="R868" s="110"/>
      <c r="S868" s="110"/>
      <c r="T868" s="110"/>
      <c r="U868" s="49"/>
      <c r="V868" s="49"/>
      <c r="W868" s="49"/>
      <c r="X868" s="49"/>
      <c r="Y868" s="49"/>
      <c r="Z868" s="49"/>
      <c r="AA868" s="49"/>
      <c r="AB868" s="49"/>
      <c r="AC868" s="49"/>
      <c r="AD868" s="113"/>
      <c r="AE868" s="49"/>
      <c r="AF868" s="50"/>
      <c r="AG868" s="50"/>
      <c r="AH868" s="50"/>
      <c r="AI868" s="52"/>
      <c r="AJ868" s="50"/>
      <c r="AK868" s="50"/>
      <c r="AL868" s="50"/>
      <c r="AM868" s="50"/>
      <c r="AN868" s="50"/>
      <c r="AO868" s="9"/>
      <c r="AP868" s="9"/>
    </row>
    <row r="869" spans="1:42" x14ac:dyDescent="0.55000000000000004">
      <c r="A869" t="str">
        <f t="shared" si="13"/>
        <v/>
      </c>
      <c r="C869" s="103"/>
      <c r="D869" s="110"/>
      <c r="E869" s="112"/>
      <c r="F869" s="110"/>
      <c r="G869" s="112"/>
      <c r="H869" s="110"/>
      <c r="I869" s="110"/>
      <c r="J869" s="110"/>
      <c r="K869" s="110"/>
      <c r="L869" s="110"/>
      <c r="M869" s="110"/>
      <c r="N869" s="110"/>
      <c r="O869" s="110"/>
      <c r="P869" s="110"/>
      <c r="Q869" s="110"/>
      <c r="R869" s="110"/>
      <c r="S869" s="110"/>
      <c r="T869" s="110"/>
      <c r="U869" s="49"/>
      <c r="V869" s="49"/>
      <c r="W869" s="49"/>
      <c r="X869" s="49"/>
      <c r="Y869" s="49"/>
      <c r="Z869" s="49"/>
      <c r="AA869" s="49"/>
      <c r="AB869" s="49"/>
      <c r="AC869" s="49"/>
      <c r="AD869" s="113"/>
      <c r="AE869" s="49"/>
      <c r="AF869" s="50"/>
      <c r="AG869" s="50"/>
      <c r="AH869" s="50"/>
      <c r="AI869" s="52"/>
      <c r="AJ869" s="50"/>
      <c r="AK869" s="50"/>
      <c r="AL869" s="50"/>
      <c r="AM869" s="50"/>
      <c r="AN869" s="50"/>
      <c r="AO869" s="9"/>
      <c r="AP869" s="9"/>
    </row>
    <row r="870" spans="1:42" x14ac:dyDescent="0.55000000000000004">
      <c r="A870" t="str">
        <f t="shared" si="13"/>
        <v/>
      </c>
      <c r="C870" s="103"/>
      <c r="D870" s="110"/>
      <c r="E870" s="112"/>
      <c r="F870" s="110"/>
      <c r="G870" s="112"/>
      <c r="H870" s="110"/>
      <c r="I870" s="110"/>
      <c r="J870" s="110"/>
      <c r="K870" s="110"/>
      <c r="L870" s="110"/>
      <c r="M870" s="110"/>
      <c r="N870" s="110"/>
      <c r="O870" s="110"/>
      <c r="P870" s="110"/>
      <c r="Q870" s="110"/>
      <c r="R870" s="110"/>
      <c r="S870" s="110"/>
      <c r="T870" s="110"/>
      <c r="U870" s="49"/>
      <c r="V870" s="49"/>
      <c r="W870" s="49"/>
      <c r="X870" s="49"/>
      <c r="Y870" s="49"/>
      <c r="Z870" s="49"/>
      <c r="AA870" s="49"/>
      <c r="AB870" s="49"/>
      <c r="AC870" s="49"/>
      <c r="AD870" s="113"/>
      <c r="AE870" s="49"/>
      <c r="AF870" s="50"/>
      <c r="AG870" s="50"/>
      <c r="AH870" s="50"/>
      <c r="AI870" s="52"/>
      <c r="AJ870" s="50"/>
      <c r="AK870" s="50"/>
      <c r="AL870" s="50"/>
      <c r="AM870" s="50"/>
      <c r="AN870" s="50"/>
      <c r="AO870" s="9"/>
      <c r="AP870" s="9"/>
    </row>
    <row r="871" spans="1:42" x14ac:dyDescent="0.55000000000000004">
      <c r="A871" t="str">
        <f t="shared" si="13"/>
        <v/>
      </c>
      <c r="C871" s="103"/>
      <c r="D871" s="110"/>
      <c r="E871" s="110"/>
      <c r="F871" s="110"/>
      <c r="G871" s="110"/>
      <c r="H871" s="110"/>
      <c r="I871" s="110"/>
      <c r="J871" s="110"/>
      <c r="K871" s="110"/>
      <c r="L871" s="110"/>
      <c r="M871" s="110"/>
      <c r="N871" s="110"/>
      <c r="O871" s="110"/>
      <c r="P871" s="110"/>
      <c r="Q871" s="110"/>
      <c r="R871" s="110"/>
      <c r="S871" s="110"/>
      <c r="T871" s="110"/>
      <c r="U871" s="49"/>
      <c r="V871" s="49"/>
      <c r="W871" s="49"/>
      <c r="X871" s="49"/>
      <c r="Y871" s="49"/>
      <c r="Z871" s="49"/>
      <c r="AA871" s="49"/>
      <c r="AB871" s="49"/>
      <c r="AC871" s="49"/>
      <c r="AD871" s="113"/>
      <c r="AE871" s="49"/>
      <c r="AF871" s="50"/>
      <c r="AG871" s="50"/>
      <c r="AH871" s="50"/>
      <c r="AI871" s="52"/>
      <c r="AJ871" s="50"/>
      <c r="AK871" s="50"/>
      <c r="AL871" s="50"/>
      <c r="AM871" s="50"/>
      <c r="AN871" s="50"/>
      <c r="AO871" s="9"/>
      <c r="AP871" s="9"/>
    </row>
    <row r="872" spans="1:42" x14ac:dyDescent="0.55000000000000004">
      <c r="A872" t="str">
        <f t="shared" si="13"/>
        <v/>
      </c>
      <c r="C872" s="103"/>
      <c r="D872" s="110"/>
      <c r="E872" s="110"/>
      <c r="F872" s="110"/>
      <c r="G872" s="110"/>
      <c r="H872" s="110"/>
      <c r="I872" s="110"/>
      <c r="J872" s="110"/>
      <c r="K872" s="110"/>
      <c r="L872" s="110"/>
      <c r="M872" s="110"/>
      <c r="N872" s="110"/>
      <c r="O872" s="110"/>
      <c r="P872" s="110"/>
      <c r="Q872" s="110"/>
      <c r="R872" s="110"/>
      <c r="S872" s="110"/>
      <c r="T872" s="110"/>
      <c r="U872" s="49"/>
      <c r="V872" s="49"/>
      <c r="W872" s="49"/>
      <c r="X872" s="49"/>
      <c r="Y872" s="49"/>
      <c r="Z872" s="49"/>
      <c r="AA872" s="49"/>
      <c r="AB872" s="49"/>
      <c r="AC872" s="49"/>
      <c r="AD872" s="113"/>
      <c r="AE872" s="49"/>
      <c r="AF872" s="50"/>
      <c r="AG872" s="50"/>
      <c r="AH872" s="50"/>
      <c r="AI872" s="52"/>
      <c r="AJ872" s="50"/>
      <c r="AK872" s="50"/>
      <c r="AL872" s="50"/>
      <c r="AM872" s="50"/>
      <c r="AN872" s="50"/>
      <c r="AO872" s="9"/>
      <c r="AP872" s="9"/>
    </row>
    <row r="873" spans="1:42" x14ac:dyDescent="0.55000000000000004">
      <c r="A873" t="str">
        <f t="shared" si="13"/>
        <v/>
      </c>
      <c r="C873" s="103"/>
      <c r="D873" s="110"/>
      <c r="E873" s="110"/>
      <c r="F873" s="110"/>
      <c r="G873" s="110"/>
      <c r="H873" s="110"/>
      <c r="I873" s="110"/>
      <c r="J873" s="110"/>
      <c r="K873" s="110"/>
      <c r="L873" s="110"/>
      <c r="M873" s="110"/>
      <c r="N873" s="110"/>
      <c r="O873" s="110"/>
      <c r="P873" s="110"/>
      <c r="Q873" s="110"/>
      <c r="R873" s="110"/>
      <c r="S873" s="110"/>
      <c r="T873" s="110"/>
      <c r="U873" s="49"/>
      <c r="V873" s="49"/>
      <c r="W873" s="49"/>
      <c r="X873" s="49"/>
      <c r="Y873" s="49"/>
      <c r="Z873" s="49"/>
      <c r="AA873" s="49"/>
      <c r="AB873" s="49"/>
      <c r="AC873" s="49"/>
      <c r="AD873" s="113"/>
      <c r="AE873" s="49"/>
      <c r="AF873" s="50"/>
      <c r="AG873" s="50"/>
      <c r="AH873" s="50"/>
      <c r="AI873" s="52"/>
      <c r="AJ873" s="50"/>
      <c r="AK873" s="50"/>
      <c r="AL873" s="50"/>
      <c r="AM873" s="50"/>
      <c r="AN873" s="50"/>
      <c r="AO873" s="9"/>
      <c r="AP873" s="9"/>
    </row>
    <row r="874" spans="1:42" x14ac:dyDescent="0.55000000000000004">
      <c r="A874" t="str">
        <f t="shared" si="13"/>
        <v/>
      </c>
      <c r="C874" s="103"/>
      <c r="D874" s="110"/>
      <c r="E874" s="110"/>
      <c r="F874" s="110"/>
      <c r="G874" s="110"/>
      <c r="H874" s="110"/>
      <c r="I874" s="110"/>
      <c r="J874" s="110"/>
      <c r="K874" s="110"/>
      <c r="L874" s="110"/>
      <c r="M874" s="110"/>
      <c r="N874" s="110"/>
      <c r="O874" s="110"/>
      <c r="P874" s="110"/>
      <c r="Q874" s="110"/>
      <c r="R874" s="110"/>
      <c r="S874" s="110"/>
      <c r="T874" s="110"/>
      <c r="U874" s="49"/>
      <c r="V874" s="49"/>
      <c r="W874" s="49"/>
      <c r="X874" s="49"/>
      <c r="Y874" s="49"/>
      <c r="Z874" s="49"/>
      <c r="AA874" s="49"/>
      <c r="AB874" s="49"/>
      <c r="AC874" s="49"/>
      <c r="AD874" s="113"/>
      <c r="AE874" s="49"/>
      <c r="AF874" s="50"/>
      <c r="AG874" s="50"/>
      <c r="AH874" s="50"/>
      <c r="AI874" s="52"/>
      <c r="AJ874" s="50"/>
      <c r="AK874" s="50"/>
      <c r="AL874" s="50"/>
      <c r="AM874" s="50"/>
      <c r="AN874" s="50"/>
      <c r="AO874" s="9"/>
      <c r="AP874" s="9"/>
    </row>
    <row r="875" spans="1:42" x14ac:dyDescent="0.55000000000000004">
      <c r="A875" t="str">
        <f t="shared" si="13"/>
        <v/>
      </c>
      <c r="C875" s="103"/>
      <c r="D875" s="110"/>
      <c r="E875" s="110"/>
      <c r="F875" s="110"/>
      <c r="G875" s="110"/>
      <c r="H875" s="110"/>
      <c r="I875" s="110"/>
      <c r="J875" s="110"/>
      <c r="K875" s="110"/>
      <c r="L875" s="110"/>
      <c r="M875" s="110"/>
      <c r="N875" s="110"/>
      <c r="O875" s="110"/>
      <c r="P875" s="110"/>
      <c r="Q875" s="110"/>
      <c r="R875" s="110"/>
      <c r="S875" s="110"/>
      <c r="T875" s="110"/>
      <c r="U875" s="49"/>
      <c r="V875" s="49"/>
      <c r="W875" s="49"/>
      <c r="X875" s="49"/>
      <c r="Y875" s="49"/>
      <c r="Z875" s="49"/>
      <c r="AA875" s="49"/>
      <c r="AB875" s="49"/>
      <c r="AC875" s="49"/>
      <c r="AD875" s="113"/>
      <c r="AE875" s="49"/>
      <c r="AF875" s="50"/>
      <c r="AG875" s="50"/>
      <c r="AH875" s="50"/>
      <c r="AI875" s="52"/>
      <c r="AJ875" s="50"/>
      <c r="AK875" s="50"/>
      <c r="AL875" s="50"/>
      <c r="AM875" s="50"/>
      <c r="AN875" s="50"/>
      <c r="AO875" s="9"/>
      <c r="AP875" s="9"/>
    </row>
    <row r="876" spans="1:42" x14ac:dyDescent="0.55000000000000004">
      <c r="A876" t="str">
        <f t="shared" si="13"/>
        <v/>
      </c>
      <c r="C876" s="103"/>
      <c r="D876" s="110"/>
      <c r="E876" s="110"/>
      <c r="F876" s="110"/>
      <c r="G876" s="110"/>
      <c r="H876" s="110"/>
      <c r="I876" s="110"/>
      <c r="J876" s="110"/>
      <c r="K876" s="110"/>
      <c r="L876" s="110"/>
      <c r="M876" s="110"/>
      <c r="N876" s="110"/>
      <c r="O876" s="110"/>
      <c r="P876" s="110"/>
      <c r="Q876" s="110"/>
      <c r="R876" s="110"/>
      <c r="S876" s="110"/>
      <c r="T876" s="110"/>
      <c r="U876" s="49"/>
      <c r="V876" s="49"/>
      <c r="W876" s="49"/>
      <c r="X876" s="49"/>
      <c r="Y876" s="49"/>
      <c r="Z876" s="49"/>
      <c r="AA876" s="49"/>
      <c r="AB876" s="49"/>
      <c r="AC876" s="49"/>
      <c r="AD876" s="113"/>
      <c r="AE876" s="49"/>
      <c r="AF876" s="50"/>
      <c r="AG876" s="50"/>
      <c r="AH876" s="50"/>
      <c r="AI876" s="52"/>
      <c r="AJ876" s="50"/>
      <c r="AK876" s="50"/>
      <c r="AL876" s="50"/>
      <c r="AM876" s="50"/>
      <c r="AN876" s="50"/>
      <c r="AO876" s="9"/>
      <c r="AP876" s="9"/>
    </row>
    <row r="877" spans="1:42" x14ac:dyDescent="0.55000000000000004">
      <c r="A877" t="str">
        <f t="shared" si="13"/>
        <v/>
      </c>
      <c r="C877" s="103"/>
      <c r="D877" s="110"/>
      <c r="E877" s="110"/>
      <c r="F877" s="110"/>
      <c r="G877" s="110"/>
      <c r="H877" s="110"/>
      <c r="I877" s="110"/>
      <c r="J877" s="110"/>
      <c r="K877" s="110"/>
      <c r="L877" s="110"/>
      <c r="M877" s="110"/>
      <c r="N877" s="110"/>
      <c r="O877" s="110"/>
      <c r="P877" s="110"/>
      <c r="Q877" s="110"/>
      <c r="R877" s="110"/>
      <c r="S877" s="110"/>
      <c r="T877" s="110"/>
      <c r="U877" s="49"/>
      <c r="V877" s="49"/>
      <c r="W877" s="49"/>
      <c r="X877" s="49"/>
      <c r="Y877" s="49"/>
      <c r="Z877" s="49"/>
      <c r="AA877" s="49"/>
      <c r="AB877" s="49"/>
      <c r="AC877" s="49"/>
      <c r="AD877" s="113"/>
      <c r="AE877" s="49"/>
      <c r="AF877" s="50"/>
      <c r="AG877" s="50"/>
      <c r="AH877" s="50"/>
      <c r="AI877" s="52"/>
      <c r="AJ877" s="50"/>
      <c r="AK877" s="50"/>
      <c r="AL877" s="50"/>
      <c r="AM877" s="50"/>
      <c r="AN877" s="50"/>
      <c r="AO877" s="9"/>
      <c r="AP877" s="9"/>
    </row>
    <row r="878" spans="1:42" x14ac:dyDescent="0.55000000000000004">
      <c r="A878" t="str">
        <f t="shared" si="13"/>
        <v/>
      </c>
      <c r="C878" s="103"/>
      <c r="D878" s="110"/>
      <c r="E878" s="110"/>
      <c r="F878" s="110"/>
      <c r="G878" s="110"/>
      <c r="H878" s="110"/>
      <c r="I878" s="110"/>
      <c r="J878" s="110"/>
      <c r="K878" s="110"/>
      <c r="L878" s="110"/>
      <c r="M878" s="110"/>
      <c r="N878" s="110"/>
      <c r="O878" s="110"/>
      <c r="P878" s="110"/>
      <c r="Q878" s="110"/>
      <c r="R878" s="110"/>
      <c r="S878" s="110"/>
      <c r="T878" s="110"/>
      <c r="U878" s="49"/>
      <c r="V878" s="49"/>
      <c r="W878" s="49"/>
      <c r="X878" s="49"/>
      <c r="Y878" s="49"/>
      <c r="Z878" s="49"/>
      <c r="AA878" s="49"/>
      <c r="AB878" s="49"/>
      <c r="AC878" s="49"/>
      <c r="AD878" s="113"/>
      <c r="AE878" s="49"/>
      <c r="AF878" s="50"/>
      <c r="AG878" s="50"/>
      <c r="AH878" s="50"/>
      <c r="AI878" s="52"/>
      <c r="AJ878" s="50"/>
      <c r="AK878" s="50"/>
      <c r="AL878" s="50"/>
      <c r="AM878" s="50"/>
      <c r="AN878" s="50"/>
      <c r="AO878" s="9"/>
      <c r="AP878" s="9"/>
    </row>
    <row r="879" spans="1:42" x14ac:dyDescent="0.55000000000000004">
      <c r="A879" t="str">
        <f t="shared" si="13"/>
        <v/>
      </c>
      <c r="C879" s="103"/>
      <c r="D879" s="110"/>
      <c r="E879" s="110"/>
      <c r="F879" s="110"/>
      <c r="G879" s="110"/>
      <c r="H879" s="110"/>
      <c r="I879" s="110"/>
      <c r="J879" s="110"/>
      <c r="K879" s="110"/>
      <c r="L879" s="110"/>
      <c r="M879" s="110"/>
      <c r="N879" s="110"/>
      <c r="O879" s="110"/>
      <c r="P879" s="110"/>
      <c r="Q879" s="110"/>
      <c r="R879" s="110"/>
      <c r="S879" s="110"/>
      <c r="T879" s="110"/>
      <c r="U879" s="49"/>
      <c r="V879" s="49"/>
      <c r="W879" s="49"/>
      <c r="X879" s="49"/>
      <c r="Y879" s="49"/>
      <c r="Z879" s="49"/>
      <c r="AA879" s="49"/>
      <c r="AB879" s="49"/>
      <c r="AC879" s="49"/>
      <c r="AD879" s="113"/>
      <c r="AE879" s="49"/>
      <c r="AF879" s="50"/>
      <c r="AG879" s="50"/>
      <c r="AH879" s="50"/>
      <c r="AI879" s="52"/>
      <c r="AJ879" s="50"/>
      <c r="AK879" s="50"/>
      <c r="AL879" s="50"/>
      <c r="AM879" s="50"/>
      <c r="AN879" s="50"/>
      <c r="AO879" s="9"/>
      <c r="AP879" s="9"/>
    </row>
    <row r="880" spans="1:42" x14ac:dyDescent="0.55000000000000004">
      <c r="A880" t="str">
        <f t="shared" si="13"/>
        <v/>
      </c>
      <c r="C880" s="103"/>
      <c r="D880" s="110"/>
      <c r="E880" s="110"/>
      <c r="F880" s="110"/>
      <c r="G880" s="110"/>
      <c r="H880" s="110"/>
      <c r="I880" s="110"/>
      <c r="J880" s="110"/>
      <c r="K880" s="110"/>
      <c r="L880" s="110"/>
      <c r="M880" s="110"/>
      <c r="N880" s="110"/>
      <c r="O880" s="110"/>
      <c r="P880" s="110"/>
      <c r="Q880" s="110"/>
      <c r="R880" s="110"/>
      <c r="S880" s="110"/>
      <c r="T880" s="110"/>
      <c r="U880" s="49"/>
      <c r="V880" s="49"/>
      <c r="W880" s="49"/>
      <c r="X880" s="49"/>
      <c r="Y880" s="49"/>
      <c r="Z880" s="49"/>
      <c r="AA880" s="49"/>
      <c r="AB880" s="49"/>
      <c r="AC880" s="49"/>
      <c r="AD880" s="113"/>
      <c r="AE880" s="49"/>
      <c r="AF880" s="50"/>
      <c r="AG880" s="50"/>
      <c r="AH880" s="50"/>
      <c r="AI880" s="52"/>
      <c r="AJ880" s="50"/>
      <c r="AK880" s="50"/>
      <c r="AL880" s="50"/>
      <c r="AM880" s="50"/>
      <c r="AN880" s="50"/>
      <c r="AO880" s="9"/>
      <c r="AP880" s="9"/>
    </row>
    <row r="881" spans="1:42" x14ac:dyDescent="0.55000000000000004">
      <c r="A881" t="str">
        <f t="shared" si="13"/>
        <v/>
      </c>
      <c r="C881" s="103"/>
      <c r="D881" s="110"/>
      <c r="E881" s="110"/>
      <c r="F881" s="110"/>
      <c r="G881" s="110"/>
      <c r="H881" s="110"/>
      <c r="I881" s="110"/>
      <c r="J881" s="110"/>
      <c r="K881" s="110"/>
      <c r="L881" s="110"/>
      <c r="M881" s="110"/>
      <c r="N881" s="110"/>
      <c r="O881" s="110"/>
      <c r="P881" s="110"/>
      <c r="Q881" s="110"/>
      <c r="R881" s="110"/>
      <c r="S881" s="110"/>
      <c r="T881" s="110"/>
      <c r="U881" s="49"/>
      <c r="V881" s="49"/>
      <c r="W881" s="49"/>
      <c r="X881" s="49"/>
      <c r="Y881" s="49"/>
      <c r="Z881" s="49"/>
      <c r="AA881" s="49"/>
      <c r="AB881" s="49"/>
      <c r="AC881" s="49"/>
      <c r="AD881" s="113"/>
      <c r="AE881" s="49"/>
      <c r="AF881" s="50"/>
      <c r="AG881" s="50"/>
      <c r="AH881" s="50"/>
      <c r="AI881" s="52"/>
      <c r="AJ881" s="50"/>
      <c r="AK881" s="50"/>
      <c r="AL881" s="50"/>
      <c r="AM881" s="50"/>
      <c r="AN881" s="50"/>
      <c r="AO881" s="9"/>
      <c r="AP881" s="9"/>
    </row>
    <row r="882" spans="1:42" x14ac:dyDescent="0.55000000000000004">
      <c r="A882" t="str">
        <f t="shared" si="13"/>
        <v/>
      </c>
      <c r="C882" s="103"/>
      <c r="D882" s="110"/>
      <c r="E882" s="112"/>
      <c r="F882" s="110"/>
      <c r="G882" s="112"/>
      <c r="H882" s="110"/>
      <c r="I882" s="110"/>
      <c r="J882" s="110"/>
      <c r="K882" s="110"/>
      <c r="L882" s="110"/>
      <c r="M882" s="110"/>
      <c r="N882" s="110"/>
      <c r="O882" s="110"/>
      <c r="P882" s="110"/>
      <c r="Q882" s="110"/>
      <c r="R882" s="110"/>
      <c r="S882" s="110"/>
      <c r="T882" s="110"/>
      <c r="U882" s="49"/>
      <c r="V882" s="49"/>
      <c r="W882" s="49"/>
      <c r="X882" s="49"/>
      <c r="Y882" s="49"/>
      <c r="Z882" s="49"/>
      <c r="AA882" s="49"/>
      <c r="AB882" s="49"/>
      <c r="AC882" s="49"/>
      <c r="AD882" s="113"/>
      <c r="AE882" s="49"/>
      <c r="AF882" s="50"/>
      <c r="AG882" s="50"/>
      <c r="AH882" s="50"/>
      <c r="AI882" s="52"/>
      <c r="AJ882" s="50"/>
      <c r="AK882" s="50"/>
      <c r="AL882" s="50"/>
      <c r="AM882" s="50"/>
      <c r="AN882" s="50"/>
      <c r="AO882" s="9"/>
      <c r="AP882" s="9"/>
    </row>
    <row r="883" spans="1:42" x14ac:dyDescent="0.55000000000000004">
      <c r="A883" t="str">
        <f t="shared" si="13"/>
        <v/>
      </c>
      <c r="C883" s="103"/>
      <c r="D883" s="110"/>
      <c r="E883" s="112"/>
      <c r="F883" s="110"/>
      <c r="G883" s="112"/>
      <c r="H883" s="110"/>
      <c r="I883" s="110"/>
      <c r="J883" s="110"/>
      <c r="K883" s="110"/>
      <c r="L883" s="110"/>
      <c r="M883" s="110"/>
      <c r="N883" s="110"/>
      <c r="O883" s="110"/>
      <c r="P883" s="110"/>
      <c r="Q883" s="110"/>
      <c r="R883" s="110"/>
      <c r="S883" s="110"/>
      <c r="T883" s="110"/>
      <c r="U883" s="49"/>
      <c r="V883" s="49"/>
      <c r="W883" s="49"/>
      <c r="X883" s="49"/>
      <c r="Y883" s="49"/>
      <c r="Z883" s="49"/>
      <c r="AA883" s="49"/>
      <c r="AB883" s="49"/>
      <c r="AC883" s="49"/>
      <c r="AD883" s="113"/>
      <c r="AE883" s="49"/>
      <c r="AF883" s="50"/>
      <c r="AG883" s="50"/>
      <c r="AH883" s="50"/>
      <c r="AI883" s="52"/>
      <c r="AJ883" s="50"/>
      <c r="AK883" s="50"/>
      <c r="AL883" s="50"/>
      <c r="AM883" s="50"/>
      <c r="AN883" s="50"/>
      <c r="AO883" s="9"/>
      <c r="AP883" s="9"/>
    </row>
    <row r="884" spans="1:42" x14ac:dyDescent="0.55000000000000004">
      <c r="A884" t="str">
        <f t="shared" si="13"/>
        <v/>
      </c>
      <c r="C884" s="103"/>
      <c r="D884" s="110"/>
      <c r="E884" s="112"/>
      <c r="F884" s="110"/>
      <c r="G884" s="112"/>
      <c r="H884" s="110"/>
      <c r="I884" s="110"/>
      <c r="J884" s="110"/>
      <c r="K884" s="110"/>
      <c r="L884" s="110"/>
      <c r="M884" s="110"/>
      <c r="N884" s="110"/>
      <c r="O884" s="110"/>
      <c r="P884" s="110"/>
      <c r="Q884" s="110"/>
      <c r="R884" s="110"/>
      <c r="S884" s="110"/>
      <c r="T884" s="110"/>
      <c r="U884" s="49"/>
      <c r="V884" s="49"/>
      <c r="W884" s="49"/>
      <c r="X884" s="49"/>
      <c r="Y884" s="49"/>
      <c r="Z884" s="49"/>
      <c r="AA884" s="49"/>
      <c r="AB884" s="49"/>
      <c r="AC884" s="49"/>
      <c r="AD884" s="113"/>
      <c r="AE884" s="49"/>
      <c r="AF884" s="50"/>
      <c r="AG884" s="50"/>
      <c r="AH884" s="50"/>
      <c r="AI884" s="52"/>
      <c r="AJ884" s="50"/>
      <c r="AK884" s="50"/>
      <c r="AL884" s="50"/>
      <c r="AM884" s="50"/>
      <c r="AN884" s="50"/>
      <c r="AO884" s="9"/>
      <c r="AP884" s="9"/>
    </row>
    <row r="885" spans="1:42" x14ac:dyDescent="0.55000000000000004">
      <c r="A885" t="str">
        <f t="shared" si="13"/>
        <v/>
      </c>
      <c r="C885" s="103"/>
      <c r="D885" s="110"/>
      <c r="E885" s="112"/>
      <c r="F885" s="110"/>
      <c r="G885" s="112"/>
      <c r="H885" s="110"/>
      <c r="I885" s="110"/>
      <c r="J885" s="110"/>
      <c r="K885" s="110"/>
      <c r="L885" s="110"/>
      <c r="M885" s="110"/>
      <c r="N885" s="110"/>
      <c r="O885" s="110"/>
      <c r="P885" s="110"/>
      <c r="Q885" s="110"/>
      <c r="R885" s="110"/>
      <c r="S885" s="110"/>
      <c r="T885" s="110"/>
      <c r="U885" s="49"/>
      <c r="V885" s="49"/>
      <c r="W885" s="49"/>
      <c r="X885" s="49"/>
      <c r="Y885" s="49"/>
      <c r="Z885" s="49"/>
      <c r="AA885" s="49"/>
      <c r="AB885" s="49"/>
      <c r="AC885" s="49"/>
      <c r="AD885" s="113"/>
      <c r="AE885" s="49"/>
      <c r="AF885" s="50"/>
      <c r="AG885" s="50"/>
      <c r="AH885" s="50"/>
      <c r="AI885" s="52"/>
      <c r="AJ885" s="50"/>
      <c r="AK885" s="50"/>
      <c r="AL885" s="50"/>
      <c r="AM885" s="50"/>
      <c r="AN885" s="50"/>
      <c r="AO885" s="9"/>
      <c r="AP885" s="9"/>
    </row>
    <row r="886" spans="1:42" x14ac:dyDescent="0.55000000000000004">
      <c r="A886" t="str">
        <f t="shared" si="13"/>
        <v/>
      </c>
      <c r="C886" s="103"/>
      <c r="D886" s="110"/>
      <c r="E886" s="112"/>
      <c r="F886" s="110"/>
      <c r="G886" s="112"/>
      <c r="H886" s="110"/>
      <c r="I886" s="110"/>
      <c r="J886" s="110"/>
      <c r="K886" s="110"/>
      <c r="L886" s="110"/>
      <c r="M886" s="110"/>
      <c r="N886" s="110"/>
      <c r="O886" s="110"/>
      <c r="P886" s="110"/>
      <c r="Q886" s="110"/>
      <c r="R886" s="110"/>
      <c r="S886" s="110"/>
      <c r="T886" s="110"/>
      <c r="U886" s="49"/>
      <c r="V886" s="49"/>
      <c r="W886" s="49"/>
      <c r="X886" s="49"/>
      <c r="Y886" s="49"/>
      <c r="Z886" s="49"/>
      <c r="AA886" s="49"/>
      <c r="AB886" s="49"/>
      <c r="AC886" s="49"/>
      <c r="AD886" s="113"/>
      <c r="AE886" s="49"/>
      <c r="AF886" s="50"/>
      <c r="AG886" s="50"/>
      <c r="AH886" s="50"/>
      <c r="AI886" s="52"/>
      <c r="AJ886" s="50"/>
      <c r="AK886" s="50"/>
      <c r="AL886" s="50"/>
      <c r="AM886" s="50"/>
      <c r="AN886" s="50"/>
      <c r="AO886" s="9"/>
      <c r="AP886" s="9"/>
    </row>
    <row r="887" spans="1:42" x14ac:dyDescent="0.55000000000000004">
      <c r="A887" t="str">
        <f t="shared" si="13"/>
        <v/>
      </c>
      <c r="C887" s="103"/>
      <c r="D887" s="110"/>
      <c r="E887" s="112"/>
      <c r="F887" s="110"/>
      <c r="G887" s="112"/>
      <c r="H887" s="110"/>
      <c r="I887" s="110"/>
      <c r="J887" s="110"/>
      <c r="K887" s="110"/>
      <c r="L887" s="110"/>
      <c r="M887" s="110"/>
      <c r="N887" s="110"/>
      <c r="O887" s="110"/>
      <c r="P887" s="110"/>
      <c r="Q887" s="110"/>
      <c r="R887" s="110"/>
      <c r="S887" s="110"/>
      <c r="T887" s="110"/>
      <c r="U887" s="49"/>
      <c r="V887" s="49"/>
      <c r="W887" s="49"/>
      <c r="X887" s="49"/>
      <c r="Y887" s="49"/>
      <c r="Z887" s="49"/>
      <c r="AA887" s="49"/>
      <c r="AB887" s="49"/>
      <c r="AC887" s="49"/>
      <c r="AD887" s="113"/>
      <c r="AE887" s="49"/>
      <c r="AF887" s="50"/>
      <c r="AG887" s="50"/>
      <c r="AH887" s="50"/>
      <c r="AI887" s="52"/>
      <c r="AJ887" s="50"/>
      <c r="AK887" s="50"/>
      <c r="AL887" s="50"/>
      <c r="AM887" s="50"/>
      <c r="AN887" s="50"/>
      <c r="AO887" s="9"/>
      <c r="AP887" s="9"/>
    </row>
    <row r="888" spans="1:42" x14ac:dyDescent="0.55000000000000004">
      <c r="A888" t="str">
        <f t="shared" si="13"/>
        <v/>
      </c>
      <c r="C888" s="103"/>
      <c r="D888" s="110"/>
      <c r="E888" s="112"/>
      <c r="F888" s="110"/>
      <c r="G888" s="112"/>
      <c r="H888" s="110"/>
      <c r="I888" s="110"/>
      <c r="J888" s="110"/>
      <c r="K888" s="110"/>
      <c r="L888" s="110"/>
      <c r="M888" s="110"/>
      <c r="N888" s="110"/>
      <c r="O888" s="110"/>
      <c r="P888" s="110"/>
      <c r="Q888" s="110"/>
      <c r="R888" s="110"/>
      <c r="S888" s="110"/>
      <c r="T888" s="110"/>
      <c r="U888" s="49"/>
      <c r="V888" s="49"/>
      <c r="W888" s="49"/>
      <c r="X888" s="49"/>
      <c r="Y888" s="49"/>
      <c r="Z888" s="49"/>
      <c r="AA888" s="49"/>
      <c r="AB888" s="49"/>
      <c r="AC888" s="49"/>
      <c r="AD888" s="113"/>
      <c r="AE888" s="49"/>
      <c r="AF888" s="50"/>
      <c r="AG888" s="50"/>
      <c r="AH888" s="50"/>
      <c r="AI888" s="52"/>
      <c r="AJ888" s="50"/>
      <c r="AK888" s="50"/>
      <c r="AL888" s="50"/>
      <c r="AM888" s="50"/>
      <c r="AN888" s="50"/>
      <c r="AO888" s="9"/>
      <c r="AP888" s="9"/>
    </row>
    <row r="889" spans="1:42" x14ac:dyDescent="0.55000000000000004">
      <c r="A889" t="str">
        <f t="shared" si="13"/>
        <v/>
      </c>
      <c r="C889" s="103"/>
      <c r="D889" s="110"/>
      <c r="E889" s="112"/>
      <c r="F889" s="110"/>
      <c r="G889" s="112"/>
      <c r="H889" s="110"/>
      <c r="I889" s="110"/>
      <c r="J889" s="110"/>
      <c r="K889" s="110"/>
      <c r="L889" s="110"/>
      <c r="M889" s="110"/>
      <c r="N889" s="110"/>
      <c r="O889" s="110"/>
      <c r="P889" s="110"/>
      <c r="Q889" s="110"/>
      <c r="R889" s="110"/>
      <c r="S889" s="110"/>
      <c r="T889" s="110"/>
      <c r="U889" s="49"/>
      <c r="V889" s="49"/>
      <c r="W889" s="49"/>
      <c r="X889" s="49"/>
      <c r="Y889" s="49"/>
      <c r="Z889" s="49"/>
      <c r="AA889" s="49"/>
      <c r="AB889" s="49"/>
      <c r="AC889" s="49"/>
      <c r="AD889" s="113"/>
      <c r="AE889" s="49"/>
      <c r="AF889" s="50"/>
      <c r="AG889" s="50"/>
      <c r="AH889" s="50"/>
      <c r="AI889" s="52"/>
      <c r="AJ889" s="50"/>
      <c r="AK889" s="50"/>
      <c r="AL889" s="50"/>
      <c r="AM889" s="50"/>
      <c r="AN889" s="50"/>
      <c r="AO889" s="9"/>
      <c r="AP889" s="9"/>
    </row>
    <row r="890" spans="1:42" x14ac:dyDescent="0.55000000000000004">
      <c r="A890" t="str">
        <f t="shared" si="13"/>
        <v/>
      </c>
      <c r="C890" s="103"/>
      <c r="D890" s="110"/>
      <c r="E890" s="112"/>
      <c r="F890" s="110"/>
      <c r="G890" s="112"/>
      <c r="H890" s="110"/>
      <c r="I890" s="110"/>
      <c r="J890" s="110"/>
      <c r="K890" s="110"/>
      <c r="L890" s="110"/>
      <c r="M890" s="110"/>
      <c r="N890" s="110"/>
      <c r="O890" s="110"/>
      <c r="P890" s="110"/>
      <c r="Q890" s="110"/>
      <c r="R890" s="110"/>
      <c r="S890" s="110"/>
      <c r="T890" s="110"/>
      <c r="U890" s="49"/>
      <c r="V890" s="49"/>
      <c r="W890" s="49"/>
      <c r="X890" s="49"/>
      <c r="Y890" s="49"/>
      <c r="Z890" s="49"/>
      <c r="AA890" s="49"/>
      <c r="AB890" s="49"/>
      <c r="AC890" s="49"/>
      <c r="AD890" s="113"/>
      <c r="AE890" s="49"/>
      <c r="AF890" s="50"/>
      <c r="AG890" s="50"/>
      <c r="AH890" s="50"/>
      <c r="AI890" s="52"/>
      <c r="AJ890" s="50"/>
      <c r="AK890" s="50"/>
      <c r="AL890" s="50"/>
      <c r="AM890" s="50"/>
      <c r="AN890" s="50"/>
      <c r="AO890" s="9"/>
      <c r="AP890" s="9"/>
    </row>
    <row r="891" spans="1:42" x14ac:dyDescent="0.55000000000000004">
      <c r="A891" t="str">
        <f t="shared" si="13"/>
        <v/>
      </c>
      <c r="C891" s="103"/>
      <c r="D891" s="110"/>
      <c r="E891" s="112"/>
      <c r="F891" s="110"/>
      <c r="G891" s="112"/>
      <c r="H891" s="110"/>
      <c r="I891" s="110"/>
      <c r="J891" s="110"/>
      <c r="K891" s="110"/>
      <c r="L891" s="110"/>
      <c r="M891" s="110"/>
      <c r="N891" s="110"/>
      <c r="O891" s="110"/>
      <c r="P891" s="110"/>
      <c r="Q891" s="110"/>
      <c r="R891" s="110"/>
      <c r="S891" s="110"/>
      <c r="T891" s="110"/>
      <c r="U891" s="49"/>
      <c r="V891" s="49"/>
      <c r="W891" s="49"/>
      <c r="X891" s="49"/>
      <c r="Y891" s="49"/>
      <c r="Z891" s="49"/>
      <c r="AA891" s="49"/>
      <c r="AB891" s="49"/>
      <c r="AC891" s="49"/>
      <c r="AD891" s="113"/>
      <c r="AE891" s="49"/>
      <c r="AF891" s="50"/>
      <c r="AG891" s="50"/>
      <c r="AH891" s="50"/>
      <c r="AI891" s="52"/>
      <c r="AJ891" s="50"/>
      <c r="AK891" s="50"/>
      <c r="AL891" s="50"/>
      <c r="AM891" s="50"/>
      <c r="AN891" s="50"/>
      <c r="AO891" s="9"/>
      <c r="AP891" s="9"/>
    </row>
    <row r="892" spans="1:42" x14ac:dyDescent="0.55000000000000004">
      <c r="A892" t="str">
        <f t="shared" si="13"/>
        <v/>
      </c>
      <c r="C892" s="103"/>
      <c r="D892" s="110"/>
      <c r="E892" s="112"/>
      <c r="F892" s="110"/>
      <c r="G892" s="112"/>
      <c r="H892" s="110"/>
      <c r="I892" s="110"/>
      <c r="J892" s="110"/>
      <c r="K892" s="110"/>
      <c r="L892" s="110"/>
      <c r="M892" s="110"/>
      <c r="N892" s="110"/>
      <c r="O892" s="110"/>
      <c r="P892" s="110"/>
      <c r="Q892" s="110"/>
      <c r="R892" s="110"/>
      <c r="S892" s="110"/>
      <c r="T892" s="110"/>
      <c r="U892" s="49"/>
      <c r="V892" s="49"/>
      <c r="W892" s="49"/>
      <c r="X892" s="49"/>
      <c r="Y892" s="49"/>
      <c r="Z892" s="49"/>
      <c r="AA892" s="49"/>
      <c r="AB892" s="49"/>
      <c r="AC892" s="49"/>
      <c r="AD892" s="113"/>
      <c r="AE892" s="49"/>
      <c r="AF892" s="50"/>
      <c r="AG892" s="50"/>
      <c r="AH892" s="50"/>
      <c r="AI892" s="52"/>
      <c r="AJ892" s="50"/>
      <c r="AK892" s="50"/>
      <c r="AL892" s="50"/>
      <c r="AM892" s="50"/>
      <c r="AN892" s="50"/>
      <c r="AO892" s="9"/>
      <c r="AP892" s="9"/>
    </row>
    <row r="893" spans="1:42" x14ac:dyDescent="0.55000000000000004">
      <c r="A893" t="str">
        <f t="shared" si="13"/>
        <v/>
      </c>
      <c r="C893" s="103"/>
      <c r="D893" s="110"/>
      <c r="E893" s="112"/>
      <c r="F893" s="110"/>
      <c r="G893" s="112"/>
      <c r="H893" s="110"/>
      <c r="I893" s="110"/>
      <c r="J893" s="110"/>
      <c r="K893" s="110"/>
      <c r="L893" s="110"/>
      <c r="M893" s="110"/>
      <c r="N893" s="110"/>
      <c r="O893" s="110"/>
      <c r="P893" s="110"/>
      <c r="Q893" s="110"/>
      <c r="R893" s="110"/>
      <c r="S893" s="110"/>
      <c r="T893" s="110"/>
      <c r="U893" s="49"/>
      <c r="V893" s="49"/>
      <c r="W893" s="49"/>
      <c r="X893" s="49"/>
      <c r="Y893" s="49"/>
      <c r="Z893" s="49"/>
      <c r="AA893" s="49"/>
      <c r="AB893" s="49"/>
      <c r="AC893" s="49"/>
      <c r="AD893" s="113"/>
      <c r="AE893" s="49"/>
      <c r="AF893" s="50"/>
      <c r="AG893" s="50"/>
      <c r="AH893" s="50"/>
      <c r="AI893" s="52"/>
      <c r="AJ893" s="50"/>
      <c r="AK893" s="50"/>
      <c r="AL893" s="50"/>
      <c r="AM893" s="50"/>
      <c r="AN893" s="50"/>
      <c r="AO893" s="9"/>
      <c r="AP893" s="9"/>
    </row>
    <row r="894" spans="1:42" x14ac:dyDescent="0.55000000000000004">
      <c r="A894" t="str">
        <f t="shared" si="13"/>
        <v/>
      </c>
      <c r="C894" s="103"/>
      <c r="D894" s="110"/>
      <c r="E894" s="112"/>
      <c r="F894" s="110"/>
      <c r="G894" s="112"/>
      <c r="H894" s="110"/>
      <c r="I894" s="110"/>
      <c r="J894" s="110"/>
      <c r="K894" s="110"/>
      <c r="L894" s="110"/>
      <c r="M894" s="110"/>
      <c r="N894" s="110"/>
      <c r="O894" s="110"/>
      <c r="P894" s="110"/>
      <c r="Q894" s="110"/>
      <c r="R894" s="110"/>
      <c r="S894" s="110"/>
      <c r="T894" s="110"/>
      <c r="U894" s="49"/>
      <c r="V894" s="49"/>
      <c r="W894" s="49"/>
      <c r="X894" s="49"/>
      <c r="Y894" s="49"/>
      <c r="Z894" s="49"/>
      <c r="AA894" s="49"/>
      <c r="AB894" s="49"/>
      <c r="AC894" s="49"/>
      <c r="AD894" s="113"/>
      <c r="AE894" s="49"/>
      <c r="AF894" s="50"/>
      <c r="AG894" s="50"/>
      <c r="AH894" s="50"/>
      <c r="AI894" s="52"/>
      <c r="AJ894" s="50"/>
      <c r="AK894" s="50"/>
      <c r="AL894" s="50"/>
      <c r="AM894" s="50"/>
      <c r="AN894" s="50"/>
      <c r="AO894" s="9"/>
      <c r="AP894" s="9"/>
    </row>
    <row r="895" spans="1:42" x14ac:dyDescent="0.55000000000000004">
      <c r="A895" t="str">
        <f t="shared" si="13"/>
        <v/>
      </c>
      <c r="C895" s="103"/>
      <c r="D895" s="110"/>
      <c r="E895" s="112"/>
      <c r="F895" s="110"/>
      <c r="G895" s="112"/>
      <c r="H895" s="110"/>
      <c r="I895" s="110"/>
      <c r="J895" s="110"/>
      <c r="K895" s="110"/>
      <c r="L895" s="110"/>
      <c r="M895" s="110"/>
      <c r="N895" s="110"/>
      <c r="O895" s="110"/>
      <c r="P895" s="110"/>
      <c r="Q895" s="110"/>
      <c r="R895" s="110"/>
      <c r="S895" s="110"/>
      <c r="T895" s="110"/>
      <c r="U895" s="49"/>
      <c r="V895" s="49"/>
      <c r="W895" s="49"/>
      <c r="X895" s="49"/>
      <c r="Y895" s="49"/>
      <c r="Z895" s="49"/>
      <c r="AA895" s="49"/>
      <c r="AB895" s="49"/>
      <c r="AC895" s="49"/>
      <c r="AD895" s="113"/>
      <c r="AE895" s="49"/>
      <c r="AF895" s="50"/>
      <c r="AG895" s="50"/>
      <c r="AH895" s="50"/>
      <c r="AI895" s="52"/>
      <c r="AJ895" s="50"/>
      <c r="AK895" s="50"/>
      <c r="AL895" s="50"/>
      <c r="AM895" s="50"/>
      <c r="AN895" s="50"/>
      <c r="AO895" s="9"/>
      <c r="AP895" s="9"/>
    </row>
    <row r="896" spans="1:42" x14ac:dyDescent="0.55000000000000004">
      <c r="A896" t="str">
        <f t="shared" si="13"/>
        <v/>
      </c>
      <c r="C896" s="103"/>
      <c r="D896" s="110"/>
      <c r="E896" s="112"/>
      <c r="F896" s="110"/>
      <c r="G896" s="112"/>
      <c r="H896" s="110"/>
      <c r="I896" s="110"/>
      <c r="J896" s="110"/>
      <c r="K896" s="110"/>
      <c r="L896" s="110"/>
      <c r="M896" s="110"/>
      <c r="N896" s="110"/>
      <c r="O896" s="110"/>
      <c r="P896" s="110"/>
      <c r="Q896" s="110"/>
      <c r="R896" s="110"/>
      <c r="S896" s="110"/>
      <c r="T896" s="110"/>
      <c r="U896" s="49"/>
      <c r="V896" s="49"/>
      <c r="W896" s="49"/>
      <c r="X896" s="49"/>
      <c r="Y896" s="49"/>
      <c r="Z896" s="49"/>
      <c r="AA896" s="49"/>
      <c r="AB896" s="49"/>
      <c r="AC896" s="49"/>
      <c r="AD896" s="113"/>
      <c r="AE896" s="49"/>
      <c r="AF896" s="50"/>
      <c r="AG896" s="50"/>
      <c r="AH896" s="50"/>
      <c r="AI896" s="52"/>
      <c r="AJ896" s="50"/>
      <c r="AK896" s="50"/>
      <c r="AL896" s="50"/>
      <c r="AM896" s="50"/>
      <c r="AN896" s="50"/>
      <c r="AO896" s="9"/>
      <c r="AP896" s="9"/>
    </row>
    <row r="897" spans="1:42" x14ac:dyDescent="0.55000000000000004">
      <c r="A897" t="str">
        <f t="shared" si="13"/>
        <v/>
      </c>
      <c r="C897" s="103"/>
      <c r="D897" s="110"/>
      <c r="E897" s="112"/>
      <c r="F897" s="110"/>
      <c r="G897" s="112"/>
      <c r="H897" s="110"/>
      <c r="I897" s="110"/>
      <c r="J897" s="110"/>
      <c r="K897" s="110"/>
      <c r="L897" s="110"/>
      <c r="M897" s="110"/>
      <c r="N897" s="110"/>
      <c r="O897" s="110"/>
      <c r="P897" s="110"/>
      <c r="Q897" s="110"/>
      <c r="R897" s="110"/>
      <c r="S897" s="110"/>
      <c r="T897" s="110"/>
      <c r="U897" s="49"/>
      <c r="V897" s="49"/>
      <c r="W897" s="49"/>
      <c r="X897" s="49"/>
      <c r="Y897" s="49"/>
      <c r="Z897" s="49"/>
      <c r="AA897" s="49"/>
      <c r="AB897" s="49"/>
      <c r="AC897" s="49"/>
      <c r="AD897" s="113"/>
      <c r="AE897" s="49"/>
      <c r="AF897" s="50"/>
      <c r="AG897" s="50"/>
      <c r="AH897" s="50"/>
      <c r="AI897" s="50"/>
      <c r="AJ897" s="50"/>
      <c r="AK897" s="50"/>
      <c r="AL897" s="50"/>
      <c r="AM897" s="50"/>
      <c r="AN897" s="50"/>
      <c r="AO897" s="9"/>
      <c r="AP897" s="9"/>
    </row>
    <row r="898" spans="1:42" x14ac:dyDescent="0.55000000000000004">
      <c r="A898" t="str">
        <f t="shared" si="13"/>
        <v/>
      </c>
      <c r="C898" s="103"/>
      <c r="D898" s="110"/>
      <c r="E898" s="112"/>
      <c r="F898" s="110"/>
      <c r="G898" s="112"/>
      <c r="H898" s="110"/>
      <c r="I898" s="110"/>
      <c r="J898" s="110"/>
      <c r="K898" s="110"/>
      <c r="L898" s="110"/>
      <c r="M898" s="110"/>
      <c r="N898" s="110"/>
      <c r="O898" s="110"/>
      <c r="P898" s="110"/>
      <c r="Q898" s="110"/>
      <c r="R898" s="110"/>
      <c r="S898" s="110"/>
      <c r="T898" s="110"/>
      <c r="U898" s="49"/>
      <c r="V898" s="49"/>
      <c r="W898" s="49"/>
      <c r="X898" s="49"/>
      <c r="Y898" s="49"/>
      <c r="Z898" s="49"/>
      <c r="AA898" s="49"/>
      <c r="AB898" s="49"/>
      <c r="AC898" s="49"/>
      <c r="AD898" s="113"/>
      <c r="AE898" s="49"/>
      <c r="AF898" s="50"/>
      <c r="AG898" s="50"/>
      <c r="AH898" s="50"/>
      <c r="AI898" s="50"/>
      <c r="AJ898" s="50"/>
      <c r="AK898" s="50"/>
      <c r="AL898" s="50"/>
      <c r="AM898" s="50"/>
      <c r="AN898" s="50"/>
      <c r="AO898" s="9"/>
      <c r="AP898" s="9"/>
    </row>
    <row r="899" spans="1:42" x14ac:dyDescent="0.55000000000000004">
      <c r="A899" t="str">
        <f t="shared" ref="A899:A962" si="14">H899&amp;I899&amp;J899</f>
        <v/>
      </c>
      <c r="C899" s="103"/>
      <c r="D899" s="110"/>
      <c r="E899" s="112"/>
      <c r="F899" s="110"/>
      <c r="G899" s="112"/>
      <c r="H899" s="110"/>
      <c r="I899" s="110"/>
      <c r="J899" s="110"/>
      <c r="K899" s="110"/>
      <c r="L899" s="110"/>
      <c r="M899" s="110"/>
      <c r="N899" s="110"/>
      <c r="O899" s="110"/>
      <c r="P899" s="110"/>
      <c r="Q899" s="110"/>
      <c r="R899" s="110"/>
      <c r="S899" s="110"/>
      <c r="T899" s="110"/>
      <c r="U899" s="49"/>
      <c r="V899" s="49"/>
      <c r="W899" s="49"/>
      <c r="X899" s="49"/>
      <c r="Y899" s="49"/>
      <c r="Z899" s="49"/>
      <c r="AA899" s="49"/>
      <c r="AB899" s="49"/>
      <c r="AC899" s="49"/>
      <c r="AD899" s="113"/>
      <c r="AE899" s="49"/>
      <c r="AF899" s="50"/>
      <c r="AG899" s="50"/>
      <c r="AH899" s="50"/>
      <c r="AI899" s="50"/>
      <c r="AJ899" s="50"/>
      <c r="AK899" s="50"/>
      <c r="AL899" s="50"/>
      <c r="AM899" s="50"/>
      <c r="AN899" s="50"/>
      <c r="AO899" s="9"/>
      <c r="AP899" s="9"/>
    </row>
    <row r="900" spans="1:42" x14ac:dyDescent="0.55000000000000004">
      <c r="A900" t="str">
        <f t="shared" si="14"/>
        <v/>
      </c>
      <c r="C900" s="103"/>
      <c r="D900" s="110"/>
      <c r="E900" s="112"/>
      <c r="F900" s="110"/>
      <c r="G900" s="112"/>
      <c r="H900" s="110"/>
      <c r="I900" s="110"/>
      <c r="J900" s="110"/>
      <c r="K900" s="110"/>
      <c r="L900" s="110"/>
      <c r="M900" s="110"/>
      <c r="N900" s="110"/>
      <c r="O900" s="110"/>
      <c r="P900" s="110"/>
      <c r="Q900" s="110"/>
      <c r="R900" s="110"/>
      <c r="S900" s="110"/>
      <c r="T900" s="110"/>
      <c r="U900" s="49"/>
      <c r="V900" s="49"/>
      <c r="W900" s="49"/>
      <c r="X900" s="49"/>
      <c r="Y900" s="49"/>
      <c r="Z900" s="49"/>
      <c r="AA900" s="49"/>
      <c r="AB900" s="49"/>
      <c r="AC900" s="49"/>
      <c r="AD900" s="113"/>
      <c r="AE900" s="49"/>
      <c r="AF900" s="50"/>
      <c r="AG900" s="50"/>
      <c r="AH900" s="50"/>
      <c r="AI900" s="50"/>
      <c r="AJ900" s="50"/>
      <c r="AK900" s="50"/>
      <c r="AL900" s="50"/>
      <c r="AM900" s="50"/>
      <c r="AN900" s="50"/>
      <c r="AO900" s="9"/>
      <c r="AP900" s="9"/>
    </row>
    <row r="901" spans="1:42" x14ac:dyDescent="0.55000000000000004">
      <c r="A901" t="str">
        <f t="shared" si="14"/>
        <v/>
      </c>
      <c r="C901" s="103"/>
      <c r="D901" s="110"/>
      <c r="E901" s="112"/>
      <c r="F901" s="110"/>
      <c r="G901" s="112"/>
      <c r="H901" s="110"/>
      <c r="I901" s="110"/>
      <c r="J901" s="110"/>
      <c r="K901" s="110"/>
      <c r="L901" s="110"/>
      <c r="M901" s="110"/>
      <c r="N901" s="110"/>
      <c r="O901" s="110"/>
      <c r="P901" s="110"/>
      <c r="Q901" s="110"/>
      <c r="R901" s="110"/>
      <c r="S901" s="110"/>
      <c r="T901" s="110"/>
      <c r="U901" s="49"/>
      <c r="V901" s="49"/>
      <c r="W901" s="49"/>
      <c r="X901" s="49"/>
      <c r="Y901" s="49"/>
      <c r="Z901" s="49"/>
      <c r="AA901" s="49"/>
      <c r="AB901" s="49"/>
      <c r="AC901" s="49"/>
      <c r="AD901" s="113"/>
      <c r="AE901" s="49"/>
      <c r="AF901" s="50"/>
      <c r="AG901" s="50"/>
      <c r="AH901" s="50"/>
      <c r="AI901" s="50"/>
      <c r="AJ901" s="50"/>
      <c r="AK901" s="50"/>
      <c r="AL901" s="50"/>
      <c r="AM901" s="50"/>
      <c r="AN901" s="50"/>
      <c r="AO901" s="9"/>
      <c r="AP901" s="9"/>
    </row>
    <row r="902" spans="1:42" x14ac:dyDescent="0.55000000000000004">
      <c r="A902" t="str">
        <f t="shared" si="14"/>
        <v/>
      </c>
      <c r="C902" s="103"/>
      <c r="D902" s="110"/>
      <c r="E902" s="112"/>
      <c r="F902" s="110"/>
      <c r="G902" s="112"/>
      <c r="H902" s="110"/>
      <c r="I902" s="110"/>
      <c r="J902" s="110"/>
      <c r="K902" s="110"/>
      <c r="L902" s="110"/>
      <c r="M902" s="110"/>
      <c r="N902" s="110"/>
      <c r="O902" s="110"/>
      <c r="P902" s="110"/>
      <c r="Q902" s="110"/>
      <c r="R902" s="110"/>
      <c r="S902" s="110"/>
      <c r="T902" s="110"/>
      <c r="U902" s="49"/>
      <c r="V902" s="49"/>
      <c r="W902" s="49"/>
      <c r="X902" s="49"/>
      <c r="Y902" s="49"/>
      <c r="Z902" s="49"/>
      <c r="AA902" s="49"/>
      <c r="AB902" s="49"/>
      <c r="AC902" s="49"/>
      <c r="AD902" s="113"/>
      <c r="AE902" s="49"/>
      <c r="AF902" s="50"/>
      <c r="AG902" s="50"/>
      <c r="AH902" s="50"/>
      <c r="AI902" s="50"/>
      <c r="AJ902" s="50"/>
      <c r="AK902" s="50"/>
      <c r="AL902" s="50"/>
      <c r="AM902" s="50"/>
      <c r="AN902" s="50"/>
      <c r="AO902" s="9"/>
      <c r="AP902" s="9"/>
    </row>
    <row r="903" spans="1:42" x14ac:dyDescent="0.55000000000000004">
      <c r="A903" t="str">
        <f t="shared" si="14"/>
        <v/>
      </c>
      <c r="C903" s="103"/>
      <c r="D903" s="110"/>
      <c r="E903" s="112"/>
      <c r="F903" s="110"/>
      <c r="G903" s="112"/>
      <c r="H903" s="110"/>
      <c r="I903" s="110"/>
      <c r="J903" s="110"/>
      <c r="K903" s="110"/>
      <c r="L903" s="110"/>
      <c r="M903" s="110"/>
      <c r="N903" s="110"/>
      <c r="O903" s="110"/>
      <c r="P903" s="110"/>
      <c r="Q903" s="110"/>
      <c r="R903" s="110"/>
      <c r="S903" s="110"/>
      <c r="T903" s="110"/>
      <c r="U903" s="49"/>
      <c r="V903" s="49"/>
      <c r="W903" s="49"/>
      <c r="X903" s="49"/>
      <c r="Y903" s="49"/>
      <c r="Z903" s="49"/>
      <c r="AA903" s="49"/>
      <c r="AB903" s="49"/>
      <c r="AC903" s="49"/>
      <c r="AD903" s="113"/>
      <c r="AE903" s="49"/>
      <c r="AF903" s="50"/>
      <c r="AG903" s="50"/>
      <c r="AH903" s="50"/>
      <c r="AI903" s="50"/>
      <c r="AJ903" s="50"/>
      <c r="AK903" s="50"/>
      <c r="AL903" s="50"/>
      <c r="AM903" s="50"/>
      <c r="AN903" s="50"/>
      <c r="AO903" s="9"/>
      <c r="AP903" s="9"/>
    </row>
    <row r="904" spans="1:42" x14ac:dyDescent="0.55000000000000004">
      <c r="A904" t="str">
        <f t="shared" si="14"/>
        <v/>
      </c>
      <c r="C904" s="103"/>
      <c r="D904" s="110"/>
      <c r="E904" s="112"/>
      <c r="F904" s="110"/>
      <c r="G904" s="112"/>
      <c r="H904" s="110"/>
      <c r="I904" s="110"/>
      <c r="J904" s="110"/>
      <c r="K904" s="110"/>
      <c r="L904" s="110"/>
      <c r="M904" s="110"/>
      <c r="N904" s="110"/>
      <c r="O904" s="110"/>
      <c r="P904" s="110"/>
      <c r="Q904" s="110"/>
      <c r="R904" s="110"/>
      <c r="S904" s="110"/>
      <c r="T904" s="110"/>
      <c r="U904" s="49"/>
      <c r="V904" s="49"/>
      <c r="W904" s="49"/>
      <c r="X904" s="49"/>
      <c r="Y904" s="49"/>
      <c r="Z904" s="49"/>
      <c r="AA904" s="49"/>
      <c r="AB904" s="49"/>
      <c r="AC904" s="49"/>
      <c r="AD904" s="113"/>
      <c r="AE904" s="49"/>
      <c r="AF904" s="50"/>
      <c r="AG904" s="50"/>
      <c r="AH904" s="50"/>
      <c r="AI904" s="50"/>
      <c r="AJ904" s="50"/>
      <c r="AK904" s="50"/>
      <c r="AL904" s="50"/>
      <c r="AM904" s="50"/>
      <c r="AN904" s="50"/>
      <c r="AO904" s="9"/>
      <c r="AP904" s="9"/>
    </row>
    <row r="905" spans="1:42" x14ac:dyDescent="0.55000000000000004">
      <c r="A905" t="str">
        <f t="shared" si="14"/>
        <v/>
      </c>
      <c r="C905" s="103"/>
      <c r="D905" s="110"/>
      <c r="E905" s="112"/>
      <c r="F905" s="110"/>
      <c r="G905" s="112"/>
      <c r="H905" s="110"/>
      <c r="I905" s="110"/>
      <c r="J905" s="110"/>
      <c r="K905" s="110"/>
      <c r="L905" s="110"/>
      <c r="M905" s="110"/>
      <c r="N905" s="110"/>
      <c r="O905" s="110"/>
      <c r="P905" s="110"/>
      <c r="Q905" s="110"/>
      <c r="R905" s="110"/>
      <c r="S905" s="110"/>
      <c r="T905" s="110"/>
      <c r="U905" s="49"/>
      <c r="V905" s="49"/>
      <c r="W905" s="49"/>
      <c r="X905" s="49"/>
      <c r="Y905" s="49"/>
      <c r="Z905" s="49"/>
      <c r="AA905" s="49"/>
      <c r="AB905" s="49"/>
      <c r="AC905" s="49"/>
      <c r="AD905" s="113"/>
      <c r="AE905" s="49"/>
      <c r="AF905" s="50"/>
      <c r="AG905" s="50"/>
      <c r="AH905" s="50"/>
      <c r="AI905" s="50"/>
      <c r="AJ905" s="50"/>
      <c r="AK905" s="50"/>
      <c r="AL905" s="50"/>
      <c r="AM905" s="50"/>
      <c r="AN905" s="50"/>
      <c r="AO905" s="9"/>
      <c r="AP905" s="9"/>
    </row>
    <row r="906" spans="1:42" x14ac:dyDescent="0.55000000000000004">
      <c r="A906" t="str">
        <f t="shared" si="14"/>
        <v/>
      </c>
      <c r="C906" s="103"/>
      <c r="D906" s="110"/>
      <c r="E906" s="112"/>
      <c r="F906" s="110"/>
      <c r="G906" s="112"/>
      <c r="H906" s="110"/>
      <c r="I906" s="110"/>
      <c r="J906" s="110"/>
      <c r="K906" s="110"/>
      <c r="L906" s="110"/>
      <c r="M906" s="110"/>
      <c r="N906" s="110"/>
      <c r="O906" s="110"/>
      <c r="P906" s="110"/>
      <c r="Q906" s="110"/>
      <c r="R906" s="110"/>
      <c r="S906" s="110"/>
      <c r="T906" s="110"/>
      <c r="U906" s="49"/>
      <c r="V906" s="49"/>
      <c r="W906" s="49"/>
      <c r="X906" s="49"/>
      <c r="Y906" s="49"/>
      <c r="Z906" s="49"/>
      <c r="AA906" s="49"/>
      <c r="AB906" s="49"/>
      <c r="AC906" s="49"/>
      <c r="AD906" s="113"/>
      <c r="AE906" s="49"/>
      <c r="AF906" s="50"/>
      <c r="AG906" s="50"/>
      <c r="AH906" s="50"/>
      <c r="AI906" s="50"/>
      <c r="AJ906" s="50"/>
      <c r="AK906" s="50"/>
      <c r="AL906" s="50"/>
      <c r="AM906" s="50"/>
      <c r="AN906" s="50"/>
      <c r="AO906" s="9"/>
      <c r="AP906" s="9"/>
    </row>
    <row r="907" spans="1:42" x14ac:dyDescent="0.55000000000000004">
      <c r="A907" t="str">
        <f t="shared" si="14"/>
        <v/>
      </c>
      <c r="C907" s="103"/>
      <c r="D907" s="110"/>
      <c r="E907" s="110"/>
      <c r="F907" s="110"/>
      <c r="G907" s="110"/>
      <c r="H907" s="110"/>
      <c r="I907" s="110"/>
      <c r="J907" s="110"/>
      <c r="K907" s="110"/>
      <c r="L907" s="110"/>
      <c r="M907" s="110"/>
      <c r="N907" s="110"/>
      <c r="O907" s="110"/>
      <c r="P907" s="110"/>
      <c r="Q907" s="110"/>
      <c r="R907" s="110"/>
      <c r="S907" s="110"/>
      <c r="T907" s="110"/>
      <c r="U907" s="49"/>
      <c r="V907" s="49"/>
      <c r="W907" s="49"/>
      <c r="X907" s="49"/>
      <c r="Y907" s="49"/>
      <c r="Z907" s="49"/>
      <c r="AA907" s="49"/>
      <c r="AB907" s="49"/>
      <c r="AC907" s="49"/>
      <c r="AD907" s="113"/>
      <c r="AE907" s="49"/>
      <c r="AF907" s="50"/>
      <c r="AG907" s="55"/>
      <c r="AH907" s="50"/>
      <c r="AI907" s="50"/>
      <c r="AJ907" s="50"/>
      <c r="AK907" s="50"/>
      <c r="AL907" s="50"/>
      <c r="AM907" s="50"/>
      <c r="AN907" s="50"/>
      <c r="AO907" s="9"/>
      <c r="AP907" s="9"/>
    </row>
    <row r="908" spans="1:42" x14ac:dyDescent="0.55000000000000004">
      <c r="A908" t="str">
        <f t="shared" si="14"/>
        <v/>
      </c>
      <c r="C908" s="103"/>
      <c r="D908" s="110"/>
      <c r="E908" s="112"/>
      <c r="F908" s="110"/>
      <c r="G908" s="112"/>
      <c r="H908" s="110"/>
      <c r="I908" s="110"/>
      <c r="J908" s="110"/>
      <c r="K908" s="110"/>
      <c r="L908" s="110"/>
      <c r="M908" s="110"/>
      <c r="N908" s="110"/>
      <c r="O908" s="110"/>
      <c r="P908" s="110"/>
      <c r="Q908" s="110"/>
      <c r="R908" s="110"/>
      <c r="S908" s="110"/>
      <c r="T908" s="110"/>
      <c r="U908" s="49"/>
      <c r="V908" s="49"/>
      <c r="W908" s="49"/>
      <c r="X908" s="49"/>
      <c r="Y908" s="49"/>
      <c r="Z908" s="49"/>
      <c r="AA908" s="49"/>
      <c r="AB908" s="49"/>
      <c r="AC908" s="49"/>
      <c r="AD908" s="113"/>
      <c r="AE908" s="49"/>
      <c r="AF908" s="50"/>
      <c r="AG908" s="55"/>
      <c r="AH908" s="50"/>
      <c r="AI908" s="50"/>
      <c r="AJ908" s="50"/>
      <c r="AK908" s="50"/>
      <c r="AL908" s="50"/>
      <c r="AM908" s="50"/>
      <c r="AN908" s="50"/>
      <c r="AO908" s="9"/>
      <c r="AP908" s="9"/>
    </row>
    <row r="909" spans="1:42" x14ac:dyDescent="0.55000000000000004">
      <c r="A909" t="str">
        <f t="shared" si="14"/>
        <v/>
      </c>
      <c r="C909" s="103"/>
      <c r="D909" s="110"/>
      <c r="E909" s="112"/>
      <c r="F909" s="110"/>
      <c r="G909" s="112"/>
      <c r="H909" s="110"/>
      <c r="I909" s="110"/>
      <c r="J909" s="110"/>
      <c r="K909" s="110"/>
      <c r="L909" s="110"/>
      <c r="M909" s="110"/>
      <c r="N909" s="110"/>
      <c r="O909" s="110"/>
      <c r="P909" s="110"/>
      <c r="Q909" s="110"/>
      <c r="R909" s="110"/>
      <c r="S909" s="110"/>
      <c r="T909" s="110"/>
      <c r="U909" s="49"/>
      <c r="V909" s="49"/>
      <c r="W909" s="49"/>
      <c r="X909" s="49"/>
      <c r="Y909" s="49"/>
      <c r="Z909" s="49"/>
      <c r="AA909" s="49"/>
      <c r="AB909" s="49"/>
      <c r="AC909" s="49"/>
      <c r="AD909" s="113"/>
      <c r="AE909" s="49"/>
      <c r="AF909" s="50"/>
      <c r="AG909" s="55"/>
      <c r="AH909" s="50"/>
      <c r="AI909" s="50"/>
      <c r="AJ909" s="50"/>
      <c r="AK909" s="50"/>
      <c r="AL909" s="50"/>
      <c r="AM909" s="50"/>
      <c r="AN909" s="50"/>
      <c r="AO909" s="9"/>
      <c r="AP909" s="9"/>
    </row>
    <row r="910" spans="1:42" x14ac:dyDescent="0.55000000000000004">
      <c r="A910" t="str">
        <f t="shared" si="14"/>
        <v/>
      </c>
      <c r="C910" s="103"/>
      <c r="D910" s="110"/>
      <c r="E910" s="112"/>
      <c r="F910" s="110"/>
      <c r="G910" s="112"/>
      <c r="H910" s="110"/>
      <c r="I910" s="110"/>
      <c r="J910" s="110"/>
      <c r="K910" s="110"/>
      <c r="L910" s="110"/>
      <c r="M910" s="110"/>
      <c r="N910" s="110"/>
      <c r="O910" s="110"/>
      <c r="P910" s="110"/>
      <c r="Q910" s="110"/>
      <c r="R910" s="110"/>
      <c r="S910" s="110"/>
      <c r="T910" s="110"/>
      <c r="U910" s="49"/>
      <c r="V910" s="49"/>
      <c r="W910" s="49"/>
      <c r="X910" s="49"/>
      <c r="Y910" s="49"/>
      <c r="Z910" s="49"/>
      <c r="AA910" s="49"/>
      <c r="AB910" s="49"/>
      <c r="AC910" s="49"/>
      <c r="AD910" s="113"/>
      <c r="AE910" s="49"/>
      <c r="AF910" s="50"/>
      <c r="AG910" s="55"/>
      <c r="AH910" s="50"/>
      <c r="AI910" s="50"/>
      <c r="AJ910" s="50"/>
      <c r="AK910" s="50"/>
      <c r="AL910" s="50"/>
      <c r="AM910" s="50"/>
      <c r="AN910" s="50"/>
      <c r="AO910" s="9"/>
      <c r="AP910" s="9"/>
    </row>
    <row r="911" spans="1:42" x14ac:dyDescent="0.55000000000000004">
      <c r="A911" t="str">
        <f t="shared" si="14"/>
        <v/>
      </c>
      <c r="C911" s="103"/>
      <c r="D911" s="110"/>
      <c r="E911" s="112"/>
      <c r="F911" s="110"/>
      <c r="G911" s="112"/>
      <c r="H911" s="110"/>
      <c r="I911" s="110"/>
      <c r="J911" s="110"/>
      <c r="K911" s="110"/>
      <c r="L911" s="110"/>
      <c r="M911" s="110"/>
      <c r="N911" s="110"/>
      <c r="O911" s="110"/>
      <c r="P911" s="110"/>
      <c r="Q911" s="110"/>
      <c r="R911" s="110"/>
      <c r="S911" s="110"/>
      <c r="T911" s="110"/>
      <c r="U911" s="49"/>
      <c r="V911" s="49"/>
      <c r="W911" s="49"/>
      <c r="X911" s="49"/>
      <c r="Y911" s="49"/>
      <c r="Z911" s="49"/>
      <c r="AA911" s="49"/>
      <c r="AB911" s="49"/>
      <c r="AC911" s="49"/>
      <c r="AD911" s="113"/>
      <c r="AE911" s="49"/>
      <c r="AF911" s="50"/>
      <c r="AG911" s="55"/>
      <c r="AH911" s="50"/>
      <c r="AI911" s="50"/>
      <c r="AJ911" s="50"/>
      <c r="AK911" s="50"/>
      <c r="AL911" s="50"/>
      <c r="AM911" s="50"/>
      <c r="AN911" s="50"/>
      <c r="AO911" s="9"/>
      <c r="AP911" s="9"/>
    </row>
    <row r="912" spans="1:42" x14ac:dyDescent="0.55000000000000004">
      <c r="A912" t="str">
        <f t="shared" si="14"/>
        <v/>
      </c>
      <c r="C912" s="103"/>
      <c r="D912" s="110"/>
      <c r="E912" s="112"/>
      <c r="F912" s="110"/>
      <c r="G912" s="112"/>
      <c r="H912" s="110"/>
      <c r="I912" s="110"/>
      <c r="J912" s="110"/>
      <c r="K912" s="110"/>
      <c r="L912" s="110"/>
      <c r="M912" s="110"/>
      <c r="N912" s="110"/>
      <c r="O912" s="110"/>
      <c r="P912" s="110"/>
      <c r="Q912" s="110"/>
      <c r="R912" s="110"/>
      <c r="S912" s="110"/>
      <c r="T912" s="110"/>
      <c r="U912" s="49"/>
      <c r="V912" s="49"/>
      <c r="W912" s="49"/>
      <c r="X912" s="49"/>
      <c r="Y912" s="49"/>
      <c r="Z912" s="49"/>
      <c r="AA912" s="49"/>
      <c r="AB912" s="49"/>
      <c r="AC912" s="49"/>
      <c r="AD912" s="113"/>
      <c r="AE912" s="49"/>
      <c r="AF912" s="50"/>
      <c r="AG912" s="55"/>
      <c r="AH912" s="50"/>
      <c r="AI912" s="50"/>
      <c r="AJ912" s="50"/>
      <c r="AK912" s="50"/>
      <c r="AL912" s="50"/>
      <c r="AM912" s="50"/>
      <c r="AN912" s="50"/>
      <c r="AO912" s="9"/>
      <c r="AP912" s="9"/>
    </row>
    <row r="913" spans="1:42" x14ac:dyDescent="0.55000000000000004">
      <c r="A913" t="str">
        <f t="shared" si="14"/>
        <v/>
      </c>
      <c r="C913" s="103"/>
      <c r="D913" s="110"/>
      <c r="E913" s="112"/>
      <c r="F913" s="110"/>
      <c r="G913" s="112"/>
      <c r="H913" s="110"/>
      <c r="I913" s="110"/>
      <c r="J913" s="110"/>
      <c r="K913" s="110"/>
      <c r="L913" s="110"/>
      <c r="M913" s="110"/>
      <c r="N913" s="110"/>
      <c r="O913" s="110"/>
      <c r="P913" s="110"/>
      <c r="Q913" s="110"/>
      <c r="R913" s="110"/>
      <c r="S913" s="110"/>
      <c r="T913" s="110"/>
      <c r="U913" s="49"/>
      <c r="V913" s="49"/>
      <c r="W913" s="49"/>
      <c r="X913" s="49"/>
      <c r="Y913" s="49"/>
      <c r="Z913" s="49"/>
      <c r="AA913" s="49"/>
      <c r="AB913" s="49"/>
      <c r="AC913" s="49"/>
      <c r="AD913" s="113"/>
      <c r="AE913" s="49"/>
      <c r="AF913" s="50"/>
      <c r="AG913" s="55"/>
      <c r="AH913" s="50"/>
      <c r="AI913" s="50"/>
      <c r="AJ913" s="50"/>
      <c r="AK913" s="50"/>
      <c r="AL913" s="50"/>
      <c r="AM913" s="50"/>
      <c r="AN913" s="50"/>
      <c r="AO913" s="9"/>
      <c r="AP913" s="9"/>
    </row>
    <row r="914" spans="1:42" x14ac:dyDescent="0.55000000000000004">
      <c r="A914" t="str">
        <f t="shared" si="14"/>
        <v/>
      </c>
      <c r="C914" s="103"/>
      <c r="D914" s="110"/>
      <c r="E914" s="112"/>
      <c r="F914" s="110"/>
      <c r="G914" s="112"/>
      <c r="H914" s="110"/>
      <c r="I914" s="110"/>
      <c r="J914" s="110"/>
      <c r="K914" s="110"/>
      <c r="L914" s="110"/>
      <c r="M914" s="110"/>
      <c r="N914" s="110"/>
      <c r="O914" s="110"/>
      <c r="P914" s="110"/>
      <c r="Q914" s="110"/>
      <c r="R914" s="110"/>
      <c r="S914" s="110"/>
      <c r="T914" s="110"/>
      <c r="U914" s="49"/>
      <c r="V914" s="49"/>
      <c r="W914" s="49"/>
      <c r="X914" s="49"/>
      <c r="Y914" s="49"/>
      <c r="Z914" s="49"/>
      <c r="AA914" s="49"/>
      <c r="AB914" s="49"/>
      <c r="AC914" s="49"/>
      <c r="AD914" s="113"/>
      <c r="AE914" s="49"/>
      <c r="AF914" s="50"/>
      <c r="AG914" s="55"/>
      <c r="AH914" s="50"/>
      <c r="AI914" s="50"/>
      <c r="AJ914" s="50"/>
      <c r="AK914" s="50"/>
      <c r="AL914" s="50"/>
      <c r="AM914" s="50"/>
      <c r="AN914" s="50"/>
      <c r="AO914" s="9"/>
      <c r="AP914" s="9"/>
    </row>
    <row r="915" spans="1:42" x14ac:dyDescent="0.55000000000000004">
      <c r="A915" t="str">
        <f t="shared" si="14"/>
        <v/>
      </c>
      <c r="C915" s="103"/>
      <c r="D915" s="110"/>
      <c r="E915" s="112"/>
      <c r="F915" s="110"/>
      <c r="G915" s="112"/>
      <c r="H915" s="110"/>
      <c r="I915" s="110"/>
      <c r="J915" s="110"/>
      <c r="K915" s="110"/>
      <c r="L915" s="110"/>
      <c r="M915" s="110"/>
      <c r="N915" s="110"/>
      <c r="O915" s="110"/>
      <c r="P915" s="110"/>
      <c r="Q915" s="110"/>
      <c r="R915" s="110"/>
      <c r="S915" s="110"/>
      <c r="T915" s="110"/>
      <c r="U915" s="49"/>
      <c r="V915" s="49"/>
      <c r="W915" s="49"/>
      <c r="X915" s="49"/>
      <c r="Y915" s="49"/>
      <c r="Z915" s="49"/>
      <c r="AA915" s="49"/>
      <c r="AB915" s="49"/>
      <c r="AC915" s="49"/>
      <c r="AD915" s="113"/>
      <c r="AE915" s="49"/>
      <c r="AF915" s="50"/>
      <c r="AG915" s="55"/>
      <c r="AH915" s="50"/>
      <c r="AI915" s="50"/>
      <c r="AJ915" s="50"/>
      <c r="AK915" s="50"/>
      <c r="AL915" s="50"/>
      <c r="AM915" s="50"/>
      <c r="AN915" s="50"/>
      <c r="AO915" s="9"/>
      <c r="AP915" s="9"/>
    </row>
    <row r="916" spans="1:42" x14ac:dyDescent="0.55000000000000004">
      <c r="A916" t="str">
        <f t="shared" si="14"/>
        <v/>
      </c>
      <c r="C916" s="103"/>
      <c r="D916" s="110"/>
      <c r="E916" s="110"/>
      <c r="F916" s="110"/>
      <c r="G916" s="110"/>
      <c r="H916" s="110"/>
      <c r="I916" s="110"/>
      <c r="J916" s="110"/>
      <c r="K916" s="110"/>
      <c r="L916" s="110"/>
      <c r="M916" s="110"/>
      <c r="N916" s="110"/>
      <c r="O916" s="110"/>
      <c r="P916" s="110"/>
      <c r="Q916" s="110"/>
      <c r="R916" s="110"/>
      <c r="S916" s="110"/>
      <c r="T916" s="110"/>
      <c r="U916" s="49"/>
      <c r="V916" s="49"/>
      <c r="W916" s="49"/>
      <c r="X916" s="49"/>
      <c r="Y916" s="49"/>
      <c r="Z916" s="49"/>
      <c r="AA916" s="49"/>
      <c r="AB916" s="49"/>
      <c r="AC916" s="49"/>
      <c r="AD916" s="113"/>
      <c r="AE916" s="49"/>
      <c r="AF916" s="50"/>
      <c r="AG916" s="55"/>
      <c r="AH916" s="50"/>
      <c r="AI916" s="50"/>
      <c r="AJ916" s="50"/>
      <c r="AK916" s="50"/>
      <c r="AL916" s="50"/>
      <c r="AM916" s="50"/>
      <c r="AN916" s="50"/>
      <c r="AO916" s="9"/>
      <c r="AP916" s="9"/>
    </row>
    <row r="917" spans="1:42" x14ac:dyDescent="0.55000000000000004">
      <c r="A917" t="str">
        <f t="shared" si="14"/>
        <v/>
      </c>
      <c r="C917" s="103"/>
      <c r="D917" s="110"/>
      <c r="E917" s="112"/>
      <c r="F917" s="110"/>
      <c r="G917" s="112"/>
      <c r="H917" s="110"/>
      <c r="I917" s="110"/>
      <c r="J917" s="110"/>
      <c r="K917" s="110"/>
      <c r="L917" s="110"/>
      <c r="M917" s="110"/>
      <c r="N917" s="110"/>
      <c r="O917" s="110"/>
      <c r="P917" s="110"/>
      <c r="Q917" s="110"/>
      <c r="R917" s="110"/>
      <c r="S917" s="110"/>
      <c r="T917" s="110"/>
      <c r="U917" s="49"/>
      <c r="V917" s="49"/>
      <c r="W917" s="49"/>
      <c r="X917" s="49"/>
      <c r="Y917" s="49"/>
      <c r="Z917" s="49"/>
      <c r="AA917" s="49"/>
      <c r="AB917" s="49"/>
      <c r="AC917" s="49"/>
      <c r="AD917" s="113"/>
      <c r="AE917" s="49"/>
      <c r="AF917" s="50"/>
      <c r="AG917" s="55"/>
      <c r="AH917" s="50"/>
      <c r="AI917" s="50"/>
      <c r="AJ917" s="50"/>
      <c r="AK917" s="50"/>
      <c r="AL917" s="50"/>
      <c r="AM917" s="50"/>
      <c r="AN917" s="50"/>
      <c r="AO917" s="9"/>
      <c r="AP917" s="9"/>
    </row>
    <row r="918" spans="1:42" x14ac:dyDescent="0.55000000000000004">
      <c r="A918" t="str">
        <f t="shared" si="14"/>
        <v/>
      </c>
      <c r="C918" s="103"/>
      <c r="D918" s="110"/>
      <c r="E918" s="112"/>
      <c r="F918" s="110"/>
      <c r="G918" s="112"/>
      <c r="H918" s="110"/>
      <c r="I918" s="110"/>
      <c r="J918" s="110"/>
      <c r="K918" s="110"/>
      <c r="L918" s="110"/>
      <c r="M918" s="110"/>
      <c r="N918" s="110"/>
      <c r="O918" s="110"/>
      <c r="P918" s="110"/>
      <c r="Q918" s="110"/>
      <c r="R918" s="110"/>
      <c r="S918" s="110"/>
      <c r="T918" s="110"/>
      <c r="U918" s="49"/>
      <c r="V918" s="49"/>
      <c r="W918" s="49"/>
      <c r="X918" s="49"/>
      <c r="Y918" s="49"/>
      <c r="Z918" s="49"/>
      <c r="AA918" s="49"/>
      <c r="AB918" s="49"/>
      <c r="AC918" s="49"/>
      <c r="AD918" s="113"/>
      <c r="AE918" s="49"/>
      <c r="AF918" s="50"/>
      <c r="AG918" s="55"/>
      <c r="AH918" s="50"/>
      <c r="AI918" s="50"/>
      <c r="AJ918" s="50"/>
      <c r="AK918" s="50"/>
      <c r="AL918" s="50"/>
      <c r="AM918" s="50"/>
      <c r="AN918" s="50"/>
      <c r="AO918" s="9"/>
      <c r="AP918" s="9"/>
    </row>
    <row r="919" spans="1:42" x14ac:dyDescent="0.55000000000000004">
      <c r="A919" t="str">
        <f t="shared" si="14"/>
        <v/>
      </c>
      <c r="C919" s="103"/>
      <c r="D919" s="110"/>
      <c r="E919" s="110"/>
      <c r="F919" s="110"/>
      <c r="G919" s="110"/>
      <c r="H919" s="110"/>
      <c r="I919" s="110"/>
      <c r="J919" s="110"/>
      <c r="K919" s="110"/>
      <c r="L919" s="110"/>
      <c r="M919" s="110"/>
      <c r="N919" s="110"/>
      <c r="O919" s="110"/>
      <c r="P919" s="110"/>
      <c r="Q919" s="110"/>
      <c r="R919" s="110"/>
      <c r="S919" s="110"/>
      <c r="T919" s="110"/>
      <c r="U919" s="49"/>
      <c r="V919" s="49"/>
      <c r="W919" s="49"/>
      <c r="X919" s="49"/>
      <c r="Y919" s="49"/>
      <c r="Z919" s="49"/>
      <c r="AA919" s="49"/>
      <c r="AB919" s="49"/>
      <c r="AC919" s="49"/>
      <c r="AD919" s="113"/>
      <c r="AE919" s="49"/>
      <c r="AF919" s="50"/>
      <c r="AG919" s="55"/>
      <c r="AH919" s="50"/>
      <c r="AI919" s="50"/>
      <c r="AJ919" s="50"/>
      <c r="AK919" s="50"/>
      <c r="AL919" s="50"/>
      <c r="AM919" s="50"/>
      <c r="AN919" s="50"/>
      <c r="AO919" s="9"/>
      <c r="AP919" s="9"/>
    </row>
    <row r="920" spans="1:42" x14ac:dyDescent="0.55000000000000004">
      <c r="A920" t="str">
        <f t="shared" si="14"/>
        <v/>
      </c>
      <c r="C920" s="103"/>
      <c r="D920" s="110"/>
      <c r="E920" s="110"/>
      <c r="F920" s="110"/>
      <c r="G920" s="110"/>
      <c r="H920" s="110"/>
      <c r="I920" s="110"/>
      <c r="J920" s="110"/>
      <c r="K920" s="110"/>
      <c r="L920" s="110"/>
      <c r="M920" s="110"/>
      <c r="N920" s="110"/>
      <c r="O920" s="110"/>
      <c r="P920" s="110"/>
      <c r="Q920" s="110"/>
      <c r="R920" s="110"/>
      <c r="S920" s="110"/>
      <c r="T920" s="110"/>
      <c r="U920" s="49"/>
      <c r="V920" s="49"/>
      <c r="W920" s="49"/>
      <c r="X920" s="49"/>
      <c r="Y920" s="49"/>
      <c r="Z920" s="49"/>
      <c r="AA920" s="49"/>
      <c r="AB920" s="49"/>
      <c r="AC920" s="49"/>
      <c r="AD920" s="113"/>
      <c r="AE920" s="49"/>
      <c r="AF920" s="50"/>
      <c r="AG920" s="55"/>
      <c r="AH920" s="50"/>
      <c r="AI920" s="50"/>
      <c r="AJ920" s="50"/>
      <c r="AK920" s="50"/>
      <c r="AL920" s="50"/>
      <c r="AM920" s="50"/>
      <c r="AN920" s="50"/>
      <c r="AO920" s="9"/>
      <c r="AP920" s="9"/>
    </row>
    <row r="921" spans="1:42" x14ac:dyDescent="0.55000000000000004">
      <c r="A921" t="str">
        <f t="shared" si="14"/>
        <v/>
      </c>
      <c r="C921" s="105"/>
      <c r="D921" s="110"/>
      <c r="E921" s="112"/>
      <c r="F921" s="110"/>
      <c r="G921" s="112"/>
      <c r="H921" s="110"/>
      <c r="I921" s="110"/>
      <c r="J921" s="110"/>
      <c r="K921" s="110"/>
      <c r="L921" s="110"/>
      <c r="M921" s="110"/>
      <c r="N921" s="110"/>
      <c r="O921" s="110"/>
      <c r="P921" s="110"/>
      <c r="Q921" s="110"/>
      <c r="R921" s="110"/>
      <c r="S921" s="110"/>
      <c r="T921" s="110"/>
      <c r="U921" s="49"/>
      <c r="V921" s="49"/>
      <c r="W921" s="49"/>
      <c r="X921" s="49"/>
      <c r="Y921" s="49"/>
      <c r="Z921" s="49"/>
      <c r="AA921" s="49"/>
      <c r="AB921" s="49"/>
      <c r="AC921" s="49"/>
      <c r="AD921" s="113"/>
      <c r="AE921" s="49"/>
      <c r="AF921" s="50"/>
      <c r="AG921" s="55"/>
      <c r="AH921" s="50"/>
      <c r="AI921" s="50"/>
      <c r="AJ921" s="50"/>
      <c r="AK921" s="50"/>
      <c r="AL921" s="50"/>
      <c r="AM921" s="50"/>
      <c r="AN921" s="50"/>
      <c r="AO921" s="9"/>
      <c r="AP921" s="9"/>
    </row>
    <row r="922" spans="1:42" x14ac:dyDescent="0.55000000000000004">
      <c r="A922" t="str">
        <f t="shared" si="14"/>
        <v/>
      </c>
      <c r="C922" s="105"/>
      <c r="D922" s="110"/>
      <c r="E922" s="110"/>
      <c r="F922" s="110"/>
      <c r="G922" s="110"/>
      <c r="H922" s="110"/>
      <c r="I922" s="110"/>
      <c r="J922" s="110"/>
      <c r="K922" s="110"/>
      <c r="L922" s="110"/>
      <c r="M922" s="110"/>
      <c r="N922" s="110"/>
      <c r="O922" s="110"/>
      <c r="P922" s="110"/>
      <c r="Q922" s="110"/>
      <c r="R922" s="110"/>
      <c r="S922" s="110"/>
      <c r="T922" s="110"/>
      <c r="U922" s="49"/>
      <c r="V922" s="49"/>
      <c r="W922" s="49"/>
      <c r="X922" s="49"/>
      <c r="Y922" s="49"/>
      <c r="Z922" s="49"/>
      <c r="AA922" s="49"/>
      <c r="AB922" s="49"/>
      <c r="AC922" s="49"/>
      <c r="AD922" s="113"/>
      <c r="AE922" s="49"/>
      <c r="AF922" s="50"/>
      <c r="AG922" s="55"/>
      <c r="AH922" s="50"/>
      <c r="AI922" s="50"/>
      <c r="AJ922" s="50"/>
      <c r="AK922" s="50"/>
      <c r="AL922" s="50"/>
      <c r="AM922" s="50"/>
      <c r="AN922" s="50"/>
      <c r="AO922" s="9"/>
      <c r="AP922" s="9"/>
    </row>
    <row r="923" spans="1:42" x14ac:dyDescent="0.55000000000000004">
      <c r="A923" t="str">
        <f t="shared" si="14"/>
        <v/>
      </c>
      <c r="C923" s="105"/>
      <c r="D923" s="110"/>
      <c r="E923" s="110"/>
      <c r="F923" s="110"/>
      <c r="G923" s="110"/>
      <c r="H923" s="110"/>
      <c r="I923" s="110"/>
      <c r="J923" s="110"/>
      <c r="K923" s="110"/>
      <c r="L923" s="110"/>
      <c r="M923" s="110"/>
      <c r="N923" s="110"/>
      <c r="O923" s="110"/>
      <c r="P923" s="110"/>
      <c r="Q923" s="110"/>
      <c r="R923" s="110"/>
      <c r="S923" s="110"/>
      <c r="T923" s="110"/>
      <c r="U923" s="49"/>
      <c r="V923" s="49"/>
      <c r="W923" s="49"/>
      <c r="X923" s="49"/>
      <c r="Y923" s="49"/>
      <c r="Z923" s="49"/>
      <c r="AA923" s="49"/>
      <c r="AB923" s="49"/>
      <c r="AC923" s="49"/>
      <c r="AD923" s="113"/>
      <c r="AE923" s="49"/>
      <c r="AF923" s="50"/>
      <c r="AG923" s="55"/>
      <c r="AH923" s="50"/>
      <c r="AI923" s="50"/>
      <c r="AJ923" s="50"/>
      <c r="AK923" s="50"/>
      <c r="AL923" s="50"/>
      <c r="AM923" s="50"/>
      <c r="AN923" s="50"/>
      <c r="AO923" s="9"/>
      <c r="AP923" s="9"/>
    </row>
    <row r="924" spans="1:42" x14ac:dyDescent="0.55000000000000004">
      <c r="A924" t="str">
        <f t="shared" si="14"/>
        <v/>
      </c>
      <c r="C924" s="105"/>
      <c r="D924" s="110"/>
      <c r="E924" s="110"/>
      <c r="F924" s="110"/>
      <c r="G924" s="110"/>
      <c r="H924" s="110"/>
      <c r="I924" s="110"/>
      <c r="J924" s="110"/>
      <c r="K924" s="110"/>
      <c r="L924" s="110"/>
      <c r="M924" s="110"/>
      <c r="N924" s="110"/>
      <c r="O924" s="110"/>
      <c r="P924" s="110"/>
      <c r="Q924" s="110"/>
      <c r="R924" s="110"/>
      <c r="S924" s="110"/>
      <c r="T924" s="110"/>
      <c r="U924" s="49"/>
      <c r="V924" s="49"/>
      <c r="W924" s="49"/>
      <c r="X924" s="49"/>
      <c r="Y924" s="49"/>
      <c r="Z924" s="49"/>
      <c r="AA924" s="49"/>
      <c r="AB924" s="49"/>
      <c r="AC924" s="49"/>
      <c r="AD924" s="113"/>
      <c r="AE924" s="49"/>
      <c r="AF924" s="50"/>
      <c r="AG924" s="55"/>
      <c r="AH924" s="50"/>
      <c r="AI924" s="50"/>
      <c r="AJ924" s="50"/>
      <c r="AK924" s="50"/>
      <c r="AL924" s="50"/>
      <c r="AM924" s="50"/>
      <c r="AN924" s="50"/>
      <c r="AO924" s="9"/>
      <c r="AP924" s="9"/>
    </row>
    <row r="925" spans="1:42" x14ac:dyDescent="0.55000000000000004">
      <c r="A925" t="str">
        <f t="shared" si="14"/>
        <v/>
      </c>
      <c r="C925" s="105"/>
      <c r="D925" s="110"/>
      <c r="E925" s="110"/>
      <c r="F925" s="110"/>
      <c r="G925" s="110"/>
      <c r="H925" s="110"/>
      <c r="I925" s="110"/>
      <c r="J925" s="110"/>
      <c r="K925" s="110"/>
      <c r="L925" s="110"/>
      <c r="M925" s="110"/>
      <c r="N925" s="110"/>
      <c r="O925" s="110"/>
      <c r="P925" s="110"/>
      <c r="Q925" s="110"/>
      <c r="R925" s="110"/>
      <c r="S925" s="110"/>
      <c r="T925" s="110"/>
      <c r="U925" s="49"/>
      <c r="V925" s="49"/>
      <c r="W925" s="49"/>
      <c r="X925" s="49"/>
      <c r="Y925" s="49"/>
      <c r="Z925" s="49"/>
      <c r="AA925" s="49"/>
      <c r="AB925" s="49"/>
      <c r="AC925" s="49"/>
      <c r="AD925" s="113"/>
      <c r="AE925" s="49"/>
      <c r="AF925" s="50"/>
      <c r="AG925" s="55"/>
      <c r="AH925" s="50"/>
      <c r="AI925" s="50"/>
      <c r="AJ925" s="50"/>
      <c r="AK925" s="50"/>
      <c r="AL925" s="50"/>
      <c r="AM925" s="50"/>
      <c r="AN925" s="50"/>
      <c r="AO925" s="9"/>
      <c r="AP925" s="9"/>
    </row>
    <row r="926" spans="1:42" x14ac:dyDescent="0.55000000000000004">
      <c r="A926" t="str">
        <f t="shared" si="14"/>
        <v/>
      </c>
      <c r="C926" s="105"/>
      <c r="D926" s="110"/>
      <c r="E926" s="110"/>
      <c r="F926" s="110"/>
      <c r="G926" s="110"/>
      <c r="H926" s="110"/>
      <c r="I926" s="110"/>
      <c r="J926" s="110"/>
      <c r="K926" s="110"/>
      <c r="L926" s="110"/>
      <c r="M926" s="110"/>
      <c r="N926" s="110"/>
      <c r="O926" s="110"/>
      <c r="P926" s="110"/>
      <c r="Q926" s="110"/>
      <c r="R926" s="110"/>
      <c r="S926" s="110"/>
      <c r="T926" s="110"/>
      <c r="U926" s="49"/>
      <c r="V926" s="49"/>
      <c r="W926" s="49"/>
      <c r="X926" s="49"/>
      <c r="Y926" s="49"/>
      <c r="Z926" s="49"/>
      <c r="AA926" s="49"/>
      <c r="AB926" s="49"/>
      <c r="AC926" s="49"/>
      <c r="AD926" s="113"/>
      <c r="AE926" s="49"/>
      <c r="AF926" s="50"/>
      <c r="AG926" s="55"/>
      <c r="AH926" s="50"/>
      <c r="AI926" s="50"/>
      <c r="AJ926" s="50"/>
      <c r="AK926" s="50"/>
      <c r="AL926" s="50"/>
      <c r="AM926" s="50"/>
      <c r="AN926" s="50"/>
      <c r="AO926" s="9"/>
      <c r="AP926" s="9"/>
    </row>
    <row r="927" spans="1:42" x14ac:dyDescent="0.55000000000000004">
      <c r="A927" t="str">
        <f t="shared" si="14"/>
        <v/>
      </c>
      <c r="C927" s="105"/>
      <c r="D927" s="110"/>
      <c r="E927" s="110"/>
      <c r="F927" s="110"/>
      <c r="G927" s="110"/>
      <c r="H927" s="110"/>
      <c r="I927" s="110"/>
      <c r="J927" s="110"/>
      <c r="K927" s="110"/>
      <c r="L927" s="110"/>
      <c r="M927" s="110"/>
      <c r="N927" s="110"/>
      <c r="O927" s="110"/>
      <c r="P927" s="110"/>
      <c r="Q927" s="110"/>
      <c r="R927" s="110"/>
      <c r="S927" s="110"/>
      <c r="T927" s="110"/>
      <c r="U927" s="49"/>
      <c r="V927" s="49"/>
      <c r="W927" s="49"/>
      <c r="X927" s="49"/>
      <c r="Y927" s="49"/>
      <c r="Z927" s="49"/>
      <c r="AA927" s="49"/>
      <c r="AB927" s="49"/>
      <c r="AC927" s="49"/>
      <c r="AD927" s="113"/>
      <c r="AE927" s="49"/>
      <c r="AF927" s="50"/>
      <c r="AG927" s="55"/>
      <c r="AH927" s="50"/>
      <c r="AI927" s="50"/>
      <c r="AJ927" s="50"/>
      <c r="AK927" s="50"/>
      <c r="AL927" s="50"/>
      <c r="AM927" s="50"/>
      <c r="AN927" s="50"/>
      <c r="AO927" s="9"/>
      <c r="AP927" s="9"/>
    </row>
    <row r="928" spans="1:42" x14ac:dyDescent="0.55000000000000004">
      <c r="A928" t="str">
        <f t="shared" si="14"/>
        <v/>
      </c>
      <c r="C928" s="105"/>
      <c r="D928" s="110"/>
      <c r="E928" s="110"/>
      <c r="F928" s="110"/>
      <c r="G928" s="110"/>
      <c r="H928" s="110"/>
      <c r="I928" s="110"/>
      <c r="J928" s="110"/>
      <c r="K928" s="110"/>
      <c r="L928" s="110"/>
      <c r="M928" s="110"/>
      <c r="N928" s="110"/>
      <c r="O928" s="110"/>
      <c r="P928" s="110"/>
      <c r="Q928" s="110"/>
      <c r="R928" s="110"/>
      <c r="S928" s="110"/>
      <c r="T928" s="110"/>
      <c r="U928" s="49"/>
      <c r="V928" s="49"/>
      <c r="W928" s="49"/>
      <c r="X928" s="49"/>
      <c r="Y928" s="49"/>
      <c r="Z928" s="49"/>
      <c r="AA928" s="49"/>
      <c r="AB928" s="49"/>
      <c r="AC928" s="49"/>
      <c r="AD928" s="113"/>
      <c r="AE928" s="49"/>
      <c r="AF928" s="50"/>
      <c r="AG928" s="55"/>
      <c r="AH928" s="50"/>
      <c r="AI928" s="50"/>
      <c r="AJ928" s="50"/>
      <c r="AK928" s="50"/>
      <c r="AL928" s="50"/>
      <c r="AM928" s="50"/>
      <c r="AN928" s="50"/>
      <c r="AO928" s="9"/>
      <c r="AP928" s="9"/>
    </row>
    <row r="929" spans="1:42" x14ac:dyDescent="0.55000000000000004">
      <c r="A929" t="str">
        <f t="shared" si="14"/>
        <v/>
      </c>
      <c r="C929" s="105"/>
      <c r="D929" s="110"/>
      <c r="E929" s="110"/>
      <c r="F929" s="110"/>
      <c r="G929" s="110"/>
      <c r="H929" s="110"/>
      <c r="I929" s="110"/>
      <c r="J929" s="110"/>
      <c r="K929" s="110"/>
      <c r="L929" s="110"/>
      <c r="M929" s="110"/>
      <c r="N929" s="110"/>
      <c r="O929" s="110"/>
      <c r="P929" s="110"/>
      <c r="Q929" s="110"/>
      <c r="R929" s="110"/>
      <c r="S929" s="110"/>
      <c r="T929" s="110"/>
      <c r="U929" s="49"/>
      <c r="V929" s="49"/>
      <c r="W929" s="49"/>
      <c r="X929" s="49"/>
      <c r="Y929" s="49"/>
      <c r="Z929" s="49"/>
      <c r="AA929" s="49"/>
      <c r="AB929" s="49"/>
      <c r="AC929" s="49"/>
      <c r="AD929" s="113"/>
      <c r="AE929" s="49"/>
      <c r="AF929" s="50"/>
      <c r="AG929" s="55"/>
      <c r="AH929" s="50"/>
      <c r="AI929" s="50"/>
      <c r="AJ929" s="50"/>
      <c r="AK929" s="50"/>
      <c r="AL929" s="50"/>
      <c r="AM929" s="50"/>
      <c r="AN929" s="50"/>
      <c r="AO929" s="9"/>
      <c r="AP929" s="9"/>
    </row>
    <row r="930" spans="1:42" x14ac:dyDescent="0.55000000000000004">
      <c r="A930" t="str">
        <f t="shared" si="14"/>
        <v/>
      </c>
      <c r="C930" s="105"/>
      <c r="D930" s="110"/>
      <c r="E930" s="110"/>
      <c r="F930" s="110"/>
      <c r="G930" s="110"/>
      <c r="H930" s="110"/>
      <c r="I930" s="110"/>
      <c r="J930" s="110"/>
      <c r="K930" s="110"/>
      <c r="L930" s="110"/>
      <c r="M930" s="110"/>
      <c r="N930" s="110"/>
      <c r="O930" s="110"/>
      <c r="P930" s="110"/>
      <c r="Q930" s="110"/>
      <c r="R930" s="110"/>
      <c r="S930" s="110"/>
      <c r="T930" s="110"/>
      <c r="U930" s="49"/>
      <c r="V930" s="49"/>
      <c r="W930" s="49"/>
      <c r="X930" s="49"/>
      <c r="Y930" s="49"/>
      <c r="Z930" s="49"/>
      <c r="AA930" s="49"/>
      <c r="AB930" s="49"/>
      <c r="AC930" s="49"/>
      <c r="AD930" s="113"/>
      <c r="AE930" s="49"/>
      <c r="AF930" s="50"/>
      <c r="AG930" s="55"/>
      <c r="AH930" s="50"/>
      <c r="AI930" s="50"/>
      <c r="AJ930" s="50"/>
      <c r="AK930" s="50"/>
      <c r="AL930" s="50"/>
      <c r="AM930" s="50"/>
      <c r="AN930" s="50"/>
      <c r="AO930" s="9"/>
      <c r="AP930" s="9"/>
    </row>
    <row r="931" spans="1:42" x14ac:dyDescent="0.55000000000000004">
      <c r="A931" t="str">
        <f t="shared" si="14"/>
        <v/>
      </c>
      <c r="C931" s="105"/>
      <c r="D931" s="110"/>
      <c r="E931" s="110"/>
      <c r="F931" s="110"/>
      <c r="G931" s="110"/>
      <c r="H931" s="110"/>
      <c r="I931" s="110"/>
      <c r="J931" s="110"/>
      <c r="K931" s="110"/>
      <c r="L931" s="110"/>
      <c r="M931" s="110"/>
      <c r="N931" s="110"/>
      <c r="O931" s="110"/>
      <c r="P931" s="110"/>
      <c r="Q931" s="110"/>
      <c r="R931" s="110"/>
      <c r="S931" s="110"/>
      <c r="T931" s="110"/>
      <c r="U931" s="49"/>
      <c r="V931" s="49"/>
      <c r="W931" s="49"/>
      <c r="X931" s="49"/>
      <c r="Y931" s="49"/>
      <c r="Z931" s="49"/>
      <c r="AA931" s="49"/>
      <c r="AB931" s="49"/>
      <c r="AC931" s="49"/>
      <c r="AD931" s="113"/>
      <c r="AE931" s="49"/>
      <c r="AF931" s="50"/>
      <c r="AG931" s="55"/>
      <c r="AH931" s="50"/>
      <c r="AI931" s="50"/>
      <c r="AJ931" s="50"/>
      <c r="AK931" s="50"/>
      <c r="AL931" s="50"/>
      <c r="AM931" s="50"/>
      <c r="AN931" s="50"/>
      <c r="AO931" s="9"/>
      <c r="AP931" s="9"/>
    </row>
    <row r="932" spans="1:42" x14ac:dyDescent="0.55000000000000004">
      <c r="A932" t="str">
        <f t="shared" si="14"/>
        <v/>
      </c>
      <c r="C932" s="105"/>
      <c r="D932" s="110"/>
      <c r="E932" s="110"/>
      <c r="F932" s="110"/>
      <c r="G932" s="110"/>
      <c r="H932" s="110"/>
      <c r="I932" s="110"/>
      <c r="J932" s="110"/>
      <c r="K932" s="110"/>
      <c r="L932" s="110"/>
      <c r="M932" s="110"/>
      <c r="N932" s="110"/>
      <c r="O932" s="110"/>
      <c r="P932" s="110"/>
      <c r="Q932" s="110"/>
      <c r="R932" s="110"/>
      <c r="S932" s="110"/>
      <c r="T932" s="110"/>
      <c r="U932" s="49"/>
      <c r="V932" s="49"/>
      <c r="W932" s="49"/>
      <c r="X932" s="49"/>
      <c r="Y932" s="49"/>
      <c r="Z932" s="49"/>
      <c r="AA932" s="49"/>
      <c r="AB932" s="49"/>
      <c r="AC932" s="49"/>
      <c r="AD932" s="113"/>
      <c r="AE932" s="49"/>
      <c r="AF932" s="50"/>
      <c r="AG932" s="55"/>
      <c r="AH932" s="50"/>
      <c r="AI932" s="50"/>
      <c r="AJ932" s="50"/>
      <c r="AK932" s="50"/>
      <c r="AL932" s="50"/>
      <c r="AM932" s="50"/>
      <c r="AN932" s="50"/>
      <c r="AO932" s="9"/>
      <c r="AP932" s="9"/>
    </row>
    <row r="933" spans="1:42" x14ac:dyDescent="0.55000000000000004">
      <c r="A933" t="str">
        <f t="shared" si="14"/>
        <v/>
      </c>
      <c r="C933" s="105"/>
      <c r="D933" s="110"/>
      <c r="E933" s="110"/>
      <c r="F933" s="110"/>
      <c r="G933" s="110"/>
      <c r="H933" s="110"/>
      <c r="I933" s="110"/>
      <c r="J933" s="110"/>
      <c r="K933" s="110"/>
      <c r="L933" s="110"/>
      <c r="M933" s="110"/>
      <c r="N933" s="110"/>
      <c r="O933" s="110"/>
      <c r="P933" s="110"/>
      <c r="Q933" s="110"/>
      <c r="R933" s="110"/>
      <c r="S933" s="110"/>
      <c r="T933" s="110"/>
      <c r="U933" s="49"/>
      <c r="V933" s="49"/>
      <c r="W933" s="49"/>
      <c r="X933" s="49"/>
      <c r="Y933" s="49"/>
      <c r="Z933" s="49"/>
      <c r="AA933" s="49"/>
      <c r="AB933" s="49"/>
      <c r="AC933" s="49"/>
      <c r="AD933" s="113"/>
      <c r="AE933" s="49"/>
      <c r="AF933" s="50"/>
      <c r="AG933" s="55"/>
      <c r="AH933" s="50"/>
      <c r="AI933" s="50"/>
      <c r="AJ933" s="50"/>
      <c r="AK933" s="50"/>
      <c r="AL933" s="50"/>
      <c r="AM933" s="50"/>
      <c r="AN933" s="50"/>
      <c r="AO933" s="9"/>
      <c r="AP933" s="9"/>
    </row>
    <row r="934" spans="1:42" x14ac:dyDescent="0.55000000000000004">
      <c r="A934" t="str">
        <f t="shared" si="14"/>
        <v/>
      </c>
      <c r="C934" s="105"/>
      <c r="D934" s="110"/>
      <c r="E934" s="110"/>
      <c r="F934" s="110"/>
      <c r="G934" s="110"/>
      <c r="H934" s="110"/>
      <c r="I934" s="110"/>
      <c r="J934" s="110"/>
      <c r="K934" s="110"/>
      <c r="L934" s="110"/>
      <c r="M934" s="110"/>
      <c r="N934" s="110"/>
      <c r="O934" s="110"/>
      <c r="P934" s="110"/>
      <c r="Q934" s="110"/>
      <c r="R934" s="110"/>
      <c r="S934" s="110"/>
      <c r="T934" s="110"/>
      <c r="U934" s="49"/>
      <c r="V934" s="49"/>
      <c r="W934" s="49"/>
      <c r="X934" s="49"/>
      <c r="Y934" s="49"/>
      <c r="Z934" s="49"/>
      <c r="AA934" s="49"/>
      <c r="AB934" s="49"/>
      <c r="AC934" s="49"/>
      <c r="AD934" s="113"/>
      <c r="AE934" s="49"/>
      <c r="AF934" s="50"/>
      <c r="AG934" s="55"/>
      <c r="AH934" s="50"/>
      <c r="AI934" s="50"/>
      <c r="AJ934" s="50"/>
      <c r="AK934" s="50"/>
      <c r="AL934" s="50"/>
      <c r="AM934" s="50"/>
      <c r="AN934" s="50"/>
      <c r="AO934" s="9"/>
      <c r="AP934" s="9"/>
    </row>
    <row r="935" spans="1:42" x14ac:dyDescent="0.55000000000000004">
      <c r="A935" t="str">
        <f t="shared" si="14"/>
        <v/>
      </c>
      <c r="C935" s="105"/>
      <c r="D935" s="110"/>
      <c r="E935" s="110"/>
      <c r="F935" s="110"/>
      <c r="G935" s="110"/>
      <c r="H935" s="110"/>
      <c r="I935" s="110"/>
      <c r="J935" s="110"/>
      <c r="K935" s="110"/>
      <c r="L935" s="110"/>
      <c r="M935" s="110"/>
      <c r="N935" s="110"/>
      <c r="O935" s="110"/>
      <c r="P935" s="110"/>
      <c r="Q935" s="110"/>
      <c r="R935" s="110"/>
      <c r="S935" s="110"/>
      <c r="T935" s="110"/>
      <c r="U935" s="49"/>
      <c r="V935" s="49"/>
      <c r="W935" s="49"/>
      <c r="X935" s="49"/>
      <c r="Y935" s="49"/>
      <c r="Z935" s="49"/>
      <c r="AA935" s="49"/>
      <c r="AB935" s="49"/>
      <c r="AC935" s="49"/>
      <c r="AD935" s="113"/>
      <c r="AE935" s="49"/>
      <c r="AF935" s="50"/>
      <c r="AG935" s="55"/>
      <c r="AH935" s="50"/>
      <c r="AI935" s="50"/>
      <c r="AJ935" s="50"/>
      <c r="AK935" s="50"/>
      <c r="AL935" s="50"/>
      <c r="AM935" s="50"/>
      <c r="AN935" s="50"/>
      <c r="AO935" s="9"/>
      <c r="AP935" s="9"/>
    </row>
    <row r="936" spans="1:42" x14ac:dyDescent="0.55000000000000004">
      <c r="A936" t="str">
        <f t="shared" si="14"/>
        <v/>
      </c>
      <c r="C936" s="105"/>
      <c r="D936" s="110"/>
      <c r="E936" s="110"/>
      <c r="F936" s="110"/>
      <c r="G936" s="110"/>
      <c r="H936" s="110"/>
      <c r="I936" s="110"/>
      <c r="J936" s="110"/>
      <c r="K936" s="110"/>
      <c r="L936" s="110"/>
      <c r="M936" s="110"/>
      <c r="N936" s="110"/>
      <c r="O936" s="110"/>
      <c r="P936" s="110"/>
      <c r="Q936" s="110"/>
      <c r="R936" s="110"/>
      <c r="S936" s="110"/>
      <c r="T936" s="110"/>
      <c r="U936" s="49"/>
      <c r="V936" s="49"/>
      <c r="W936" s="49"/>
      <c r="X936" s="49"/>
      <c r="Y936" s="49"/>
      <c r="Z936" s="49"/>
      <c r="AA936" s="49"/>
      <c r="AB936" s="49"/>
      <c r="AC936" s="49"/>
      <c r="AD936" s="113"/>
      <c r="AE936" s="49"/>
      <c r="AF936" s="50"/>
      <c r="AG936" s="55"/>
      <c r="AH936" s="50"/>
      <c r="AI936" s="50"/>
      <c r="AJ936" s="50"/>
      <c r="AK936" s="50"/>
      <c r="AL936" s="50"/>
      <c r="AM936" s="50"/>
      <c r="AN936" s="50"/>
      <c r="AO936" s="9"/>
      <c r="AP936" s="9"/>
    </row>
    <row r="937" spans="1:42" x14ac:dyDescent="0.55000000000000004">
      <c r="A937" t="str">
        <f t="shared" si="14"/>
        <v/>
      </c>
      <c r="C937" s="105"/>
      <c r="D937" s="110"/>
      <c r="E937" s="110"/>
      <c r="F937" s="110"/>
      <c r="G937" s="110"/>
      <c r="H937" s="110"/>
      <c r="I937" s="110"/>
      <c r="J937" s="110"/>
      <c r="K937" s="110"/>
      <c r="L937" s="110"/>
      <c r="M937" s="110"/>
      <c r="N937" s="110"/>
      <c r="O937" s="110"/>
      <c r="P937" s="110"/>
      <c r="Q937" s="110"/>
      <c r="R937" s="110"/>
      <c r="S937" s="110"/>
      <c r="T937" s="110"/>
      <c r="U937" s="49"/>
      <c r="V937" s="49"/>
      <c r="W937" s="49"/>
      <c r="X937" s="49"/>
      <c r="Y937" s="49"/>
      <c r="Z937" s="49"/>
      <c r="AA937" s="49"/>
      <c r="AB937" s="49"/>
      <c r="AC937" s="49"/>
      <c r="AD937" s="113"/>
      <c r="AE937" s="49"/>
      <c r="AF937" s="50"/>
      <c r="AG937" s="55"/>
      <c r="AH937" s="50"/>
      <c r="AI937" s="50"/>
      <c r="AJ937" s="50"/>
      <c r="AK937" s="50"/>
      <c r="AL937" s="50"/>
      <c r="AM937" s="50"/>
      <c r="AN937" s="50"/>
      <c r="AO937" s="9"/>
      <c r="AP937" s="9"/>
    </row>
    <row r="938" spans="1:42" x14ac:dyDescent="0.55000000000000004">
      <c r="A938" t="str">
        <f t="shared" si="14"/>
        <v/>
      </c>
      <c r="C938" s="105"/>
      <c r="D938" s="110"/>
      <c r="E938" s="110"/>
      <c r="F938" s="110"/>
      <c r="G938" s="110"/>
      <c r="H938" s="110"/>
      <c r="I938" s="110"/>
      <c r="J938" s="110"/>
      <c r="K938" s="110"/>
      <c r="L938" s="110"/>
      <c r="M938" s="110"/>
      <c r="N938" s="110"/>
      <c r="O938" s="110"/>
      <c r="P938" s="110"/>
      <c r="Q938" s="110"/>
      <c r="R938" s="110"/>
      <c r="S938" s="110"/>
      <c r="T938" s="110"/>
      <c r="U938" s="49"/>
      <c r="V938" s="49"/>
      <c r="W938" s="49"/>
      <c r="X938" s="49"/>
      <c r="Y938" s="49"/>
      <c r="Z938" s="49"/>
      <c r="AA938" s="49"/>
      <c r="AB938" s="49"/>
      <c r="AC938" s="49"/>
      <c r="AD938" s="113"/>
      <c r="AE938" s="49"/>
      <c r="AF938" s="50"/>
      <c r="AG938" s="55"/>
      <c r="AH938" s="50"/>
      <c r="AI938" s="50"/>
      <c r="AJ938" s="50"/>
      <c r="AK938" s="50"/>
      <c r="AL938" s="50"/>
      <c r="AM938" s="50"/>
      <c r="AN938" s="50"/>
      <c r="AO938" s="9"/>
      <c r="AP938" s="9"/>
    </row>
    <row r="939" spans="1:42" x14ac:dyDescent="0.55000000000000004">
      <c r="A939" t="str">
        <f t="shared" si="14"/>
        <v/>
      </c>
      <c r="C939" s="105"/>
      <c r="D939" s="110"/>
      <c r="E939" s="110"/>
      <c r="F939" s="110"/>
      <c r="G939" s="110"/>
      <c r="H939" s="110"/>
      <c r="I939" s="110"/>
      <c r="J939" s="110"/>
      <c r="K939" s="110"/>
      <c r="L939" s="110"/>
      <c r="M939" s="110"/>
      <c r="N939" s="110"/>
      <c r="O939" s="110"/>
      <c r="P939" s="110"/>
      <c r="Q939" s="110"/>
      <c r="R939" s="110"/>
      <c r="S939" s="110"/>
      <c r="T939" s="110"/>
      <c r="U939" s="49"/>
      <c r="V939" s="49"/>
      <c r="W939" s="49"/>
      <c r="X939" s="49"/>
      <c r="Y939" s="49"/>
      <c r="Z939" s="49"/>
      <c r="AA939" s="49"/>
      <c r="AB939" s="49"/>
      <c r="AC939" s="49"/>
      <c r="AD939" s="113"/>
      <c r="AE939" s="49"/>
      <c r="AF939" s="50"/>
      <c r="AG939" s="55"/>
      <c r="AH939" s="50"/>
      <c r="AI939" s="50"/>
      <c r="AJ939" s="50"/>
      <c r="AK939" s="50"/>
      <c r="AL939" s="50"/>
      <c r="AM939" s="50"/>
      <c r="AN939" s="50"/>
      <c r="AO939" s="9"/>
      <c r="AP939" s="9"/>
    </row>
    <row r="940" spans="1:42" x14ac:dyDescent="0.55000000000000004">
      <c r="A940" t="str">
        <f t="shared" si="14"/>
        <v/>
      </c>
      <c r="C940" s="105"/>
      <c r="D940" s="110"/>
      <c r="E940" s="110"/>
      <c r="F940" s="110"/>
      <c r="G940" s="110"/>
      <c r="H940" s="110"/>
      <c r="I940" s="110"/>
      <c r="J940" s="110"/>
      <c r="K940" s="110"/>
      <c r="L940" s="110"/>
      <c r="M940" s="110"/>
      <c r="N940" s="110"/>
      <c r="O940" s="110"/>
      <c r="P940" s="110"/>
      <c r="Q940" s="110"/>
      <c r="R940" s="110"/>
      <c r="S940" s="110"/>
      <c r="T940" s="110"/>
      <c r="U940" s="49"/>
      <c r="V940" s="49"/>
      <c r="W940" s="49"/>
      <c r="X940" s="49"/>
      <c r="Y940" s="49"/>
      <c r="Z940" s="49"/>
      <c r="AA940" s="49"/>
      <c r="AB940" s="49"/>
      <c r="AC940" s="49"/>
      <c r="AD940" s="113"/>
      <c r="AE940" s="49"/>
      <c r="AF940" s="50"/>
      <c r="AG940" s="55"/>
      <c r="AH940" s="50"/>
      <c r="AI940" s="50"/>
      <c r="AJ940" s="50"/>
      <c r="AK940" s="50"/>
      <c r="AL940" s="50"/>
      <c r="AM940" s="50"/>
      <c r="AN940" s="50"/>
      <c r="AO940" s="9"/>
      <c r="AP940" s="9"/>
    </row>
    <row r="941" spans="1:42" x14ac:dyDescent="0.55000000000000004">
      <c r="A941" t="str">
        <f t="shared" si="14"/>
        <v/>
      </c>
      <c r="C941" s="105"/>
      <c r="D941" s="110"/>
      <c r="E941" s="110"/>
      <c r="F941" s="110"/>
      <c r="G941" s="110"/>
      <c r="H941" s="110"/>
      <c r="I941" s="110"/>
      <c r="J941" s="110"/>
      <c r="K941" s="110"/>
      <c r="L941" s="110"/>
      <c r="M941" s="110"/>
      <c r="N941" s="110"/>
      <c r="O941" s="110"/>
      <c r="P941" s="110"/>
      <c r="Q941" s="110"/>
      <c r="R941" s="110"/>
      <c r="S941" s="110"/>
      <c r="T941" s="110"/>
      <c r="U941" s="49"/>
      <c r="V941" s="49"/>
      <c r="W941" s="49"/>
      <c r="X941" s="49"/>
      <c r="Y941" s="49"/>
      <c r="Z941" s="49"/>
      <c r="AA941" s="49"/>
      <c r="AB941" s="49"/>
      <c r="AC941" s="49"/>
      <c r="AD941" s="113"/>
      <c r="AE941" s="49"/>
      <c r="AF941" s="50"/>
      <c r="AG941" s="55"/>
      <c r="AH941" s="50"/>
      <c r="AI941" s="50"/>
      <c r="AJ941" s="50"/>
      <c r="AK941" s="50"/>
      <c r="AL941" s="50"/>
      <c r="AM941" s="50"/>
      <c r="AN941" s="50"/>
      <c r="AO941" s="9"/>
      <c r="AP941" s="9"/>
    </row>
    <row r="942" spans="1:42" x14ac:dyDescent="0.55000000000000004">
      <c r="A942" t="str">
        <f t="shared" si="14"/>
        <v/>
      </c>
      <c r="C942" s="105"/>
      <c r="D942" s="110"/>
      <c r="E942" s="110"/>
      <c r="F942" s="110"/>
      <c r="G942" s="110"/>
      <c r="H942" s="110"/>
      <c r="I942" s="110"/>
      <c r="J942" s="110"/>
      <c r="K942" s="110"/>
      <c r="L942" s="110"/>
      <c r="M942" s="110"/>
      <c r="N942" s="110"/>
      <c r="O942" s="110"/>
      <c r="P942" s="110"/>
      <c r="Q942" s="110"/>
      <c r="R942" s="110"/>
      <c r="S942" s="110"/>
      <c r="T942" s="110"/>
      <c r="U942" s="49"/>
      <c r="V942" s="49"/>
      <c r="W942" s="49"/>
      <c r="X942" s="49"/>
      <c r="Y942" s="49"/>
      <c r="Z942" s="49"/>
      <c r="AA942" s="49"/>
      <c r="AB942" s="49"/>
      <c r="AC942" s="49"/>
      <c r="AD942" s="113"/>
      <c r="AE942" s="49"/>
      <c r="AF942" s="50"/>
      <c r="AG942" s="55"/>
      <c r="AH942" s="50"/>
      <c r="AI942" s="50"/>
      <c r="AJ942" s="50"/>
      <c r="AK942" s="50"/>
      <c r="AL942" s="50"/>
      <c r="AM942" s="50"/>
      <c r="AN942" s="50"/>
      <c r="AO942" s="9"/>
      <c r="AP942" s="9"/>
    </row>
    <row r="943" spans="1:42" x14ac:dyDescent="0.55000000000000004">
      <c r="A943" t="str">
        <f t="shared" si="14"/>
        <v/>
      </c>
      <c r="C943" s="105"/>
      <c r="D943" s="110"/>
      <c r="E943" s="110"/>
      <c r="F943" s="110"/>
      <c r="G943" s="110"/>
      <c r="H943" s="110"/>
      <c r="I943" s="110"/>
      <c r="J943" s="110"/>
      <c r="K943" s="110"/>
      <c r="L943" s="110"/>
      <c r="M943" s="110"/>
      <c r="N943" s="110"/>
      <c r="O943" s="110"/>
      <c r="P943" s="110"/>
      <c r="Q943" s="110"/>
      <c r="R943" s="110"/>
      <c r="S943" s="110"/>
      <c r="T943" s="110"/>
      <c r="U943" s="49"/>
      <c r="V943" s="49"/>
      <c r="W943" s="49"/>
      <c r="X943" s="49"/>
      <c r="Y943" s="49"/>
      <c r="Z943" s="49"/>
      <c r="AA943" s="49"/>
      <c r="AB943" s="49"/>
      <c r="AC943" s="49"/>
      <c r="AD943" s="113"/>
      <c r="AE943" s="49"/>
      <c r="AF943" s="50"/>
      <c r="AG943" s="55"/>
      <c r="AH943" s="50"/>
      <c r="AI943" s="50"/>
      <c r="AJ943" s="50"/>
      <c r="AK943" s="50"/>
      <c r="AL943" s="50"/>
      <c r="AM943" s="50"/>
      <c r="AN943" s="50"/>
      <c r="AO943" s="9"/>
      <c r="AP943" s="9"/>
    </row>
    <row r="944" spans="1:42" x14ac:dyDescent="0.55000000000000004">
      <c r="A944" t="str">
        <f t="shared" si="14"/>
        <v/>
      </c>
      <c r="C944" s="105"/>
      <c r="D944" s="110"/>
      <c r="E944" s="110"/>
      <c r="F944" s="110"/>
      <c r="G944" s="110"/>
      <c r="H944" s="110"/>
      <c r="I944" s="110"/>
      <c r="J944" s="110"/>
      <c r="K944" s="110"/>
      <c r="L944" s="110"/>
      <c r="M944" s="110"/>
      <c r="N944" s="110"/>
      <c r="O944" s="110"/>
      <c r="P944" s="110"/>
      <c r="Q944" s="110"/>
      <c r="R944" s="110"/>
      <c r="S944" s="110"/>
      <c r="T944" s="110"/>
      <c r="U944" s="49"/>
      <c r="V944" s="49"/>
      <c r="W944" s="49"/>
      <c r="X944" s="49"/>
      <c r="Y944" s="49"/>
      <c r="Z944" s="49"/>
      <c r="AA944" s="49"/>
      <c r="AB944" s="49"/>
      <c r="AC944" s="49"/>
      <c r="AD944" s="113"/>
      <c r="AE944" s="49"/>
      <c r="AF944" s="50"/>
      <c r="AG944" s="55"/>
      <c r="AH944" s="50"/>
      <c r="AI944" s="50"/>
      <c r="AJ944" s="50"/>
      <c r="AK944" s="50"/>
      <c r="AL944" s="50"/>
      <c r="AM944" s="50"/>
      <c r="AN944" s="50"/>
      <c r="AO944" s="9"/>
      <c r="AP944" s="9"/>
    </row>
    <row r="945" spans="1:42" x14ac:dyDescent="0.55000000000000004">
      <c r="A945" t="str">
        <f t="shared" si="14"/>
        <v/>
      </c>
      <c r="C945" s="105"/>
      <c r="D945" s="110"/>
      <c r="E945" s="110"/>
      <c r="F945" s="110"/>
      <c r="G945" s="110"/>
      <c r="H945" s="110"/>
      <c r="I945" s="110"/>
      <c r="J945" s="110"/>
      <c r="K945" s="110"/>
      <c r="L945" s="110"/>
      <c r="M945" s="110"/>
      <c r="N945" s="110"/>
      <c r="O945" s="110"/>
      <c r="P945" s="110"/>
      <c r="Q945" s="110"/>
      <c r="R945" s="110"/>
      <c r="S945" s="110"/>
      <c r="T945" s="110"/>
      <c r="U945" s="49"/>
      <c r="V945" s="49"/>
      <c r="W945" s="49"/>
      <c r="X945" s="49"/>
      <c r="Y945" s="49"/>
      <c r="Z945" s="49"/>
      <c r="AA945" s="49"/>
      <c r="AB945" s="49"/>
      <c r="AC945" s="49"/>
      <c r="AD945" s="113"/>
      <c r="AE945" s="49"/>
      <c r="AF945" s="50"/>
      <c r="AG945" s="55"/>
      <c r="AH945" s="50"/>
      <c r="AI945" s="50"/>
      <c r="AJ945" s="50"/>
      <c r="AK945" s="50"/>
      <c r="AL945" s="50"/>
      <c r="AM945" s="50"/>
      <c r="AN945" s="50"/>
      <c r="AO945" s="9"/>
      <c r="AP945" s="9"/>
    </row>
    <row r="946" spans="1:42" x14ac:dyDescent="0.55000000000000004">
      <c r="A946" t="str">
        <f t="shared" si="14"/>
        <v/>
      </c>
      <c r="C946" s="105"/>
      <c r="D946" s="110"/>
      <c r="E946" s="110"/>
      <c r="F946" s="110"/>
      <c r="G946" s="110"/>
      <c r="H946" s="110"/>
      <c r="I946" s="110"/>
      <c r="J946" s="110"/>
      <c r="K946" s="110"/>
      <c r="L946" s="110"/>
      <c r="M946" s="110"/>
      <c r="N946" s="110"/>
      <c r="O946" s="110"/>
      <c r="P946" s="110"/>
      <c r="Q946" s="110"/>
      <c r="R946" s="110"/>
      <c r="S946" s="110"/>
      <c r="T946" s="110"/>
      <c r="U946" s="49"/>
      <c r="V946" s="49"/>
      <c r="W946" s="49"/>
      <c r="X946" s="49"/>
      <c r="Y946" s="49"/>
      <c r="Z946" s="49"/>
      <c r="AA946" s="49"/>
      <c r="AB946" s="49"/>
      <c r="AC946" s="49"/>
      <c r="AD946" s="113"/>
      <c r="AE946" s="49"/>
      <c r="AF946" s="50"/>
      <c r="AG946" s="55"/>
      <c r="AH946" s="50"/>
      <c r="AI946" s="50"/>
      <c r="AJ946" s="50"/>
      <c r="AK946" s="50"/>
      <c r="AL946" s="50"/>
      <c r="AM946" s="50"/>
      <c r="AN946" s="50"/>
      <c r="AO946" s="9"/>
      <c r="AP946" s="9"/>
    </row>
    <row r="947" spans="1:42" x14ac:dyDescent="0.55000000000000004">
      <c r="A947" t="str">
        <f t="shared" si="14"/>
        <v/>
      </c>
      <c r="C947" s="105"/>
      <c r="D947" s="110"/>
      <c r="E947" s="110"/>
      <c r="F947" s="110"/>
      <c r="G947" s="110"/>
      <c r="H947" s="110"/>
      <c r="I947" s="110"/>
      <c r="J947" s="110"/>
      <c r="K947" s="110"/>
      <c r="L947" s="110"/>
      <c r="M947" s="110"/>
      <c r="N947" s="110"/>
      <c r="O947" s="110"/>
      <c r="P947" s="110"/>
      <c r="Q947" s="110"/>
      <c r="R947" s="110"/>
      <c r="S947" s="110"/>
      <c r="T947" s="110"/>
      <c r="U947" s="49"/>
      <c r="V947" s="49"/>
      <c r="W947" s="49"/>
      <c r="X947" s="49"/>
      <c r="Y947" s="49"/>
      <c r="Z947" s="49"/>
      <c r="AA947" s="49"/>
      <c r="AB947" s="49"/>
      <c r="AC947" s="49"/>
      <c r="AD947" s="113"/>
      <c r="AE947" s="49"/>
      <c r="AF947" s="50"/>
      <c r="AG947" s="55"/>
      <c r="AH947" s="50"/>
      <c r="AI947" s="50"/>
      <c r="AJ947" s="50"/>
      <c r="AK947" s="50"/>
      <c r="AL947" s="50"/>
      <c r="AM947" s="50"/>
      <c r="AN947" s="50"/>
      <c r="AO947" s="9"/>
      <c r="AP947" s="9"/>
    </row>
    <row r="948" spans="1:42" x14ac:dyDescent="0.55000000000000004">
      <c r="A948" t="str">
        <f t="shared" si="14"/>
        <v/>
      </c>
      <c r="C948" s="105"/>
      <c r="D948" s="110"/>
      <c r="E948" s="110"/>
      <c r="F948" s="110"/>
      <c r="G948" s="110"/>
      <c r="H948" s="110"/>
      <c r="I948" s="110"/>
      <c r="J948" s="110"/>
      <c r="K948" s="110"/>
      <c r="L948" s="110"/>
      <c r="M948" s="110"/>
      <c r="N948" s="110"/>
      <c r="O948" s="110"/>
      <c r="P948" s="110"/>
      <c r="Q948" s="110"/>
      <c r="R948" s="110"/>
      <c r="S948" s="110"/>
      <c r="T948" s="110"/>
      <c r="U948" s="49"/>
      <c r="V948" s="49"/>
      <c r="W948" s="49"/>
      <c r="X948" s="49"/>
      <c r="Y948" s="49"/>
      <c r="Z948" s="49"/>
      <c r="AA948" s="49"/>
      <c r="AB948" s="49"/>
      <c r="AC948" s="49"/>
      <c r="AD948" s="113"/>
      <c r="AE948" s="49"/>
      <c r="AF948" s="50"/>
      <c r="AG948" s="55"/>
      <c r="AH948" s="50"/>
      <c r="AI948" s="50"/>
      <c r="AJ948" s="50"/>
      <c r="AK948" s="50"/>
      <c r="AL948" s="50"/>
      <c r="AM948" s="50"/>
      <c r="AN948" s="50"/>
      <c r="AO948" s="9"/>
      <c r="AP948" s="9"/>
    </row>
    <row r="949" spans="1:42" x14ac:dyDescent="0.55000000000000004">
      <c r="A949" t="str">
        <f t="shared" si="14"/>
        <v/>
      </c>
      <c r="C949" s="105"/>
      <c r="D949" s="110"/>
      <c r="E949" s="110"/>
      <c r="F949" s="110"/>
      <c r="G949" s="110"/>
      <c r="H949" s="110"/>
      <c r="I949" s="110"/>
      <c r="J949" s="110"/>
      <c r="K949" s="110"/>
      <c r="L949" s="110"/>
      <c r="M949" s="110"/>
      <c r="N949" s="110"/>
      <c r="O949" s="110"/>
      <c r="P949" s="110"/>
      <c r="Q949" s="110"/>
      <c r="R949" s="110"/>
      <c r="S949" s="110"/>
      <c r="T949" s="110"/>
      <c r="U949" s="49"/>
      <c r="V949" s="49"/>
      <c r="W949" s="49"/>
      <c r="X949" s="49"/>
      <c r="Y949" s="49"/>
      <c r="Z949" s="49"/>
      <c r="AA949" s="49"/>
      <c r="AB949" s="49"/>
      <c r="AC949" s="49"/>
      <c r="AD949" s="113"/>
      <c r="AE949" s="49"/>
      <c r="AF949" s="50"/>
      <c r="AG949" s="55"/>
      <c r="AH949" s="50"/>
      <c r="AI949" s="50"/>
      <c r="AJ949" s="50"/>
      <c r="AK949" s="50"/>
      <c r="AL949" s="50"/>
      <c r="AM949" s="50"/>
      <c r="AN949" s="50"/>
      <c r="AO949" s="9"/>
      <c r="AP949" s="9"/>
    </row>
    <row r="950" spans="1:42" x14ac:dyDescent="0.55000000000000004">
      <c r="A950" t="str">
        <f t="shared" si="14"/>
        <v/>
      </c>
      <c r="C950" s="105"/>
      <c r="D950" s="110"/>
      <c r="E950" s="110"/>
      <c r="F950" s="110"/>
      <c r="G950" s="110"/>
      <c r="H950" s="110"/>
      <c r="I950" s="110"/>
      <c r="J950" s="110"/>
      <c r="K950" s="110"/>
      <c r="L950" s="110"/>
      <c r="M950" s="110"/>
      <c r="N950" s="110"/>
      <c r="O950" s="110"/>
      <c r="P950" s="110"/>
      <c r="Q950" s="110"/>
      <c r="R950" s="110"/>
      <c r="S950" s="110"/>
      <c r="T950" s="110"/>
      <c r="U950" s="49"/>
      <c r="V950" s="49"/>
      <c r="W950" s="49"/>
      <c r="X950" s="49"/>
      <c r="Y950" s="49"/>
      <c r="Z950" s="49"/>
      <c r="AA950" s="49"/>
      <c r="AB950" s="49"/>
      <c r="AC950" s="49"/>
      <c r="AD950" s="113"/>
      <c r="AE950" s="49"/>
      <c r="AF950" s="50"/>
      <c r="AG950" s="55"/>
      <c r="AH950" s="50"/>
      <c r="AI950" s="50"/>
      <c r="AJ950" s="50"/>
      <c r="AK950" s="50"/>
      <c r="AL950" s="50"/>
      <c r="AM950" s="50"/>
      <c r="AN950" s="50"/>
      <c r="AO950" s="9"/>
      <c r="AP950" s="9"/>
    </row>
    <row r="951" spans="1:42" x14ac:dyDescent="0.55000000000000004">
      <c r="A951" t="str">
        <f t="shared" si="14"/>
        <v/>
      </c>
      <c r="C951" s="105"/>
      <c r="D951" s="110"/>
      <c r="E951" s="110"/>
      <c r="F951" s="110"/>
      <c r="G951" s="110"/>
      <c r="H951" s="110"/>
      <c r="I951" s="110"/>
      <c r="J951" s="110"/>
      <c r="K951" s="110"/>
      <c r="L951" s="110"/>
      <c r="M951" s="110"/>
      <c r="N951" s="110"/>
      <c r="O951" s="110"/>
      <c r="P951" s="110"/>
      <c r="Q951" s="110"/>
      <c r="R951" s="110"/>
      <c r="S951" s="110"/>
      <c r="T951" s="110"/>
      <c r="U951" s="49"/>
      <c r="V951" s="49"/>
      <c r="W951" s="49"/>
      <c r="X951" s="49"/>
      <c r="Y951" s="49"/>
      <c r="Z951" s="49"/>
      <c r="AA951" s="49"/>
      <c r="AB951" s="49"/>
      <c r="AC951" s="49"/>
      <c r="AD951" s="113"/>
      <c r="AE951" s="49"/>
      <c r="AF951" s="50"/>
      <c r="AG951" s="55"/>
      <c r="AH951" s="50"/>
      <c r="AI951" s="50"/>
      <c r="AJ951" s="50"/>
      <c r="AK951" s="50"/>
      <c r="AL951" s="50"/>
      <c r="AM951" s="50"/>
      <c r="AN951" s="50"/>
      <c r="AO951" s="9"/>
      <c r="AP951" s="9"/>
    </row>
    <row r="952" spans="1:42" x14ac:dyDescent="0.55000000000000004">
      <c r="A952" t="str">
        <f t="shared" si="14"/>
        <v/>
      </c>
      <c r="C952" s="105"/>
      <c r="D952" s="110"/>
      <c r="E952" s="110"/>
      <c r="F952" s="110"/>
      <c r="G952" s="110"/>
      <c r="H952" s="110"/>
      <c r="I952" s="110"/>
      <c r="J952" s="110"/>
      <c r="K952" s="110"/>
      <c r="L952" s="110"/>
      <c r="M952" s="110"/>
      <c r="N952" s="110"/>
      <c r="O952" s="110"/>
      <c r="P952" s="110"/>
      <c r="Q952" s="110"/>
      <c r="R952" s="110"/>
      <c r="S952" s="110"/>
      <c r="T952" s="110"/>
      <c r="U952" s="49"/>
      <c r="V952" s="49"/>
      <c r="W952" s="49"/>
      <c r="X952" s="49"/>
      <c r="Y952" s="49"/>
      <c r="Z952" s="49"/>
      <c r="AA952" s="49"/>
      <c r="AB952" s="49"/>
      <c r="AC952" s="49"/>
      <c r="AD952" s="113"/>
      <c r="AE952" s="49"/>
      <c r="AF952" s="50"/>
      <c r="AG952" s="55"/>
      <c r="AH952" s="50"/>
      <c r="AI952" s="50"/>
      <c r="AJ952" s="50"/>
      <c r="AK952" s="50"/>
      <c r="AL952" s="50"/>
      <c r="AM952" s="50"/>
      <c r="AN952" s="50"/>
      <c r="AO952" s="9"/>
      <c r="AP952" s="9"/>
    </row>
    <row r="953" spans="1:42" x14ac:dyDescent="0.55000000000000004">
      <c r="A953" t="str">
        <f t="shared" si="14"/>
        <v/>
      </c>
      <c r="C953" s="105"/>
      <c r="D953" s="110"/>
      <c r="E953" s="110"/>
      <c r="F953" s="110"/>
      <c r="G953" s="110"/>
      <c r="H953" s="110"/>
      <c r="I953" s="110"/>
      <c r="J953" s="110"/>
      <c r="K953" s="110"/>
      <c r="L953" s="110"/>
      <c r="M953" s="110"/>
      <c r="N953" s="110"/>
      <c r="O953" s="110"/>
      <c r="P953" s="110"/>
      <c r="Q953" s="110"/>
      <c r="R953" s="110"/>
      <c r="S953" s="110"/>
      <c r="T953" s="110"/>
      <c r="U953" s="49"/>
      <c r="V953" s="49"/>
      <c r="W953" s="49"/>
      <c r="X953" s="49"/>
      <c r="Y953" s="49"/>
      <c r="Z953" s="49"/>
      <c r="AA953" s="49"/>
      <c r="AB953" s="49"/>
      <c r="AC953" s="49"/>
      <c r="AD953" s="113"/>
      <c r="AE953" s="49"/>
      <c r="AF953" s="50"/>
      <c r="AG953" s="55"/>
      <c r="AH953" s="50"/>
      <c r="AI953" s="50"/>
      <c r="AJ953" s="50"/>
      <c r="AK953" s="50"/>
      <c r="AL953" s="50"/>
      <c r="AM953" s="50"/>
      <c r="AN953" s="50"/>
      <c r="AO953" s="9"/>
      <c r="AP953" s="9"/>
    </row>
    <row r="954" spans="1:42" x14ac:dyDescent="0.55000000000000004">
      <c r="A954" t="str">
        <f t="shared" si="14"/>
        <v/>
      </c>
      <c r="C954" s="105"/>
      <c r="D954" s="110"/>
      <c r="E954" s="110"/>
      <c r="F954" s="110"/>
      <c r="G954" s="110"/>
      <c r="H954" s="110"/>
      <c r="I954" s="110"/>
      <c r="J954" s="110"/>
      <c r="K954" s="110"/>
      <c r="L954" s="110"/>
      <c r="M954" s="110"/>
      <c r="N954" s="110"/>
      <c r="O954" s="110"/>
      <c r="P954" s="110"/>
      <c r="Q954" s="110"/>
      <c r="R954" s="110"/>
      <c r="S954" s="110"/>
      <c r="T954" s="110"/>
      <c r="U954" s="49"/>
      <c r="V954" s="49"/>
      <c r="W954" s="49"/>
      <c r="X954" s="49"/>
      <c r="Y954" s="49"/>
      <c r="Z954" s="49"/>
      <c r="AA954" s="49"/>
      <c r="AB954" s="49"/>
      <c r="AC954" s="49"/>
      <c r="AD954" s="113"/>
      <c r="AE954" s="49"/>
      <c r="AF954" s="50"/>
      <c r="AG954" s="55"/>
      <c r="AH954" s="50"/>
      <c r="AI954" s="50"/>
      <c r="AJ954" s="50"/>
      <c r="AK954" s="50"/>
      <c r="AL954" s="50"/>
      <c r="AM954" s="50"/>
      <c r="AN954" s="50"/>
      <c r="AO954" s="9"/>
      <c r="AP954" s="9"/>
    </row>
    <row r="955" spans="1:42" x14ac:dyDescent="0.55000000000000004">
      <c r="A955" t="str">
        <f t="shared" si="14"/>
        <v/>
      </c>
      <c r="C955" s="105"/>
      <c r="D955" s="110"/>
      <c r="E955" s="110"/>
      <c r="F955" s="110"/>
      <c r="G955" s="110"/>
      <c r="H955" s="110"/>
      <c r="I955" s="110"/>
      <c r="J955" s="110"/>
      <c r="K955" s="110"/>
      <c r="L955" s="110"/>
      <c r="M955" s="110"/>
      <c r="N955" s="110"/>
      <c r="O955" s="110"/>
      <c r="P955" s="110"/>
      <c r="Q955" s="110"/>
      <c r="R955" s="110"/>
      <c r="S955" s="110"/>
      <c r="T955" s="110"/>
      <c r="U955" s="49"/>
      <c r="V955" s="49"/>
      <c r="W955" s="49"/>
      <c r="X955" s="49"/>
      <c r="Y955" s="49"/>
      <c r="Z955" s="49"/>
      <c r="AA955" s="49"/>
      <c r="AB955" s="49"/>
      <c r="AC955" s="49"/>
      <c r="AD955" s="113"/>
      <c r="AE955" s="49"/>
      <c r="AF955" s="50"/>
      <c r="AG955" s="55"/>
      <c r="AH955" s="50"/>
      <c r="AI955" s="50"/>
      <c r="AJ955" s="50"/>
      <c r="AK955" s="50"/>
      <c r="AL955" s="50"/>
      <c r="AM955" s="50"/>
      <c r="AN955" s="50"/>
      <c r="AO955" s="9"/>
      <c r="AP955" s="9"/>
    </row>
    <row r="956" spans="1:42" x14ac:dyDescent="0.55000000000000004">
      <c r="A956" t="str">
        <f t="shared" si="14"/>
        <v/>
      </c>
      <c r="C956" s="105"/>
      <c r="D956" s="110"/>
      <c r="E956" s="110"/>
      <c r="F956" s="110"/>
      <c r="G956" s="110"/>
      <c r="H956" s="110"/>
      <c r="I956" s="110"/>
      <c r="J956" s="110"/>
      <c r="K956" s="110"/>
      <c r="L956" s="110"/>
      <c r="M956" s="110"/>
      <c r="N956" s="110"/>
      <c r="O956" s="110"/>
      <c r="P956" s="110"/>
      <c r="Q956" s="110"/>
      <c r="R956" s="110"/>
      <c r="S956" s="110"/>
      <c r="T956" s="110"/>
      <c r="U956" s="49"/>
      <c r="V956" s="49"/>
      <c r="W956" s="49"/>
      <c r="X956" s="49"/>
      <c r="Y956" s="49"/>
      <c r="Z956" s="49"/>
      <c r="AA956" s="49"/>
      <c r="AB956" s="49"/>
      <c r="AC956" s="49"/>
      <c r="AD956" s="113"/>
      <c r="AE956" s="49"/>
      <c r="AF956" s="50"/>
      <c r="AG956" s="55"/>
      <c r="AH956" s="50"/>
      <c r="AI956" s="50"/>
      <c r="AJ956" s="50"/>
      <c r="AK956" s="50"/>
      <c r="AL956" s="50"/>
      <c r="AM956" s="50"/>
      <c r="AN956" s="50"/>
      <c r="AO956" s="9"/>
      <c r="AP956" s="9"/>
    </row>
    <row r="957" spans="1:42" x14ac:dyDescent="0.55000000000000004">
      <c r="A957" t="str">
        <f t="shared" si="14"/>
        <v/>
      </c>
      <c r="C957" s="105"/>
      <c r="D957" s="110"/>
      <c r="E957" s="110"/>
      <c r="F957" s="110"/>
      <c r="G957" s="110"/>
      <c r="H957" s="110"/>
      <c r="I957" s="110"/>
      <c r="J957" s="110"/>
      <c r="K957" s="110"/>
      <c r="L957" s="110"/>
      <c r="M957" s="110"/>
      <c r="N957" s="110"/>
      <c r="O957" s="110"/>
      <c r="P957" s="110"/>
      <c r="Q957" s="110"/>
      <c r="R957" s="110"/>
      <c r="S957" s="110"/>
      <c r="T957" s="110"/>
      <c r="U957" s="49"/>
      <c r="V957" s="49"/>
      <c r="W957" s="49"/>
      <c r="X957" s="49"/>
      <c r="Y957" s="49"/>
      <c r="Z957" s="49"/>
      <c r="AA957" s="49"/>
      <c r="AB957" s="49"/>
      <c r="AC957" s="49"/>
      <c r="AD957" s="113"/>
      <c r="AE957" s="49"/>
      <c r="AF957" s="50"/>
      <c r="AG957" s="55"/>
      <c r="AH957" s="50"/>
      <c r="AI957" s="50"/>
      <c r="AJ957" s="50"/>
      <c r="AK957" s="50"/>
      <c r="AL957" s="50"/>
      <c r="AM957" s="50"/>
      <c r="AN957" s="50"/>
      <c r="AO957" s="9"/>
      <c r="AP957" s="9"/>
    </row>
    <row r="958" spans="1:42" x14ac:dyDescent="0.55000000000000004">
      <c r="A958" t="str">
        <f t="shared" si="14"/>
        <v/>
      </c>
      <c r="C958" s="105"/>
      <c r="D958" s="110"/>
      <c r="E958" s="110"/>
      <c r="F958" s="110"/>
      <c r="G958" s="110"/>
      <c r="H958" s="110"/>
      <c r="I958" s="110"/>
      <c r="J958" s="110"/>
      <c r="K958" s="110"/>
      <c r="L958" s="110"/>
      <c r="M958" s="110"/>
      <c r="N958" s="110"/>
      <c r="O958" s="110"/>
      <c r="P958" s="110"/>
      <c r="Q958" s="110"/>
      <c r="R958" s="110"/>
      <c r="S958" s="110"/>
      <c r="T958" s="110"/>
      <c r="U958" s="49"/>
      <c r="V958" s="49"/>
      <c r="W958" s="49"/>
      <c r="X958" s="49"/>
      <c r="Y958" s="49"/>
      <c r="Z958" s="49"/>
      <c r="AA958" s="49"/>
      <c r="AB958" s="49"/>
      <c r="AC958" s="49"/>
      <c r="AD958" s="113"/>
      <c r="AE958" s="49"/>
      <c r="AF958" s="50"/>
      <c r="AG958" s="55"/>
      <c r="AH958" s="50"/>
      <c r="AI958" s="50"/>
      <c r="AJ958" s="50"/>
      <c r="AK958" s="50"/>
      <c r="AL958" s="50"/>
      <c r="AM958" s="50"/>
      <c r="AN958" s="50"/>
      <c r="AO958" s="9"/>
      <c r="AP958" s="9"/>
    </row>
    <row r="959" spans="1:42" x14ac:dyDescent="0.55000000000000004">
      <c r="A959" t="str">
        <f t="shared" si="14"/>
        <v/>
      </c>
      <c r="C959" s="105"/>
      <c r="D959" s="110"/>
      <c r="E959" s="110"/>
      <c r="F959" s="110"/>
      <c r="G959" s="110"/>
      <c r="H959" s="110"/>
      <c r="I959" s="110"/>
      <c r="J959" s="110"/>
      <c r="K959" s="110"/>
      <c r="L959" s="110"/>
      <c r="M959" s="110"/>
      <c r="N959" s="110"/>
      <c r="O959" s="110"/>
      <c r="P959" s="110"/>
      <c r="Q959" s="110"/>
      <c r="R959" s="110"/>
      <c r="S959" s="110"/>
      <c r="T959" s="110"/>
      <c r="U959" s="49"/>
      <c r="V959" s="49"/>
      <c r="W959" s="49"/>
      <c r="X959" s="49"/>
      <c r="Y959" s="49"/>
      <c r="Z959" s="49"/>
      <c r="AA959" s="49"/>
      <c r="AB959" s="49"/>
      <c r="AC959" s="49"/>
      <c r="AD959" s="113"/>
      <c r="AE959" s="49"/>
      <c r="AF959" s="50"/>
      <c r="AG959" s="55"/>
      <c r="AH959" s="50"/>
      <c r="AI959" s="50"/>
      <c r="AJ959" s="50"/>
      <c r="AK959" s="50"/>
      <c r="AL959" s="50"/>
      <c r="AM959" s="50"/>
      <c r="AN959" s="50"/>
      <c r="AO959" s="9"/>
      <c r="AP959" s="9"/>
    </row>
    <row r="960" spans="1:42" x14ac:dyDescent="0.55000000000000004">
      <c r="A960" t="str">
        <f t="shared" si="14"/>
        <v/>
      </c>
      <c r="C960" s="105"/>
      <c r="D960" s="110"/>
      <c r="E960" s="110"/>
      <c r="F960" s="110"/>
      <c r="G960" s="110"/>
      <c r="H960" s="110"/>
      <c r="I960" s="110"/>
      <c r="J960" s="110"/>
      <c r="K960" s="110"/>
      <c r="L960" s="110"/>
      <c r="M960" s="110"/>
      <c r="N960" s="110"/>
      <c r="O960" s="110"/>
      <c r="P960" s="110"/>
      <c r="Q960" s="110"/>
      <c r="R960" s="110"/>
      <c r="S960" s="110"/>
      <c r="T960" s="110"/>
      <c r="U960" s="49"/>
      <c r="V960" s="49"/>
      <c r="W960" s="49"/>
      <c r="X960" s="49"/>
      <c r="Y960" s="49"/>
      <c r="Z960" s="49"/>
      <c r="AA960" s="49"/>
      <c r="AB960" s="49"/>
      <c r="AC960" s="49"/>
      <c r="AD960" s="113"/>
      <c r="AE960" s="49"/>
      <c r="AF960" s="50"/>
      <c r="AG960" s="55"/>
      <c r="AH960" s="50"/>
      <c r="AI960" s="50"/>
      <c r="AJ960" s="50"/>
      <c r="AK960" s="50"/>
      <c r="AL960" s="50"/>
      <c r="AM960" s="50"/>
      <c r="AN960" s="50"/>
      <c r="AO960" s="9"/>
      <c r="AP960" s="9"/>
    </row>
    <row r="961" spans="1:42" x14ac:dyDescent="0.55000000000000004">
      <c r="A961" t="str">
        <f t="shared" si="14"/>
        <v/>
      </c>
      <c r="C961" s="105"/>
      <c r="D961" s="110"/>
      <c r="E961" s="110"/>
      <c r="F961" s="110"/>
      <c r="G961" s="110"/>
      <c r="H961" s="110"/>
      <c r="I961" s="110"/>
      <c r="J961" s="110"/>
      <c r="K961" s="110"/>
      <c r="L961" s="110"/>
      <c r="M961" s="110"/>
      <c r="N961" s="110"/>
      <c r="O961" s="110"/>
      <c r="P961" s="110"/>
      <c r="Q961" s="110"/>
      <c r="R961" s="110"/>
      <c r="S961" s="110"/>
      <c r="T961" s="110"/>
      <c r="U961" s="49"/>
      <c r="V961" s="49"/>
      <c r="W961" s="49"/>
      <c r="X961" s="49"/>
      <c r="Y961" s="49"/>
      <c r="Z961" s="49"/>
      <c r="AA961" s="49"/>
      <c r="AB961" s="49"/>
      <c r="AC961" s="49"/>
      <c r="AD961" s="113"/>
      <c r="AE961" s="49"/>
      <c r="AF961" s="50"/>
      <c r="AG961" s="50"/>
      <c r="AH961" s="50"/>
      <c r="AI961" s="50"/>
      <c r="AJ961" s="50"/>
      <c r="AK961" s="50"/>
      <c r="AL961" s="50"/>
      <c r="AM961" s="50"/>
      <c r="AN961" s="50"/>
      <c r="AO961" s="9"/>
      <c r="AP961" s="9"/>
    </row>
    <row r="962" spans="1:42" x14ac:dyDescent="0.55000000000000004">
      <c r="A962" t="str">
        <f t="shared" si="14"/>
        <v/>
      </c>
      <c r="C962" s="105"/>
      <c r="D962" s="110"/>
      <c r="E962" s="110"/>
      <c r="F962" s="110"/>
      <c r="G962" s="110"/>
      <c r="H962" s="110"/>
      <c r="I962" s="110"/>
      <c r="J962" s="110"/>
      <c r="K962" s="110"/>
      <c r="L962" s="110"/>
      <c r="M962" s="110"/>
      <c r="N962" s="110"/>
      <c r="O962" s="110"/>
      <c r="P962" s="110"/>
      <c r="Q962" s="110"/>
      <c r="R962" s="110"/>
      <c r="S962" s="110"/>
      <c r="T962" s="110"/>
      <c r="U962" s="49"/>
      <c r="V962" s="49"/>
      <c r="W962" s="49"/>
      <c r="X962" s="49"/>
      <c r="Y962" s="49"/>
      <c r="Z962" s="49"/>
      <c r="AA962" s="49"/>
      <c r="AB962" s="49"/>
      <c r="AC962" s="49"/>
      <c r="AD962" s="113"/>
      <c r="AE962" s="49"/>
      <c r="AF962" s="50"/>
      <c r="AG962" s="50"/>
      <c r="AH962" s="50"/>
      <c r="AI962" s="50"/>
      <c r="AJ962" s="50"/>
      <c r="AK962" s="50"/>
      <c r="AL962" s="50"/>
      <c r="AM962" s="50"/>
      <c r="AN962" s="50"/>
      <c r="AO962" s="9"/>
      <c r="AP962" s="9"/>
    </row>
    <row r="963" spans="1:42" x14ac:dyDescent="0.55000000000000004">
      <c r="A963" t="str">
        <f t="shared" ref="A963:A1026" si="15">H963&amp;I963&amp;J963</f>
        <v/>
      </c>
      <c r="C963" s="105"/>
      <c r="D963" s="110"/>
      <c r="E963" s="110"/>
      <c r="F963" s="110"/>
      <c r="G963" s="110"/>
      <c r="H963" s="110"/>
      <c r="I963" s="110"/>
      <c r="J963" s="110"/>
      <c r="K963" s="110"/>
      <c r="L963" s="110"/>
      <c r="M963" s="110"/>
      <c r="N963" s="110"/>
      <c r="O963" s="110"/>
      <c r="P963" s="110"/>
      <c r="Q963" s="110"/>
      <c r="R963" s="110"/>
      <c r="S963" s="110"/>
      <c r="T963" s="110"/>
      <c r="U963" s="49"/>
      <c r="V963" s="49"/>
      <c r="W963" s="49"/>
      <c r="X963" s="49"/>
      <c r="Y963" s="49"/>
      <c r="Z963" s="49"/>
      <c r="AA963" s="49"/>
      <c r="AB963" s="49"/>
      <c r="AC963" s="49"/>
      <c r="AD963" s="113"/>
      <c r="AE963" s="49"/>
      <c r="AF963" s="50"/>
      <c r="AG963" s="50"/>
      <c r="AH963" s="50"/>
      <c r="AI963" s="50"/>
      <c r="AJ963" s="50"/>
      <c r="AK963" s="50"/>
      <c r="AL963" s="50"/>
      <c r="AM963" s="50"/>
      <c r="AN963" s="50"/>
      <c r="AO963" s="9"/>
      <c r="AP963" s="9"/>
    </row>
    <row r="964" spans="1:42" x14ac:dyDescent="0.55000000000000004">
      <c r="A964" t="str">
        <f t="shared" si="15"/>
        <v/>
      </c>
      <c r="C964" s="105"/>
      <c r="D964" s="110"/>
      <c r="E964" s="110"/>
      <c r="F964" s="110"/>
      <c r="G964" s="110"/>
      <c r="H964" s="110"/>
      <c r="I964" s="110"/>
      <c r="J964" s="110"/>
      <c r="K964" s="110"/>
      <c r="L964" s="110"/>
      <c r="M964" s="110"/>
      <c r="N964" s="110"/>
      <c r="O964" s="110"/>
      <c r="P964" s="110"/>
      <c r="Q964" s="110"/>
      <c r="R964" s="110"/>
      <c r="S964" s="110"/>
      <c r="T964" s="110"/>
      <c r="U964" s="49"/>
      <c r="V964" s="49"/>
      <c r="W964" s="49"/>
      <c r="X964" s="49"/>
      <c r="Y964" s="49"/>
      <c r="Z964" s="49"/>
      <c r="AA964" s="49"/>
      <c r="AB964" s="49"/>
      <c r="AC964" s="49"/>
      <c r="AD964" s="113"/>
      <c r="AE964" s="49"/>
      <c r="AF964" s="50"/>
      <c r="AG964" s="50"/>
      <c r="AH964" s="50"/>
      <c r="AI964" s="50"/>
      <c r="AJ964" s="50"/>
      <c r="AK964" s="50"/>
      <c r="AL964" s="50"/>
      <c r="AM964" s="50"/>
      <c r="AN964" s="50"/>
      <c r="AO964" s="9"/>
      <c r="AP964" s="9"/>
    </row>
    <row r="965" spans="1:42" x14ac:dyDescent="0.55000000000000004">
      <c r="A965" t="str">
        <f t="shared" si="15"/>
        <v/>
      </c>
      <c r="C965" s="105"/>
      <c r="D965" s="110"/>
      <c r="E965" s="110"/>
      <c r="F965" s="110"/>
      <c r="G965" s="110"/>
      <c r="H965" s="110"/>
      <c r="I965" s="110"/>
      <c r="J965" s="110"/>
      <c r="K965" s="110"/>
      <c r="L965" s="110"/>
      <c r="M965" s="110"/>
      <c r="N965" s="110"/>
      <c r="O965" s="110"/>
      <c r="P965" s="110"/>
      <c r="Q965" s="110"/>
      <c r="R965" s="110"/>
      <c r="S965" s="110"/>
      <c r="T965" s="110"/>
      <c r="U965" s="49"/>
      <c r="V965" s="49"/>
      <c r="W965" s="49"/>
      <c r="X965" s="49"/>
      <c r="Y965" s="49"/>
      <c r="Z965" s="49"/>
      <c r="AA965" s="49"/>
      <c r="AB965" s="49"/>
      <c r="AC965" s="49"/>
      <c r="AD965" s="113"/>
      <c r="AE965" s="49"/>
      <c r="AF965" s="50"/>
      <c r="AG965" s="50"/>
      <c r="AH965" s="50"/>
      <c r="AI965" s="50"/>
      <c r="AJ965" s="50"/>
      <c r="AK965" s="50"/>
      <c r="AL965" s="50"/>
      <c r="AM965" s="50"/>
      <c r="AN965" s="50"/>
      <c r="AO965" s="9"/>
      <c r="AP965" s="9"/>
    </row>
    <row r="966" spans="1:42" x14ac:dyDescent="0.55000000000000004">
      <c r="A966" t="str">
        <f t="shared" si="15"/>
        <v/>
      </c>
      <c r="C966" s="105"/>
      <c r="D966" s="110"/>
      <c r="E966" s="110"/>
      <c r="F966" s="110"/>
      <c r="G966" s="110"/>
      <c r="H966" s="110"/>
      <c r="I966" s="110"/>
      <c r="J966" s="110"/>
      <c r="K966" s="110"/>
      <c r="L966" s="110"/>
      <c r="M966" s="110"/>
      <c r="N966" s="110"/>
      <c r="O966" s="110"/>
      <c r="P966" s="110"/>
      <c r="Q966" s="110"/>
      <c r="R966" s="110"/>
      <c r="S966" s="110"/>
      <c r="T966" s="110"/>
      <c r="U966" s="49"/>
      <c r="V966" s="49"/>
      <c r="W966" s="49"/>
      <c r="X966" s="49"/>
      <c r="Y966" s="49"/>
      <c r="Z966" s="49"/>
      <c r="AA966" s="49"/>
      <c r="AB966" s="49"/>
      <c r="AC966" s="49"/>
      <c r="AD966" s="113"/>
      <c r="AE966" s="49"/>
      <c r="AF966" s="50"/>
      <c r="AG966" s="50"/>
      <c r="AH966" s="50"/>
      <c r="AI966" s="50"/>
      <c r="AJ966" s="50"/>
      <c r="AK966" s="50"/>
      <c r="AL966" s="50"/>
      <c r="AM966" s="50"/>
      <c r="AN966" s="50"/>
      <c r="AO966" s="9"/>
      <c r="AP966" s="9"/>
    </row>
    <row r="967" spans="1:42" x14ac:dyDescent="0.55000000000000004">
      <c r="A967" t="str">
        <f t="shared" si="15"/>
        <v/>
      </c>
      <c r="C967" s="105"/>
      <c r="D967" s="110"/>
      <c r="E967" s="110"/>
      <c r="F967" s="110"/>
      <c r="G967" s="110"/>
      <c r="H967" s="110"/>
      <c r="I967" s="110"/>
      <c r="J967" s="110"/>
      <c r="K967" s="110"/>
      <c r="L967" s="110"/>
      <c r="M967" s="110"/>
      <c r="N967" s="110"/>
      <c r="O967" s="110"/>
      <c r="P967" s="110"/>
      <c r="Q967" s="110"/>
      <c r="R967" s="110"/>
      <c r="S967" s="110"/>
      <c r="T967" s="110"/>
      <c r="U967" s="49"/>
      <c r="V967" s="49"/>
      <c r="W967" s="49"/>
      <c r="X967" s="49"/>
      <c r="Y967" s="49"/>
      <c r="Z967" s="49"/>
      <c r="AA967" s="49"/>
      <c r="AB967" s="49"/>
      <c r="AC967" s="49"/>
      <c r="AD967" s="113"/>
      <c r="AE967" s="49"/>
      <c r="AF967" s="50"/>
      <c r="AG967" s="50"/>
      <c r="AH967" s="50"/>
      <c r="AI967" s="50"/>
      <c r="AJ967" s="50"/>
      <c r="AK967" s="50"/>
      <c r="AL967" s="50"/>
      <c r="AM967" s="50"/>
      <c r="AN967" s="50"/>
      <c r="AO967" s="9"/>
      <c r="AP967" s="9"/>
    </row>
    <row r="968" spans="1:42" x14ac:dyDescent="0.55000000000000004">
      <c r="A968" t="str">
        <f t="shared" si="15"/>
        <v/>
      </c>
      <c r="C968" s="105"/>
      <c r="D968" s="110"/>
      <c r="E968" s="110"/>
      <c r="F968" s="110"/>
      <c r="G968" s="110"/>
      <c r="H968" s="110"/>
      <c r="I968" s="110"/>
      <c r="J968" s="110"/>
      <c r="K968" s="110"/>
      <c r="L968" s="110"/>
      <c r="M968" s="110"/>
      <c r="N968" s="110"/>
      <c r="O968" s="110"/>
      <c r="P968" s="110"/>
      <c r="Q968" s="110"/>
      <c r="R968" s="110"/>
      <c r="S968" s="110"/>
      <c r="T968" s="110"/>
      <c r="U968" s="49"/>
      <c r="V968" s="49"/>
      <c r="W968" s="49"/>
      <c r="X968" s="49"/>
      <c r="Y968" s="49"/>
      <c r="Z968" s="49"/>
      <c r="AA968" s="49"/>
      <c r="AB968" s="49"/>
      <c r="AC968" s="49"/>
      <c r="AD968" s="113"/>
      <c r="AE968" s="49"/>
      <c r="AF968" s="50"/>
      <c r="AG968" s="50"/>
      <c r="AH968" s="50"/>
      <c r="AI968" s="50"/>
      <c r="AJ968" s="50"/>
      <c r="AK968" s="50"/>
      <c r="AL968" s="50"/>
      <c r="AM968" s="50"/>
      <c r="AN968" s="50"/>
      <c r="AO968" s="9"/>
      <c r="AP968" s="9"/>
    </row>
    <row r="969" spans="1:42" x14ac:dyDescent="0.55000000000000004">
      <c r="A969" t="str">
        <f t="shared" si="15"/>
        <v/>
      </c>
      <c r="C969" s="105"/>
      <c r="D969" s="110"/>
      <c r="E969" s="110"/>
      <c r="F969" s="110"/>
      <c r="G969" s="110"/>
      <c r="H969" s="110"/>
      <c r="I969" s="110"/>
      <c r="J969" s="110"/>
      <c r="K969" s="110"/>
      <c r="L969" s="110"/>
      <c r="M969" s="110"/>
      <c r="N969" s="110"/>
      <c r="O969" s="110"/>
      <c r="P969" s="110"/>
      <c r="Q969" s="110"/>
      <c r="R969" s="110"/>
      <c r="S969" s="110"/>
      <c r="T969" s="110"/>
      <c r="U969" s="49"/>
      <c r="V969" s="49"/>
      <c r="W969" s="49"/>
      <c r="X969" s="49"/>
      <c r="Y969" s="49"/>
      <c r="Z969" s="49"/>
      <c r="AA969" s="49"/>
      <c r="AB969" s="49"/>
      <c r="AC969" s="49"/>
      <c r="AD969" s="113"/>
      <c r="AE969" s="49"/>
      <c r="AF969" s="50"/>
      <c r="AG969" s="50"/>
      <c r="AH969" s="50"/>
      <c r="AI969" s="50"/>
      <c r="AJ969" s="50"/>
      <c r="AK969" s="50"/>
      <c r="AL969" s="50"/>
      <c r="AM969" s="50"/>
      <c r="AN969" s="50"/>
      <c r="AO969" s="9"/>
      <c r="AP969" s="9"/>
    </row>
    <row r="970" spans="1:42" x14ac:dyDescent="0.55000000000000004">
      <c r="A970" t="str">
        <f t="shared" si="15"/>
        <v/>
      </c>
      <c r="C970" s="105"/>
      <c r="D970" s="110"/>
      <c r="E970" s="110"/>
      <c r="F970" s="110"/>
      <c r="G970" s="110"/>
      <c r="H970" s="110"/>
      <c r="I970" s="110"/>
      <c r="J970" s="110"/>
      <c r="K970" s="110"/>
      <c r="L970" s="110"/>
      <c r="M970" s="110"/>
      <c r="N970" s="110"/>
      <c r="O970" s="110"/>
      <c r="P970" s="110"/>
      <c r="Q970" s="110"/>
      <c r="R970" s="110"/>
      <c r="S970" s="110"/>
      <c r="T970" s="110"/>
      <c r="U970" s="49"/>
      <c r="V970" s="49"/>
      <c r="W970" s="49"/>
      <c r="X970" s="49"/>
      <c r="Y970" s="49"/>
      <c r="Z970" s="49"/>
      <c r="AA970" s="49"/>
      <c r="AB970" s="49"/>
      <c r="AC970" s="49"/>
      <c r="AD970" s="113"/>
      <c r="AE970" s="49"/>
      <c r="AF970" s="50"/>
      <c r="AG970" s="50"/>
      <c r="AH970" s="50"/>
      <c r="AI970" s="50"/>
      <c r="AJ970" s="50"/>
      <c r="AK970" s="50"/>
      <c r="AL970" s="50"/>
      <c r="AM970" s="50"/>
      <c r="AN970" s="50"/>
      <c r="AO970" s="9"/>
      <c r="AP970" s="9"/>
    </row>
    <row r="971" spans="1:42" x14ac:dyDescent="0.55000000000000004">
      <c r="A971" t="str">
        <f t="shared" si="15"/>
        <v/>
      </c>
      <c r="C971" s="105"/>
      <c r="D971" s="110"/>
      <c r="E971" s="110"/>
      <c r="F971" s="110"/>
      <c r="G971" s="110"/>
      <c r="H971" s="110"/>
      <c r="I971" s="110"/>
      <c r="J971" s="110"/>
      <c r="K971" s="110"/>
      <c r="L971" s="110"/>
      <c r="M971" s="110"/>
      <c r="N971" s="110"/>
      <c r="O971" s="110"/>
      <c r="P971" s="110"/>
      <c r="Q971" s="110"/>
      <c r="R971" s="110"/>
      <c r="S971" s="110"/>
      <c r="T971" s="110"/>
      <c r="U971" s="49"/>
      <c r="V971" s="49"/>
      <c r="W971" s="49"/>
      <c r="X971" s="49"/>
      <c r="Y971" s="49"/>
      <c r="Z971" s="49"/>
      <c r="AA971" s="49"/>
      <c r="AB971" s="49"/>
      <c r="AC971" s="49"/>
      <c r="AD971" s="113"/>
      <c r="AE971" s="49"/>
      <c r="AF971" s="50"/>
      <c r="AG971" s="50"/>
      <c r="AH971" s="50"/>
      <c r="AI971" s="50"/>
      <c r="AJ971" s="50"/>
      <c r="AK971" s="50"/>
      <c r="AL971" s="50"/>
      <c r="AM971" s="50"/>
      <c r="AN971" s="50"/>
      <c r="AO971" s="9"/>
      <c r="AP971" s="9"/>
    </row>
    <row r="972" spans="1:42" x14ac:dyDescent="0.55000000000000004">
      <c r="A972" t="str">
        <f t="shared" si="15"/>
        <v/>
      </c>
      <c r="C972" s="105"/>
      <c r="D972" s="110"/>
      <c r="E972" s="110"/>
      <c r="F972" s="110"/>
      <c r="G972" s="110"/>
      <c r="H972" s="110"/>
      <c r="I972" s="110"/>
      <c r="J972" s="110"/>
      <c r="K972" s="110"/>
      <c r="L972" s="110"/>
      <c r="M972" s="110"/>
      <c r="N972" s="110"/>
      <c r="O972" s="110"/>
      <c r="P972" s="110"/>
      <c r="Q972" s="110"/>
      <c r="R972" s="110"/>
      <c r="S972" s="110"/>
      <c r="T972" s="110"/>
      <c r="U972" s="49"/>
      <c r="V972" s="49"/>
      <c r="W972" s="49"/>
      <c r="X972" s="49"/>
      <c r="Y972" s="49"/>
      <c r="Z972" s="49"/>
      <c r="AA972" s="49"/>
      <c r="AB972" s="49"/>
      <c r="AC972" s="49"/>
      <c r="AD972" s="113"/>
      <c r="AE972" s="49"/>
      <c r="AF972" s="50"/>
      <c r="AG972" s="50"/>
      <c r="AH972" s="50"/>
      <c r="AI972" s="50"/>
      <c r="AJ972" s="50"/>
      <c r="AK972" s="50"/>
      <c r="AL972" s="50"/>
      <c r="AM972" s="50"/>
      <c r="AN972" s="50"/>
      <c r="AO972" s="9"/>
      <c r="AP972" s="9"/>
    </row>
    <row r="973" spans="1:42" x14ac:dyDescent="0.55000000000000004">
      <c r="A973" t="str">
        <f t="shared" si="15"/>
        <v/>
      </c>
      <c r="C973" s="105"/>
      <c r="D973" s="110"/>
      <c r="E973" s="110"/>
      <c r="F973" s="110"/>
      <c r="G973" s="110"/>
      <c r="H973" s="110"/>
      <c r="I973" s="110"/>
      <c r="J973" s="110"/>
      <c r="K973" s="110"/>
      <c r="L973" s="110"/>
      <c r="M973" s="110"/>
      <c r="N973" s="110"/>
      <c r="O973" s="110"/>
      <c r="P973" s="110"/>
      <c r="Q973" s="110"/>
      <c r="R973" s="110"/>
      <c r="S973" s="110"/>
      <c r="T973" s="110"/>
      <c r="U973" s="49"/>
      <c r="V973" s="49"/>
      <c r="W973" s="49"/>
      <c r="X973" s="49"/>
      <c r="Y973" s="49"/>
      <c r="Z973" s="49"/>
      <c r="AA973" s="49"/>
      <c r="AB973" s="49"/>
      <c r="AC973" s="49"/>
      <c r="AD973" s="113"/>
      <c r="AE973" s="49"/>
      <c r="AF973" s="50"/>
      <c r="AG973" s="50"/>
      <c r="AH973" s="50"/>
      <c r="AI973" s="50"/>
      <c r="AJ973" s="50"/>
      <c r="AK973" s="50"/>
      <c r="AL973" s="50"/>
      <c r="AM973" s="50"/>
      <c r="AN973" s="50"/>
      <c r="AO973" s="9"/>
      <c r="AP973" s="9"/>
    </row>
    <row r="974" spans="1:42" x14ac:dyDescent="0.55000000000000004">
      <c r="A974" t="str">
        <f t="shared" si="15"/>
        <v/>
      </c>
      <c r="C974" s="105"/>
      <c r="D974" s="110"/>
      <c r="E974" s="110"/>
      <c r="F974" s="110"/>
      <c r="G974" s="110"/>
      <c r="H974" s="110"/>
      <c r="I974" s="110"/>
      <c r="J974" s="110"/>
      <c r="K974" s="110"/>
      <c r="L974" s="110"/>
      <c r="M974" s="110"/>
      <c r="N974" s="110"/>
      <c r="O974" s="110"/>
      <c r="P974" s="110"/>
      <c r="Q974" s="110"/>
      <c r="R974" s="110"/>
      <c r="S974" s="110"/>
      <c r="T974" s="110"/>
      <c r="U974" s="49"/>
      <c r="V974" s="49"/>
      <c r="W974" s="49"/>
      <c r="X974" s="49"/>
      <c r="Y974" s="49"/>
      <c r="Z974" s="49"/>
      <c r="AA974" s="49"/>
      <c r="AB974" s="49"/>
      <c r="AC974" s="49"/>
      <c r="AD974" s="113"/>
      <c r="AE974" s="49"/>
      <c r="AF974" s="50"/>
      <c r="AG974" s="50"/>
      <c r="AH974" s="50"/>
      <c r="AI974" s="50"/>
      <c r="AJ974" s="50"/>
      <c r="AK974" s="50"/>
      <c r="AL974" s="50"/>
      <c r="AM974" s="50"/>
      <c r="AN974" s="50"/>
      <c r="AO974" s="9"/>
      <c r="AP974" s="9"/>
    </row>
    <row r="975" spans="1:42" x14ac:dyDescent="0.55000000000000004">
      <c r="A975" t="str">
        <f t="shared" si="15"/>
        <v/>
      </c>
      <c r="C975" s="105"/>
      <c r="D975" s="110"/>
      <c r="E975" s="110"/>
      <c r="F975" s="110"/>
      <c r="G975" s="110"/>
      <c r="H975" s="110"/>
      <c r="I975" s="110"/>
      <c r="J975" s="110"/>
      <c r="K975" s="110"/>
      <c r="L975" s="110"/>
      <c r="M975" s="110"/>
      <c r="N975" s="110"/>
      <c r="O975" s="110"/>
      <c r="P975" s="110"/>
      <c r="Q975" s="110"/>
      <c r="R975" s="110"/>
      <c r="S975" s="110"/>
      <c r="T975" s="110"/>
      <c r="U975" s="49"/>
      <c r="V975" s="49"/>
      <c r="W975" s="49"/>
      <c r="X975" s="49"/>
      <c r="Y975" s="49"/>
      <c r="Z975" s="49"/>
      <c r="AA975" s="49"/>
      <c r="AB975" s="49"/>
      <c r="AC975" s="49"/>
      <c r="AD975" s="113"/>
      <c r="AE975" s="49"/>
      <c r="AF975" s="50"/>
      <c r="AG975" s="50"/>
      <c r="AH975" s="50"/>
      <c r="AI975" s="50"/>
      <c r="AJ975" s="50"/>
      <c r="AK975" s="50"/>
      <c r="AL975" s="50"/>
      <c r="AM975" s="50"/>
      <c r="AN975" s="50"/>
      <c r="AO975" s="9"/>
      <c r="AP975" s="9"/>
    </row>
    <row r="976" spans="1:42" x14ac:dyDescent="0.55000000000000004">
      <c r="A976" t="str">
        <f t="shared" si="15"/>
        <v/>
      </c>
      <c r="C976" s="105"/>
      <c r="D976" s="110"/>
      <c r="E976" s="110"/>
      <c r="F976" s="110"/>
      <c r="G976" s="110"/>
      <c r="H976" s="110"/>
      <c r="I976" s="110"/>
      <c r="J976" s="110"/>
      <c r="K976" s="110"/>
      <c r="L976" s="110"/>
      <c r="M976" s="110"/>
      <c r="N976" s="110"/>
      <c r="O976" s="110"/>
      <c r="P976" s="110"/>
      <c r="Q976" s="110"/>
      <c r="R976" s="110"/>
      <c r="S976" s="110"/>
      <c r="T976" s="110"/>
      <c r="U976" s="49"/>
      <c r="V976" s="49"/>
      <c r="W976" s="49"/>
      <c r="X976" s="49"/>
      <c r="Y976" s="49"/>
      <c r="Z976" s="49"/>
      <c r="AA976" s="49"/>
      <c r="AB976" s="49"/>
      <c r="AC976" s="49"/>
      <c r="AD976" s="113"/>
      <c r="AE976" s="49"/>
      <c r="AF976" s="50"/>
      <c r="AG976" s="50"/>
      <c r="AH976" s="50"/>
      <c r="AI976" s="50"/>
      <c r="AJ976" s="50"/>
      <c r="AK976" s="50"/>
      <c r="AL976" s="50"/>
      <c r="AM976" s="50"/>
      <c r="AN976" s="50"/>
      <c r="AO976" s="9"/>
      <c r="AP976" s="9"/>
    </row>
    <row r="977" spans="1:42" x14ac:dyDescent="0.55000000000000004">
      <c r="A977" t="str">
        <f t="shared" si="15"/>
        <v/>
      </c>
      <c r="C977" s="105"/>
      <c r="D977" s="110"/>
      <c r="E977" s="110"/>
      <c r="F977" s="110"/>
      <c r="G977" s="110"/>
      <c r="H977" s="110"/>
      <c r="I977" s="110"/>
      <c r="J977" s="110"/>
      <c r="K977" s="110"/>
      <c r="L977" s="110"/>
      <c r="M977" s="110"/>
      <c r="N977" s="110"/>
      <c r="O977" s="110"/>
      <c r="P977" s="110"/>
      <c r="Q977" s="110"/>
      <c r="R977" s="110"/>
      <c r="S977" s="110"/>
      <c r="T977" s="110"/>
      <c r="U977" s="49"/>
      <c r="V977" s="49"/>
      <c r="W977" s="49"/>
      <c r="X977" s="49"/>
      <c r="Y977" s="49"/>
      <c r="Z977" s="49"/>
      <c r="AA977" s="49"/>
      <c r="AB977" s="49"/>
      <c r="AC977" s="49"/>
      <c r="AD977" s="113"/>
      <c r="AE977" s="49"/>
      <c r="AF977" s="50"/>
      <c r="AG977" s="50"/>
      <c r="AH977" s="50"/>
      <c r="AI977" s="50"/>
      <c r="AJ977" s="50"/>
      <c r="AK977" s="50"/>
      <c r="AL977" s="50"/>
      <c r="AM977" s="50"/>
      <c r="AN977" s="50"/>
      <c r="AO977" s="9"/>
      <c r="AP977" s="9"/>
    </row>
    <row r="978" spans="1:42" x14ac:dyDescent="0.55000000000000004">
      <c r="A978" t="str">
        <f t="shared" si="15"/>
        <v/>
      </c>
      <c r="C978" s="105"/>
      <c r="D978" s="110"/>
      <c r="E978" s="110"/>
      <c r="F978" s="110"/>
      <c r="G978" s="110"/>
      <c r="H978" s="110"/>
      <c r="I978" s="110"/>
      <c r="J978" s="110"/>
      <c r="K978" s="110"/>
      <c r="L978" s="110"/>
      <c r="M978" s="110"/>
      <c r="N978" s="110"/>
      <c r="O978" s="110"/>
      <c r="P978" s="110"/>
      <c r="Q978" s="110"/>
      <c r="R978" s="110"/>
      <c r="S978" s="110"/>
      <c r="T978" s="110"/>
      <c r="U978" s="49"/>
      <c r="V978" s="49"/>
      <c r="W978" s="49"/>
      <c r="X978" s="49"/>
      <c r="Y978" s="49"/>
      <c r="Z978" s="49"/>
      <c r="AA978" s="49"/>
      <c r="AB978" s="49"/>
      <c r="AC978" s="49"/>
      <c r="AD978" s="113"/>
      <c r="AE978" s="49"/>
      <c r="AF978" s="50"/>
      <c r="AG978" s="50"/>
      <c r="AH978" s="50"/>
      <c r="AI978" s="50"/>
      <c r="AJ978" s="50"/>
      <c r="AK978" s="50"/>
      <c r="AL978" s="50"/>
      <c r="AM978" s="50"/>
      <c r="AN978" s="50"/>
      <c r="AO978" s="9"/>
      <c r="AP978" s="9"/>
    </row>
    <row r="979" spans="1:42" x14ac:dyDescent="0.55000000000000004">
      <c r="A979" t="str">
        <f t="shared" si="15"/>
        <v/>
      </c>
      <c r="C979" s="105"/>
      <c r="D979" s="110"/>
      <c r="E979" s="110"/>
      <c r="F979" s="110"/>
      <c r="G979" s="110"/>
      <c r="H979" s="110"/>
      <c r="I979" s="110"/>
      <c r="J979" s="110"/>
      <c r="K979" s="110"/>
      <c r="L979" s="110"/>
      <c r="M979" s="110"/>
      <c r="N979" s="110"/>
      <c r="O979" s="110"/>
      <c r="P979" s="110"/>
      <c r="Q979" s="110"/>
      <c r="R979" s="110"/>
      <c r="S979" s="110"/>
      <c r="T979" s="110"/>
      <c r="U979" s="49"/>
      <c r="V979" s="49"/>
      <c r="W979" s="49"/>
      <c r="X979" s="49"/>
      <c r="Y979" s="49"/>
      <c r="Z979" s="49"/>
      <c r="AA979" s="49"/>
      <c r="AB979" s="49"/>
      <c r="AC979" s="49"/>
      <c r="AD979" s="113"/>
      <c r="AE979" s="49"/>
      <c r="AF979" s="50"/>
      <c r="AG979" s="50"/>
      <c r="AH979" s="50"/>
      <c r="AI979" s="50"/>
      <c r="AJ979" s="50"/>
      <c r="AK979" s="50"/>
      <c r="AL979" s="50"/>
      <c r="AM979" s="50"/>
      <c r="AN979" s="50"/>
      <c r="AO979" s="9"/>
      <c r="AP979" s="9"/>
    </row>
    <row r="980" spans="1:42" x14ac:dyDescent="0.55000000000000004">
      <c r="A980" t="str">
        <f t="shared" si="15"/>
        <v/>
      </c>
      <c r="C980" s="105"/>
      <c r="D980" s="110"/>
      <c r="E980" s="110"/>
      <c r="F980" s="110"/>
      <c r="G980" s="110"/>
      <c r="H980" s="110"/>
      <c r="I980" s="110"/>
      <c r="J980" s="110"/>
      <c r="K980" s="110"/>
      <c r="L980" s="110"/>
      <c r="M980" s="110"/>
      <c r="N980" s="110"/>
      <c r="O980" s="110"/>
      <c r="P980" s="110"/>
      <c r="Q980" s="110"/>
      <c r="R980" s="110"/>
      <c r="S980" s="110"/>
      <c r="T980" s="110"/>
      <c r="U980" s="49"/>
      <c r="V980" s="49"/>
      <c r="W980" s="49"/>
      <c r="X980" s="49"/>
      <c r="Y980" s="49"/>
      <c r="Z980" s="49"/>
      <c r="AA980" s="49"/>
      <c r="AB980" s="49"/>
      <c r="AC980" s="49"/>
      <c r="AD980" s="113"/>
      <c r="AE980" s="49"/>
      <c r="AF980" s="50"/>
      <c r="AG980" s="50"/>
      <c r="AH980" s="50"/>
      <c r="AI980" s="50"/>
      <c r="AJ980" s="50"/>
      <c r="AK980" s="50"/>
      <c r="AL980" s="50"/>
      <c r="AM980" s="50"/>
      <c r="AN980" s="50"/>
      <c r="AO980" s="9"/>
      <c r="AP980" s="9"/>
    </row>
    <row r="981" spans="1:42" x14ac:dyDescent="0.55000000000000004">
      <c r="A981" t="str">
        <f t="shared" si="15"/>
        <v/>
      </c>
      <c r="C981" s="105"/>
      <c r="D981" s="110"/>
      <c r="E981" s="110"/>
      <c r="F981" s="110"/>
      <c r="G981" s="110"/>
      <c r="H981" s="110"/>
      <c r="I981" s="110"/>
      <c r="J981" s="110"/>
      <c r="K981" s="110"/>
      <c r="L981" s="110"/>
      <c r="M981" s="110"/>
      <c r="N981" s="110"/>
      <c r="O981" s="110"/>
      <c r="P981" s="110"/>
      <c r="Q981" s="110"/>
      <c r="R981" s="110"/>
      <c r="S981" s="110"/>
      <c r="T981" s="110"/>
      <c r="U981" s="49"/>
      <c r="V981" s="49"/>
      <c r="W981" s="49"/>
      <c r="X981" s="49"/>
      <c r="Y981" s="49"/>
      <c r="Z981" s="49"/>
      <c r="AA981" s="49"/>
      <c r="AB981" s="49"/>
      <c r="AC981" s="49"/>
      <c r="AD981" s="113"/>
      <c r="AE981" s="49"/>
      <c r="AF981" s="50"/>
      <c r="AG981" s="50"/>
      <c r="AH981" s="50"/>
      <c r="AI981" s="50"/>
      <c r="AJ981" s="50"/>
      <c r="AK981" s="50"/>
      <c r="AL981" s="50"/>
      <c r="AM981" s="50"/>
      <c r="AN981" s="50"/>
      <c r="AO981" s="9"/>
      <c r="AP981" s="9"/>
    </row>
    <row r="982" spans="1:42" x14ac:dyDescent="0.55000000000000004">
      <c r="A982" t="str">
        <f t="shared" si="15"/>
        <v/>
      </c>
      <c r="C982" s="105"/>
      <c r="D982" s="110"/>
      <c r="E982" s="110"/>
      <c r="F982" s="110"/>
      <c r="G982" s="110"/>
      <c r="H982" s="110"/>
      <c r="I982" s="110"/>
      <c r="J982" s="110"/>
      <c r="K982" s="110"/>
      <c r="L982" s="110"/>
      <c r="M982" s="110"/>
      <c r="N982" s="110"/>
      <c r="O982" s="110"/>
      <c r="P982" s="110"/>
      <c r="Q982" s="110"/>
      <c r="R982" s="110"/>
      <c r="S982" s="110"/>
      <c r="T982" s="110"/>
      <c r="U982" s="49"/>
      <c r="V982" s="49"/>
      <c r="W982" s="49"/>
      <c r="X982" s="49"/>
      <c r="Y982" s="49"/>
      <c r="Z982" s="49"/>
      <c r="AA982" s="49"/>
      <c r="AB982" s="49"/>
      <c r="AC982" s="49"/>
      <c r="AD982" s="113"/>
      <c r="AE982" s="49"/>
      <c r="AF982" s="50"/>
      <c r="AG982" s="50"/>
      <c r="AH982" s="50"/>
      <c r="AI982" s="50"/>
      <c r="AJ982" s="50"/>
      <c r="AK982" s="50"/>
      <c r="AL982" s="50"/>
      <c r="AM982" s="50"/>
      <c r="AN982" s="50"/>
      <c r="AO982" s="9"/>
      <c r="AP982" s="9"/>
    </row>
    <row r="983" spans="1:42" x14ac:dyDescent="0.55000000000000004">
      <c r="A983" t="str">
        <f t="shared" si="15"/>
        <v/>
      </c>
      <c r="C983" s="105"/>
      <c r="D983" s="110"/>
      <c r="E983" s="110"/>
      <c r="F983" s="110"/>
      <c r="G983" s="110"/>
      <c r="H983" s="110"/>
      <c r="I983" s="110"/>
      <c r="J983" s="110"/>
      <c r="K983" s="110"/>
      <c r="L983" s="110"/>
      <c r="M983" s="110"/>
      <c r="N983" s="110"/>
      <c r="O983" s="110"/>
      <c r="P983" s="110"/>
      <c r="Q983" s="110"/>
      <c r="R983" s="110"/>
      <c r="S983" s="110"/>
      <c r="T983" s="110"/>
      <c r="U983" s="49"/>
      <c r="V983" s="49"/>
      <c r="W983" s="49"/>
      <c r="X983" s="49"/>
      <c r="Y983" s="49"/>
      <c r="Z983" s="49"/>
      <c r="AA983" s="49"/>
      <c r="AB983" s="49"/>
      <c r="AC983" s="49"/>
      <c r="AD983" s="113"/>
      <c r="AE983" s="49"/>
      <c r="AF983" s="50"/>
      <c r="AG983" s="50"/>
      <c r="AH983" s="50"/>
      <c r="AI983" s="50"/>
      <c r="AJ983" s="50"/>
      <c r="AK983" s="50"/>
      <c r="AL983" s="50"/>
      <c r="AM983" s="50"/>
      <c r="AN983" s="50"/>
      <c r="AO983" s="9"/>
      <c r="AP983" s="9"/>
    </row>
    <row r="984" spans="1:42" x14ac:dyDescent="0.55000000000000004">
      <c r="A984" t="str">
        <f t="shared" si="15"/>
        <v/>
      </c>
      <c r="C984" s="105"/>
      <c r="D984" s="110"/>
      <c r="E984" s="110"/>
      <c r="F984" s="110"/>
      <c r="G984" s="110"/>
      <c r="H984" s="110"/>
      <c r="I984" s="110"/>
      <c r="J984" s="110"/>
      <c r="K984" s="110"/>
      <c r="L984" s="110"/>
      <c r="M984" s="110"/>
      <c r="N984" s="110"/>
      <c r="O984" s="110"/>
      <c r="P984" s="110"/>
      <c r="Q984" s="110"/>
      <c r="R984" s="110"/>
      <c r="S984" s="110"/>
      <c r="T984" s="110"/>
      <c r="U984" s="49"/>
      <c r="V984" s="49"/>
      <c r="W984" s="49"/>
      <c r="X984" s="49"/>
      <c r="Y984" s="49"/>
      <c r="Z984" s="49"/>
      <c r="AA984" s="49"/>
      <c r="AB984" s="49"/>
      <c r="AC984" s="49"/>
      <c r="AD984" s="113"/>
      <c r="AE984" s="49"/>
      <c r="AF984" s="50"/>
      <c r="AG984" s="50"/>
      <c r="AH984" s="50"/>
      <c r="AI984" s="50"/>
      <c r="AJ984" s="50"/>
      <c r="AK984" s="50"/>
      <c r="AL984" s="50"/>
      <c r="AM984" s="50"/>
      <c r="AN984" s="50"/>
      <c r="AO984" s="9"/>
      <c r="AP984" s="9"/>
    </row>
    <row r="985" spans="1:42" x14ac:dyDescent="0.55000000000000004">
      <c r="A985" t="str">
        <f t="shared" si="15"/>
        <v/>
      </c>
      <c r="C985" s="105"/>
      <c r="D985" s="110"/>
      <c r="E985" s="110"/>
      <c r="F985" s="110"/>
      <c r="G985" s="110"/>
      <c r="H985" s="110"/>
      <c r="I985" s="110"/>
      <c r="J985" s="110"/>
      <c r="K985" s="110"/>
      <c r="L985" s="110"/>
      <c r="M985" s="110"/>
      <c r="N985" s="110"/>
      <c r="O985" s="110"/>
      <c r="P985" s="110"/>
      <c r="Q985" s="110"/>
      <c r="R985" s="110"/>
      <c r="S985" s="110"/>
      <c r="T985" s="110"/>
      <c r="U985" s="49"/>
      <c r="V985" s="49"/>
      <c r="W985" s="49"/>
      <c r="X985" s="49"/>
      <c r="Y985" s="49"/>
      <c r="Z985" s="49"/>
      <c r="AA985" s="49"/>
      <c r="AB985" s="49"/>
      <c r="AC985" s="49"/>
      <c r="AD985" s="113"/>
      <c r="AE985" s="49"/>
      <c r="AF985" s="50"/>
      <c r="AG985" s="50"/>
      <c r="AH985" s="50"/>
      <c r="AI985" s="50"/>
      <c r="AJ985" s="50"/>
      <c r="AK985" s="50"/>
      <c r="AL985" s="50"/>
      <c r="AM985" s="50"/>
      <c r="AN985" s="50"/>
      <c r="AO985" s="9"/>
      <c r="AP985" s="9"/>
    </row>
    <row r="986" spans="1:42" x14ac:dyDescent="0.55000000000000004">
      <c r="A986" t="str">
        <f t="shared" si="15"/>
        <v/>
      </c>
      <c r="C986" s="105"/>
      <c r="D986" s="110"/>
      <c r="E986" s="110"/>
      <c r="F986" s="110"/>
      <c r="G986" s="110"/>
      <c r="H986" s="110"/>
      <c r="I986" s="110"/>
      <c r="J986" s="110"/>
      <c r="K986" s="110"/>
      <c r="L986" s="110"/>
      <c r="M986" s="110"/>
      <c r="N986" s="110"/>
      <c r="O986" s="110"/>
      <c r="P986" s="110"/>
      <c r="Q986" s="110"/>
      <c r="R986" s="110"/>
      <c r="S986" s="110"/>
      <c r="T986" s="110"/>
      <c r="U986" s="49"/>
      <c r="V986" s="49"/>
      <c r="W986" s="49"/>
      <c r="X986" s="49"/>
      <c r="Y986" s="49"/>
      <c r="Z986" s="49"/>
      <c r="AA986" s="49"/>
      <c r="AB986" s="49"/>
      <c r="AC986" s="49"/>
      <c r="AD986" s="113"/>
      <c r="AE986" s="49"/>
      <c r="AF986" s="50"/>
      <c r="AG986" s="50"/>
      <c r="AH986" s="50"/>
      <c r="AI986" s="50"/>
      <c r="AJ986" s="50"/>
      <c r="AK986" s="50"/>
      <c r="AL986" s="50"/>
      <c r="AM986" s="50"/>
      <c r="AN986" s="50"/>
      <c r="AO986" s="9"/>
      <c r="AP986" s="9"/>
    </row>
    <row r="987" spans="1:42" x14ac:dyDescent="0.55000000000000004">
      <c r="A987" t="str">
        <f t="shared" si="15"/>
        <v/>
      </c>
      <c r="C987" s="105"/>
      <c r="D987" s="110"/>
      <c r="E987" s="110"/>
      <c r="F987" s="110"/>
      <c r="G987" s="110"/>
      <c r="H987" s="110"/>
      <c r="I987" s="110"/>
      <c r="J987" s="110"/>
      <c r="K987" s="110"/>
      <c r="L987" s="110"/>
      <c r="M987" s="110"/>
      <c r="N987" s="110"/>
      <c r="O987" s="110"/>
      <c r="P987" s="110"/>
      <c r="Q987" s="110"/>
      <c r="R987" s="110"/>
      <c r="S987" s="110"/>
      <c r="T987" s="110"/>
      <c r="U987" s="49"/>
      <c r="V987" s="49"/>
      <c r="W987" s="49"/>
      <c r="X987" s="49"/>
      <c r="Y987" s="49"/>
      <c r="Z987" s="49"/>
      <c r="AA987" s="49"/>
      <c r="AB987" s="49"/>
      <c r="AC987" s="49"/>
      <c r="AD987" s="113"/>
      <c r="AE987" s="49"/>
      <c r="AF987" s="50"/>
      <c r="AG987" s="50"/>
      <c r="AH987" s="50"/>
      <c r="AI987" s="50"/>
      <c r="AJ987" s="50"/>
      <c r="AK987" s="50"/>
      <c r="AL987" s="50"/>
      <c r="AM987" s="50"/>
      <c r="AN987" s="50"/>
      <c r="AO987" s="9"/>
      <c r="AP987" s="9"/>
    </row>
    <row r="988" spans="1:42" x14ac:dyDescent="0.55000000000000004">
      <c r="A988" t="str">
        <f t="shared" si="15"/>
        <v/>
      </c>
      <c r="C988" s="105"/>
      <c r="D988" s="110"/>
      <c r="E988" s="110"/>
      <c r="F988" s="110"/>
      <c r="G988" s="110"/>
      <c r="H988" s="110"/>
      <c r="I988" s="110"/>
      <c r="J988" s="110"/>
      <c r="K988" s="110"/>
      <c r="L988" s="110"/>
      <c r="M988" s="110"/>
      <c r="N988" s="110"/>
      <c r="O988" s="110"/>
      <c r="P988" s="110"/>
      <c r="Q988" s="110"/>
      <c r="R988" s="110"/>
      <c r="S988" s="110"/>
      <c r="T988" s="110"/>
      <c r="U988" s="49"/>
      <c r="V988" s="49"/>
      <c r="W988" s="49"/>
      <c r="X988" s="49"/>
      <c r="Y988" s="49"/>
      <c r="Z988" s="49"/>
      <c r="AA988" s="49"/>
      <c r="AB988" s="49"/>
      <c r="AC988" s="49"/>
      <c r="AD988" s="113"/>
      <c r="AE988" s="49"/>
      <c r="AF988" s="50"/>
      <c r="AG988" s="50"/>
      <c r="AH988" s="50"/>
      <c r="AI988" s="50"/>
      <c r="AJ988" s="50"/>
      <c r="AK988" s="50"/>
      <c r="AL988" s="50"/>
      <c r="AM988" s="50"/>
      <c r="AN988" s="50"/>
      <c r="AO988" s="9"/>
      <c r="AP988" s="9"/>
    </row>
    <row r="989" spans="1:42" x14ac:dyDescent="0.55000000000000004">
      <c r="A989" t="str">
        <f t="shared" si="15"/>
        <v/>
      </c>
      <c r="C989" s="105"/>
      <c r="D989" s="110"/>
      <c r="E989" s="110"/>
      <c r="F989" s="110"/>
      <c r="G989" s="110"/>
      <c r="H989" s="110"/>
      <c r="I989" s="110"/>
      <c r="J989" s="110"/>
      <c r="K989" s="110"/>
      <c r="L989" s="110"/>
      <c r="M989" s="110"/>
      <c r="N989" s="110"/>
      <c r="O989" s="110"/>
      <c r="P989" s="110"/>
      <c r="Q989" s="110"/>
      <c r="R989" s="110"/>
      <c r="S989" s="110"/>
      <c r="T989" s="110"/>
      <c r="U989" s="49"/>
      <c r="V989" s="49"/>
      <c r="W989" s="49"/>
      <c r="X989" s="49"/>
      <c r="Y989" s="49"/>
      <c r="Z989" s="49"/>
      <c r="AA989" s="49"/>
      <c r="AB989" s="49"/>
      <c r="AC989" s="49"/>
      <c r="AD989" s="113"/>
      <c r="AE989" s="49"/>
      <c r="AF989" s="50"/>
      <c r="AG989" s="50"/>
      <c r="AH989" s="50"/>
      <c r="AI989" s="50"/>
      <c r="AJ989" s="50"/>
      <c r="AK989" s="50"/>
      <c r="AL989" s="50"/>
      <c r="AM989" s="50"/>
      <c r="AN989" s="50"/>
      <c r="AO989" s="9"/>
      <c r="AP989" s="9"/>
    </row>
    <row r="990" spans="1:42" x14ac:dyDescent="0.55000000000000004">
      <c r="A990" t="str">
        <f t="shared" si="15"/>
        <v/>
      </c>
      <c r="C990" s="105"/>
      <c r="D990" s="110"/>
      <c r="E990" s="110"/>
      <c r="F990" s="110"/>
      <c r="G990" s="110"/>
      <c r="H990" s="110"/>
      <c r="I990" s="110"/>
      <c r="J990" s="110"/>
      <c r="K990" s="110"/>
      <c r="L990" s="110"/>
      <c r="M990" s="110"/>
      <c r="N990" s="110"/>
      <c r="O990" s="110"/>
      <c r="P990" s="110"/>
      <c r="Q990" s="110"/>
      <c r="R990" s="110"/>
      <c r="S990" s="110"/>
      <c r="T990" s="110"/>
      <c r="U990" s="49"/>
      <c r="V990" s="49"/>
      <c r="W990" s="49"/>
      <c r="X990" s="49"/>
      <c r="Y990" s="49"/>
      <c r="Z990" s="49"/>
      <c r="AA990" s="49"/>
      <c r="AB990" s="49"/>
      <c r="AC990" s="49"/>
      <c r="AD990" s="113"/>
      <c r="AE990" s="49"/>
      <c r="AF990" s="50"/>
      <c r="AG990" s="50"/>
      <c r="AH990" s="50"/>
      <c r="AI990" s="50"/>
      <c r="AJ990" s="50"/>
      <c r="AK990" s="50"/>
      <c r="AL990" s="50"/>
      <c r="AM990" s="50"/>
      <c r="AN990" s="50"/>
      <c r="AO990" s="9"/>
      <c r="AP990" s="9"/>
    </row>
    <row r="991" spans="1:42" x14ac:dyDescent="0.55000000000000004">
      <c r="A991" t="str">
        <f t="shared" si="15"/>
        <v/>
      </c>
      <c r="C991" s="105"/>
      <c r="D991" s="110"/>
      <c r="E991" s="110"/>
      <c r="F991" s="110"/>
      <c r="G991" s="110"/>
      <c r="H991" s="110"/>
      <c r="I991" s="110"/>
      <c r="J991" s="110"/>
      <c r="K991" s="110"/>
      <c r="L991" s="110"/>
      <c r="M991" s="110"/>
      <c r="N991" s="110"/>
      <c r="O991" s="110"/>
      <c r="P991" s="110"/>
      <c r="Q991" s="110"/>
      <c r="R991" s="110"/>
      <c r="S991" s="110"/>
      <c r="T991" s="110"/>
      <c r="U991" s="49"/>
      <c r="V991" s="49"/>
      <c r="W991" s="49"/>
      <c r="X991" s="49"/>
      <c r="Y991" s="49"/>
      <c r="Z991" s="49"/>
      <c r="AA991" s="49"/>
      <c r="AB991" s="49"/>
      <c r="AC991" s="49"/>
      <c r="AD991" s="113"/>
      <c r="AE991" s="49"/>
      <c r="AF991" s="50"/>
      <c r="AG991" s="50"/>
      <c r="AH991" s="50"/>
      <c r="AI991" s="50"/>
      <c r="AJ991" s="50"/>
      <c r="AK991" s="50"/>
      <c r="AL991" s="50"/>
      <c r="AM991" s="50"/>
      <c r="AN991" s="50"/>
      <c r="AO991" s="9"/>
      <c r="AP991" s="9"/>
    </row>
    <row r="992" spans="1:42" x14ac:dyDescent="0.55000000000000004">
      <c r="A992" t="str">
        <f t="shared" si="15"/>
        <v/>
      </c>
      <c r="C992" s="105"/>
      <c r="D992" s="110"/>
      <c r="E992" s="110"/>
      <c r="F992" s="110"/>
      <c r="G992" s="110"/>
      <c r="H992" s="110"/>
      <c r="I992" s="110"/>
      <c r="J992" s="110"/>
      <c r="K992" s="110"/>
      <c r="L992" s="110"/>
      <c r="M992" s="110"/>
      <c r="N992" s="110"/>
      <c r="O992" s="110"/>
      <c r="P992" s="110"/>
      <c r="Q992" s="110"/>
      <c r="R992" s="110"/>
      <c r="S992" s="110"/>
      <c r="T992" s="110"/>
      <c r="U992" s="49"/>
      <c r="V992" s="49"/>
      <c r="W992" s="49"/>
      <c r="X992" s="49"/>
      <c r="Y992" s="49"/>
      <c r="Z992" s="49"/>
      <c r="AA992" s="49"/>
      <c r="AB992" s="49"/>
      <c r="AC992" s="49"/>
      <c r="AD992" s="113"/>
      <c r="AE992" s="49"/>
      <c r="AF992" s="50"/>
      <c r="AG992" s="50"/>
      <c r="AH992" s="50"/>
      <c r="AI992" s="50"/>
      <c r="AJ992" s="50"/>
      <c r="AK992" s="50"/>
      <c r="AL992" s="50"/>
      <c r="AM992" s="50"/>
      <c r="AN992" s="50"/>
      <c r="AO992" s="9"/>
      <c r="AP992" s="9"/>
    </row>
    <row r="993" spans="1:42" x14ac:dyDescent="0.55000000000000004">
      <c r="A993" t="str">
        <f t="shared" si="15"/>
        <v/>
      </c>
      <c r="C993" s="105"/>
      <c r="D993" s="110"/>
      <c r="E993" s="110"/>
      <c r="F993" s="110"/>
      <c r="G993" s="110"/>
      <c r="H993" s="110"/>
      <c r="I993" s="110"/>
      <c r="J993" s="110"/>
      <c r="K993" s="110"/>
      <c r="L993" s="110"/>
      <c r="M993" s="110"/>
      <c r="N993" s="110"/>
      <c r="O993" s="110"/>
      <c r="P993" s="110"/>
      <c r="Q993" s="110"/>
      <c r="R993" s="110"/>
      <c r="S993" s="110"/>
      <c r="T993" s="110"/>
      <c r="U993" s="49"/>
      <c r="V993" s="49"/>
      <c r="W993" s="49"/>
      <c r="X993" s="49"/>
      <c r="Y993" s="49"/>
      <c r="Z993" s="49"/>
      <c r="AA993" s="49"/>
      <c r="AB993" s="49"/>
      <c r="AC993" s="49"/>
      <c r="AD993" s="113"/>
      <c r="AE993" s="49"/>
      <c r="AF993" s="50"/>
      <c r="AG993" s="50"/>
      <c r="AH993" s="50"/>
      <c r="AI993" s="50"/>
      <c r="AJ993" s="50"/>
      <c r="AK993" s="50"/>
      <c r="AL993" s="50"/>
      <c r="AM993" s="50"/>
      <c r="AN993" s="50"/>
      <c r="AO993" s="9"/>
      <c r="AP993" s="9"/>
    </row>
    <row r="994" spans="1:42" x14ac:dyDescent="0.55000000000000004">
      <c r="A994" t="str">
        <f t="shared" si="15"/>
        <v/>
      </c>
      <c r="C994" s="105"/>
      <c r="D994" s="110"/>
      <c r="E994" s="110"/>
      <c r="F994" s="110"/>
      <c r="G994" s="110"/>
      <c r="H994" s="110"/>
      <c r="I994" s="110"/>
      <c r="J994" s="110"/>
      <c r="K994" s="110"/>
      <c r="L994" s="110"/>
      <c r="M994" s="110"/>
      <c r="N994" s="110"/>
      <c r="O994" s="110"/>
      <c r="P994" s="110"/>
      <c r="Q994" s="110"/>
      <c r="R994" s="110"/>
      <c r="S994" s="110"/>
      <c r="T994" s="110"/>
      <c r="U994" s="49"/>
      <c r="V994" s="49"/>
      <c r="W994" s="49"/>
      <c r="X994" s="49"/>
      <c r="Y994" s="49"/>
      <c r="Z994" s="49"/>
      <c r="AA994" s="49"/>
      <c r="AB994" s="49"/>
      <c r="AC994" s="49"/>
      <c r="AD994" s="113"/>
      <c r="AE994" s="49"/>
      <c r="AF994" s="50"/>
      <c r="AG994" s="50"/>
      <c r="AH994" s="50"/>
      <c r="AI994" s="50"/>
      <c r="AJ994" s="50"/>
      <c r="AK994" s="50"/>
      <c r="AL994" s="50"/>
      <c r="AM994" s="50"/>
      <c r="AN994" s="50"/>
      <c r="AO994" s="9"/>
      <c r="AP994" s="9"/>
    </row>
    <row r="995" spans="1:42" x14ac:dyDescent="0.55000000000000004">
      <c r="A995" t="str">
        <f t="shared" si="15"/>
        <v/>
      </c>
      <c r="C995" s="105"/>
      <c r="D995" s="110"/>
      <c r="E995" s="110"/>
      <c r="F995" s="110"/>
      <c r="G995" s="110"/>
      <c r="H995" s="110"/>
      <c r="I995" s="110"/>
      <c r="J995" s="110"/>
      <c r="K995" s="110"/>
      <c r="L995" s="110"/>
      <c r="M995" s="110"/>
      <c r="N995" s="110"/>
      <c r="O995" s="110"/>
      <c r="P995" s="110"/>
      <c r="Q995" s="110"/>
      <c r="R995" s="110"/>
      <c r="S995" s="110"/>
      <c r="T995" s="110"/>
      <c r="U995" s="49"/>
      <c r="V995" s="49"/>
      <c r="W995" s="49"/>
      <c r="X995" s="49"/>
      <c r="Y995" s="49"/>
      <c r="Z995" s="49"/>
      <c r="AA995" s="49"/>
      <c r="AB995" s="49"/>
      <c r="AC995" s="49"/>
      <c r="AD995" s="113"/>
      <c r="AE995" s="49"/>
      <c r="AF995" s="50"/>
      <c r="AG995" s="50"/>
      <c r="AH995" s="50"/>
      <c r="AI995" s="50"/>
      <c r="AJ995" s="50"/>
      <c r="AK995" s="50"/>
      <c r="AL995" s="50"/>
      <c r="AM995" s="50"/>
      <c r="AN995" s="50"/>
      <c r="AO995" s="9"/>
      <c r="AP995" s="9"/>
    </row>
    <row r="996" spans="1:42" x14ac:dyDescent="0.55000000000000004">
      <c r="A996" t="str">
        <f t="shared" si="15"/>
        <v/>
      </c>
      <c r="C996" s="105"/>
      <c r="D996" s="110"/>
      <c r="E996" s="110"/>
      <c r="F996" s="110"/>
      <c r="G996" s="110"/>
      <c r="H996" s="110"/>
      <c r="I996" s="110"/>
      <c r="J996" s="110"/>
      <c r="K996" s="110"/>
      <c r="L996" s="110"/>
      <c r="M996" s="110"/>
      <c r="N996" s="110"/>
      <c r="O996" s="110"/>
      <c r="P996" s="110"/>
      <c r="Q996" s="110"/>
      <c r="R996" s="110"/>
      <c r="S996" s="110"/>
      <c r="T996" s="110"/>
      <c r="U996" s="49"/>
      <c r="V996" s="49"/>
      <c r="W996" s="49"/>
      <c r="X996" s="49"/>
      <c r="Y996" s="49"/>
      <c r="Z996" s="49"/>
      <c r="AA996" s="49"/>
      <c r="AB996" s="49"/>
      <c r="AC996" s="49"/>
      <c r="AD996" s="113"/>
      <c r="AE996" s="49"/>
      <c r="AF996" s="50"/>
      <c r="AG996" s="50"/>
      <c r="AH996" s="50"/>
      <c r="AI996" s="50"/>
      <c r="AJ996" s="50"/>
      <c r="AK996" s="50"/>
      <c r="AL996" s="50"/>
      <c r="AM996" s="50"/>
      <c r="AN996" s="50"/>
      <c r="AO996" s="9"/>
      <c r="AP996" s="9"/>
    </row>
    <row r="997" spans="1:42" x14ac:dyDescent="0.55000000000000004">
      <c r="A997" t="str">
        <f t="shared" si="15"/>
        <v/>
      </c>
      <c r="C997" s="105"/>
      <c r="D997" s="110"/>
      <c r="E997" s="110"/>
      <c r="F997" s="110"/>
      <c r="G997" s="110"/>
      <c r="H997" s="110"/>
      <c r="I997" s="110"/>
      <c r="J997" s="110"/>
      <c r="K997" s="110"/>
      <c r="L997" s="110"/>
      <c r="M997" s="110"/>
      <c r="N997" s="110"/>
      <c r="O997" s="110"/>
      <c r="P997" s="110"/>
      <c r="Q997" s="110"/>
      <c r="R997" s="110"/>
      <c r="S997" s="110"/>
      <c r="T997" s="110"/>
      <c r="U997" s="49"/>
      <c r="V997" s="49"/>
      <c r="W997" s="49"/>
      <c r="X997" s="49"/>
      <c r="Y997" s="49"/>
      <c r="Z997" s="49"/>
      <c r="AA997" s="49"/>
      <c r="AB997" s="49"/>
      <c r="AC997" s="49"/>
      <c r="AD997" s="113"/>
      <c r="AE997" s="49"/>
      <c r="AF997" s="50"/>
      <c r="AG997" s="50"/>
      <c r="AH997" s="50"/>
      <c r="AI997" s="50"/>
      <c r="AJ997" s="50"/>
      <c r="AK997" s="50"/>
      <c r="AL997" s="50"/>
      <c r="AM997" s="50"/>
      <c r="AN997" s="50"/>
      <c r="AO997" s="9"/>
      <c r="AP997" s="9"/>
    </row>
    <row r="998" spans="1:42" x14ac:dyDescent="0.55000000000000004">
      <c r="A998" t="str">
        <f t="shared" si="15"/>
        <v/>
      </c>
      <c r="C998" s="105"/>
      <c r="D998" s="110"/>
      <c r="E998" s="110"/>
      <c r="F998" s="110"/>
      <c r="G998" s="110"/>
      <c r="H998" s="110"/>
      <c r="I998" s="110"/>
      <c r="J998" s="110"/>
      <c r="K998" s="110"/>
      <c r="L998" s="110"/>
      <c r="M998" s="110"/>
      <c r="N998" s="110"/>
      <c r="O998" s="110"/>
      <c r="P998" s="110"/>
      <c r="Q998" s="110"/>
      <c r="R998" s="110"/>
      <c r="S998" s="110"/>
      <c r="T998" s="110"/>
      <c r="U998" s="49"/>
      <c r="V998" s="49"/>
      <c r="W998" s="49"/>
      <c r="X998" s="49"/>
      <c r="Y998" s="49"/>
      <c r="Z998" s="49"/>
      <c r="AA998" s="49"/>
      <c r="AB998" s="49"/>
      <c r="AC998" s="49"/>
      <c r="AD998" s="113"/>
      <c r="AE998" s="49"/>
      <c r="AF998" s="50"/>
      <c r="AG998" s="50"/>
      <c r="AH998" s="50"/>
      <c r="AI998" s="50"/>
      <c r="AJ998" s="50"/>
      <c r="AK998" s="50"/>
      <c r="AL998" s="50"/>
      <c r="AM998" s="50"/>
      <c r="AN998" s="50"/>
      <c r="AO998" s="9"/>
      <c r="AP998" s="9"/>
    </row>
    <row r="999" spans="1:42" x14ac:dyDescent="0.55000000000000004">
      <c r="A999" t="str">
        <f t="shared" si="15"/>
        <v/>
      </c>
      <c r="C999" s="105"/>
      <c r="D999" s="110"/>
      <c r="E999" s="110"/>
      <c r="F999" s="110"/>
      <c r="G999" s="110"/>
      <c r="H999" s="110"/>
      <c r="I999" s="110"/>
      <c r="J999" s="110"/>
      <c r="K999" s="110"/>
      <c r="L999" s="110"/>
      <c r="M999" s="110"/>
      <c r="N999" s="110"/>
      <c r="O999" s="110"/>
      <c r="P999" s="110"/>
      <c r="Q999" s="110"/>
      <c r="R999" s="110"/>
      <c r="S999" s="110"/>
      <c r="T999" s="110"/>
      <c r="U999" s="49"/>
      <c r="V999" s="49"/>
      <c r="W999" s="49"/>
      <c r="X999" s="49"/>
      <c r="Y999" s="49"/>
      <c r="Z999" s="49"/>
      <c r="AA999" s="49"/>
      <c r="AB999" s="49"/>
      <c r="AC999" s="49"/>
      <c r="AD999" s="113"/>
      <c r="AE999" s="49"/>
      <c r="AF999" s="50"/>
      <c r="AG999" s="50"/>
      <c r="AH999" s="50"/>
      <c r="AI999" s="50"/>
      <c r="AJ999" s="50"/>
      <c r="AK999" s="50"/>
      <c r="AL999" s="50"/>
      <c r="AM999" s="50"/>
      <c r="AN999" s="50"/>
      <c r="AO999" s="9"/>
      <c r="AP999" s="9"/>
    </row>
    <row r="1000" spans="1:42" x14ac:dyDescent="0.55000000000000004">
      <c r="A1000" t="str">
        <f t="shared" si="15"/>
        <v/>
      </c>
      <c r="C1000" s="105"/>
      <c r="D1000" s="110"/>
      <c r="E1000" s="110"/>
      <c r="F1000" s="110"/>
      <c r="G1000" s="110"/>
      <c r="H1000" s="110"/>
      <c r="I1000" s="110"/>
      <c r="J1000" s="110"/>
      <c r="K1000" s="110"/>
      <c r="L1000" s="110"/>
      <c r="M1000" s="110"/>
      <c r="N1000" s="110"/>
      <c r="O1000" s="110"/>
      <c r="P1000" s="110"/>
      <c r="Q1000" s="110"/>
      <c r="R1000" s="110"/>
      <c r="S1000" s="110"/>
      <c r="T1000" s="110"/>
      <c r="U1000" s="49"/>
      <c r="V1000" s="49"/>
      <c r="W1000" s="49"/>
      <c r="X1000" s="49"/>
      <c r="Y1000" s="49"/>
      <c r="Z1000" s="49"/>
      <c r="AA1000" s="49"/>
      <c r="AB1000" s="49"/>
      <c r="AC1000" s="49"/>
      <c r="AD1000" s="113"/>
      <c r="AE1000" s="49"/>
      <c r="AF1000" s="50"/>
      <c r="AG1000" s="50"/>
      <c r="AH1000" s="50"/>
      <c r="AI1000" s="50"/>
      <c r="AJ1000" s="50"/>
      <c r="AK1000" s="50"/>
      <c r="AL1000" s="50"/>
      <c r="AM1000" s="50"/>
      <c r="AN1000" s="50"/>
      <c r="AO1000" s="9"/>
      <c r="AP1000" s="9"/>
    </row>
    <row r="1001" spans="1:42" x14ac:dyDescent="0.55000000000000004">
      <c r="A1001" t="str">
        <f t="shared" si="15"/>
        <v/>
      </c>
      <c r="C1001" s="105"/>
      <c r="D1001" s="110"/>
      <c r="E1001" s="110"/>
      <c r="F1001" s="110"/>
      <c r="G1001" s="110"/>
      <c r="H1001" s="110"/>
      <c r="I1001" s="110"/>
      <c r="J1001" s="110"/>
      <c r="K1001" s="110"/>
      <c r="L1001" s="110"/>
      <c r="M1001" s="110"/>
      <c r="N1001" s="110"/>
      <c r="O1001" s="110"/>
      <c r="P1001" s="110"/>
      <c r="Q1001" s="110"/>
      <c r="R1001" s="110"/>
      <c r="S1001" s="110"/>
      <c r="T1001" s="110"/>
      <c r="U1001" s="49"/>
      <c r="V1001" s="49"/>
      <c r="W1001" s="49"/>
      <c r="X1001" s="49"/>
      <c r="Y1001" s="49"/>
      <c r="Z1001" s="49"/>
      <c r="AA1001" s="49"/>
      <c r="AB1001" s="49"/>
      <c r="AC1001" s="49"/>
      <c r="AD1001" s="113"/>
      <c r="AE1001" s="49"/>
      <c r="AF1001" s="50"/>
      <c r="AG1001" s="50"/>
      <c r="AH1001" s="50"/>
      <c r="AI1001" s="50"/>
      <c r="AJ1001" s="50"/>
      <c r="AK1001" s="50"/>
      <c r="AL1001" s="50"/>
      <c r="AM1001" s="50"/>
      <c r="AN1001" s="50"/>
      <c r="AO1001" s="9"/>
      <c r="AP1001" s="9"/>
    </row>
    <row r="1002" spans="1:42" x14ac:dyDescent="0.55000000000000004">
      <c r="A1002" t="str">
        <f t="shared" si="15"/>
        <v/>
      </c>
      <c r="U1002" s="49"/>
      <c r="V1002" s="49"/>
      <c r="W1002" s="49"/>
      <c r="X1002" s="49"/>
      <c r="Y1002" s="49"/>
      <c r="Z1002" s="49"/>
      <c r="AA1002" s="49"/>
      <c r="AB1002" s="49"/>
      <c r="AC1002" s="49"/>
      <c r="AD1002" s="113"/>
      <c r="AE1002" s="49"/>
      <c r="AF1002" s="50"/>
      <c r="AG1002" s="50"/>
      <c r="AH1002" s="50"/>
      <c r="AI1002" s="50"/>
      <c r="AJ1002" s="50"/>
      <c r="AK1002" s="50"/>
      <c r="AL1002" s="50"/>
      <c r="AM1002" s="50"/>
      <c r="AN1002" s="50"/>
      <c r="AO1002" s="9"/>
      <c r="AP1002" s="9"/>
    </row>
    <row r="1003" spans="1:42" x14ac:dyDescent="0.55000000000000004">
      <c r="A1003" t="str">
        <f t="shared" si="15"/>
        <v/>
      </c>
      <c r="U1003" s="49"/>
      <c r="V1003" s="49"/>
      <c r="W1003" s="49"/>
      <c r="X1003" s="49"/>
      <c r="Y1003" s="49"/>
      <c r="Z1003" s="49"/>
      <c r="AA1003" s="49"/>
      <c r="AB1003" s="49"/>
      <c r="AC1003" s="49"/>
      <c r="AD1003" s="113"/>
      <c r="AE1003" s="49"/>
      <c r="AF1003" s="50"/>
      <c r="AG1003" s="50"/>
      <c r="AH1003" s="50"/>
      <c r="AI1003" s="50"/>
      <c r="AJ1003" s="50"/>
      <c r="AK1003" s="50"/>
      <c r="AL1003" s="50"/>
      <c r="AM1003" s="50"/>
      <c r="AN1003" s="50"/>
      <c r="AO1003" s="9"/>
      <c r="AP1003" s="9"/>
    </row>
    <row r="1004" spans="1:42" x14ac:dyDescent="0.55000000000000004">
      <c r="A1004" t="str">
        <f t="shared" si="15"/>
        <v/>
      </c>
      <c r="U1004" s="49"/>
      <c r="V1004" s="49"/>
      <c r="W1004" s="49"/>
      <c r="X1004" s="49"/>
      <c r="Y1004" s="49"/>
      <c r="Z1004" s="49"/>
      <c r="AA1004" s="49"/>
      <c r="AB1004" s="49"/>
      <c r="AC1004" s="49"/>
      <c r="AD1004" s="113"/>
      <c r="AE1004" s="49"/>
      <c r="AF1004" s="50"/>
      <c r="AG1004" s="50"/>
      <c r="AH1004" s="50"/>
      <c r="AI1004" s="50"/>
      <c r="AJ1004" s="50"/>
      <c r="AK1004" s="50"/>
      <c r="AL1004" s="50"/>
      <c r="AM1004" s="50"/>
      <c r="AN1004" s="50"/>
      <c r="AO1004" s="9"/>
      <c r="AP1004" s="9"/>
    </row>
    <row r="1005" spans="1:42" x14ac:dyDescent="0.55000000000000004">
      <c r="A1005" t="str">
        <f t="shared" si="15"/>
        <v/>
      </c>
      <c r="U1005" s="49"/>
      <c r="V1005" s="49"/>
      <c r="W1005" s="49"/>
      <c r="X1005" s="49"/>
      <c r="Y1005" s="49"/>
      <c r="Z1005" s="49"/>
      <c r="AA1005" s="49"/>
      <c r="AB1005" s="49"/>
      <c r="AC1005" s="49"/>
      <c r="AD1005" s="113"/>
      <c r="AE1005" s="49"/>
      <c r="AF1005" s="50"/>
      <c r="AG1005" s="50"/>
      <c r="AH1005" s="50"/>
      <c r="AI1005" s="50"/>
      <c r="AJ1005" s="50"/>
      <c r="AK1005" s="50"/>
      <c r="AL1005" s="50"/>
      <c r="AM1005" s="50"/>
      <c r="AN1005" s="50"/>
      <c r="AO1005" s="9"/>
      <c r="AP1005" s="9"/>
    </row>
    <row r="1006" spans="1:42" x14ac:dyDescent="0.55000000000000004">
      <c r="A1006" t="str">
        <f t="shared" si="15"/>
        <v/>
      </c>
      <c r="U1006" s="49"/>
      <c r="V1006" s="49"/>
      <c r="W1006" s="49"/>
      <c r="X1006" s="49"/>
      <c r="Y1006" s="49"/>
      <c r="Z1006" s="49"/>
      <c r="AA1006" s="49"/>
      <c r="AB1006" s="49"/>
      <c r="AC1006" s="49"/>
      <c r="AD1006" s="113"/>
      <c r="AE1006" s="49"/>
      <c r="AF1006" s="50"/>
      <c r="AG1006" s="50"/>
      <c r="AH1006" s="50"/>
      <c r="AI1006" s="50"/>
      <c r="AJ1006" s="50"/>
      <c r="AK1006" s="50"/>
      <c r="AL1006" s="50"/>
      <c r="AM1006" s="50"/>
      <c r="AN1006" s="50"/>
      <c r="AO1006" s="9"/>
      <c r="AP1006" s="9"/>
    </row>
    <row r="1007" spans="1:42" x14ac:dyDescent="0.55000000000000004">
      <c r="A1007" t="str">
        <f t="shared" si="15"/>
        <v/>
      </c>
      <c r="U1007" s="49"/>
      <c r="V1007" s="49"/>
      <c r="W1007" s="49"/>
      <c r="X1007" s="49"/>
      <c r="Y1007" s="49"/>
      <c r="Z1007" s="49"/>
      <c r="AA1007" s="49"/>
      <c r="AB1007" s="49"/>
      <c r="AC1007" s="49"/>
      <c r="AD1007" s="113"/>
      <c r="AE1007" s="49"/>
      <c r="AF1007" s="50"/>
      <c r="AG1007" s="50"/>
      <c r="AH1007" s="50"/>
      <c r="AI1007" s="50"/>
      <c r="AJ1007" s="50"/>
      <c r="AK1007" s="50"/>
      <c r="AL1007" s="50"/>
      <c r="AM1007" s="50"/>
      <c r="AN1007" s="50"/>
      <c r="AO1007" s="9"/>
      <c r="AP1007" s="9"/>
    </row>
    <row r="1008" spans="1:42" x14ac:dyDescent="0.55000000000000004">
      <c r="A1008" t="str">
        <f t="shared" si="15"/>
        <v/>
      </c>
      <c r="U1008" s="49"/>
      <c r="V1008" s="49"/>
      <c r="W1008" s="49"/>
      <c r="X1008" s="49"/>
      <c r="Y1008" s="49"/>
      <c r="Z1008" s="49"/>
      <c r="AA1008" s="49"/>
      <c r="AB1008" s="49"/>
      <c r="AC1008" s="49"/>
      <c r="AD1008" s="113"/>
      <c r="AE1008" s="49"/>
      <c r="AF1008" s="50"/>
      <c r="AG1008" s="50"/>
      <c r="AH1008" s="50"/>
      <c r="AI1008" s="50"/>
      <c r="AJ1008" s="50"/>
      <c r="AK1008" s="50"/>
      <c r="AL1008" s="50"/>
      <c r="AM1008" s="50"/>
      <c r="AN1008" s="50"/>
      <c r="AO1008" s="9"/>
      <c r="AP1008" s="9"/>
    </row>
    <row r="1009" spans="1:42" x14ac:dyDescent="0.55000000000000004">
      <c r="A1009" t="str">
        <f t="shared" si="15"/>
        <v/>
      </c>
      <c r="U1009" s="49"/>
      <c r="V1009" s="49"/>
      <c r="W1009" s="49"/>
      <c r="X1009" s="49"/>
      <c r="Y1009" s="49"/>
      <c r="Z1009" s="49"/>
      <c r="AA1009" s="49"/>
      <c r="AB1009" s="49"/>
      <c r="AC1009" s="49"/>
      <c r="AD1009" s="113"/>
      <c r="AE1009" s="49"/>
      <c r="AF1009" s="50"/>
      <c r="AG1009" s="50"/>
      <c r="AH1009" s="50"/>
      <c r="AI1009" s="50"/>
      <c r="AJ1009" s="50"/>
      <c r="AK1009" s="50"/>
      <c r="AL1009" s="50"/>
      <c r="AM1009" s="50"/>
      <c r="AN1009" s="50"/>
      <c r="AO1009" s="9"/>
      <c r="AP1009" s="9"/>
    </row>
    <row r="1010" spans="1:42" x14ac:dyDescent="0.55000000000000004">
      <c r="A1010" t="str">
        <f t="shared" si="15"/>
        <v/>
      </c>
      <c r="U1010" s="49"/>
      <c r="V1010" s="49"/>
      <c r="W1010" s="49"/>
      <c r="X1010" s="49"/>
      <c r="Y1010" s="49"/>
      <c r="Z1010" s="49"/>
      <c r="AA1010" s="49"/>
      <c r="AB1010" s="49"/>
      <c r="AC1010" s="49"/>
      <c r="AD1010" s="113"/>
      <c r="AE1010" s="49"/>
      <c r="AF1010" s="50"/>
      <c r="AG1010" s="50"/>
      <c r="AH1010" s="50"/>
      <c r="AI1010" s="50"/>
      <c r="AJ1010" s="50"/>
      <c r="AK1010" s="50"/>
      <c r="AL1010" s="50"/>
      <c r="AM1010" s="50"/>
      <c r="AN1010" s="50"/>
      <c r="AO1010" s="9"/>
      <c r="AP1010" s="9"/>
    </row>
    <row r="1011" spans="1:42" x14ac:dyDescent="0.55000000000000004">
      <c r="A1011" t="str">
        <f t="shared" si="15"/>
        <v/>
      </c>
      <c r="U1011" s="49"/>
      <c r="V1011" s="49"/>
      <c r="W1011" s="49"/>
      <c r="X1011" s="49"/>
      <c r="Y1011" s="49"/>
      <c r="Z1011" s="49"/>
      <c r="AA1011" s="49"/>
      <c r="AB1011" s="49"/>
      <c r="AC1011" s="49"/>
      <c r="AD1011" s="113"/>
      <c r="AE1011" s="49"/>
      <c r="AF1011" s="50"/>
      <c r="AG1011" s="50"/>
      <c r="AH1011" s="50"/>
      <c r="AI1011" s="50"/>
      <c r="AJ1011" s="50"/>
      <c r="AK1011" s="50"/>
      <c r="AL1011" s="50"/>
      <c r="AM1011" s="50"/>
      <c r="AN1011" s="50"/>
      <c r="AO1011" s="9"/>
      <c r="AP1011" s="9"/>
    </row>
    <row r="1012" spans="1:42" x14ac:dyDescent="0.55000000000000004">
      <c r="A1012" t="str">
        <f t="shared" si="15"/>
        <v/>
      </c>
      <c r="U1012" s="49"/>
      <c r="V1012" s="49"/>
      <c r="W1012" s="49"/>
      <c r="X1012" s="49"/>
      <c r="Y1012" s="49"/>
      <c r="Z1012" s="49"/>
      <c r="AA1012" s="49"/>
      <c r="AB1012" s="49"/>
      <c r="AC1012" s="49"/>
      <c r="AD1012" s="113"/>
      <c r="AE1012" s="49"/>
      <c r="AF1012" s="50"/>
      <c r="AG1012" s="50"/>
      <c r="AH1012" s="50"/>
      <c r="AI1012" s="50"/>
      <c r="AJ1012" s="50"/>
      <c r="AK1012" s="50"/>
      <c r="AL1012" s="50"/>
      <c r="AM1012" s="50"/>
      <c r="AN1012" s="50"/>
      <c r="AO1012" s="9"/>
      <c r="AP1012" s="9"/>
    </row>
    <row r="1013" spans="1:42" x14ac:dyDescent="0.55000000000000004">
      <c r="A1013" t="str">
        <f t="shared" si="15"/>
        <v/>
      </c>
      <c r="U1013" s="49"/>
      <c r="V1013" s="49"/>
      <c r="W1013" s="49"/>
      <c r="X1013" s="49"/>
      <c r="Y1013" s="49"/>
      <c r="Z1013" s="49"/>
      <c r="AA1013" s="49"/>
      <c r="AB1013" s="49"/>
      <c r="AC1013" s="49"/>
      <c r="AD1013" s="113"/>
      <c r="AE1013" s="49"/>
      <c r="AF1013" s="50"/>
      <c r="AG1013" s="50"/>
      <c r="AH1013" s="50"/>
      <c r="AI1013" s="50"/>
      <c r="AJ1013" s="50"/>
      <c r="AK1013" s="50"/>
      <c r="AL1013" s="50"/>
      <c r="AM1013" s="50"/>
      <c r="AN1013" s="50"/>
      <c r="AO1013" s="9"/>
      <c r="AP1013" s="9"/>
    </row>
    <row r="1014" spans="1:42" x14ac:dyDescent="0.55000000000000004">
      <c r="A1014" t="str">
        <f t="shared" si="15"/>
        <v/>
      </c>
      <c r="U1014" s="49"/>
      <c r="V1014" s="49"/>
      <c r="W1014" s="49"/>
      <c r="X1014" s="49"/>
      <c r="Y1014" s="49"/>
      <c r="Z1014" s="49"/>
      <c r="AA1014" s="49"/>
      <c r="AB1014" s="49"/>
      <c r="AC1014" s="49"/>
      <c r="AD1014" s="113"/>
      <c r="AE1014" s="49"/>
      <c r="AF1014" s="50"/>
      <c r="AG1014" s="50"/>
      <c r="AH1014" s="50"/>
      <c r="AI1014" s="50"/>
      <c r="AJ1014" s="50"/>
      <c r="AK1014" s="50"/>
      <c r="AL1014" s="50"/>
      <c r="AM1014" s="50"/>
      <c r="AN1014" s="50"/>
      <c r="AO1014" s="9"/>
      <c r="AP1014" s="9"/>
    </row>
    <row r="1015" spans="1:42" x14ac:dyDescent="0.55000000000000004">
      <c r="A1015" t="str">
        <f t="shared" si="15"/>
        <v/>
      </c>
      <c r="U1015" s="49"/>
      <c r="V1015" s="49"/>
      <c r="W1015" s="49"/>
      <c r="X1015" s="49"/>
      <c r="Y1015" s="49"/>
      <c r="Z1015" s="49"/>
      <c r="AA1015" s="49"/>
      <c r="AB1015" s="49"/>
      <c r="AC1015" s="49"/>
      <c r="AD1015" s="113"/>
      <c r="AE1015" s="49"/>
      <c r="AF1015" s="50"/>
      <c r="AG1015" s="50"/>
      <c r="AH1015" s="50"/>
      <c r="AI1015" s="50"/>
      <c r="AJ1015" s="50"/>
      <c r="AK1015" s="50"/>
      <c r="AL1015" s="50"/>
      <c r="AM1015" s="50"/>
      <c r="AN1015" s="50"/>
      <c r="AO1015" s="9"/>
      <c r="AP1015" s="9"/>
    </row>
    <row r="1016" spans="1:42" x14ac:dyDescent="0.55000000000000004">
      <c r="A1016" t="str">
        <f t="shared" si="15"/>
        <v/>
      </c>
      <c r="S1016" s="101"/>
      <c r="U1016" s="49"/>
      <c r="V1016" s="49"/>
      <c r="W1016" s="49"/>
      <c r="X1016" s="49"/>
      <c r="Y1016" s="49"/>
      <c r="Z1016" s="49"/>
      <c r="AA1016" s="49"/>
      <c r="AB1016" s="49"/>
      <c r="AC1016" s="49"/>
      <c r="AD1016" s="113"/>
      <c r="AE1016" s="49"/>
      <c r="AF1016" s="50"/>
      <c r="AG1016" s="50"/>
      <c r="AH1016" s="50"/>
      <c r="AI1016" s="50"/>
      <c r="AJ1016" s="50"/>
      <c r="AK1016" s="50"/>
      <c r="AL1016" s="50"/>
      <c r="AM1016" s="50"/>
      <c r="AN1016" s="50"/>
      <c r="AO1016" s="9"/>
      <c r="AP1016" s="9"/>
    </row>
    <row r="1017" spans="1:42" x14ac:dyDescent="0.55000000000000004">
      <c r="A1017" t="str">
        <f t="shared" si="15"/>
        <v/>
      </c>
      <c r="S1017" s="101"/>
      <c r="U1017" s="49"/>
      <c r="V1017" s="49"/>
      <c r="W1017" s="49"/>
      <c r="X1017" s="49"/>
      <c r="Y1017" s="49"/>
      <c r="Z1017" s="49"/>
      <c r="AA1017" s="49"/>
      <c r="AB1017" s="49"/>
      <c r="AC1017" s="49"/>
      <c r="AD1017" s="113"/>
      <c r="AE1017" s="49"/>
      <c r="AF1017" s="50"/>
      <c r="AG1017" s="50"/>
      <c r="AH1017" s="50"/>
      <c r="AI1017" s="50"/>
      <c r="AJ1017" s="50"/>
      <c r="AK1017" s="50"/>
      <c r="AL1017" s="50"/>
      <c r="AM1017" s="50"/>
      <c r="AN1017" s="50"/>
      <c r="AO1017" s="9"/>
      <c r="AP1017" s="9"/>
    </row>
    <row r="1018" spans="1:42" x14ac:dyDescent="0.55000000000000004">
      <c r="A1018" t="str">
        <f t="shared" si="15"/>
        <v/>
      </c>
      <c r="U1018" s="49"/>
      <c r="V1018" s="49"/>
      <c r="W1018" s="49"/>
      <c r="X1018" s="49"/>
      <c r="Y1018" s="49"/>
      <c r="Z1018" s="49"/>
      <c r="AA1018" s="49"/>
      <c r="AB1018" s="49"/>
      <c r="AC1018" s="49"/>
      <c r="AD1018" s="113"/>
      <c r="AE1018" s="49"/>
      <c r="AF1018" s="50"/>
      <c r="AG1018" s="50"/>
      <c r="AH1018" s="50"/>
      <c r="AI1018" s="50"/>
      <c r="AJ1018" s="50"/>
      <c r="AK1018" s="50"/>
      <c r="AL1018" s="50"/>
      <c r="AM1018" s="50"/>
      <c r="AN1018" s="50"/>
      <c r="AO1018" s="9"/>
      <c r="AP1018" s="9"/>
    </row>
    <row r="1019" spans="1:42" x14ac:dyDescent="0.55000000000000004">
      <c r="A1019" t="str">
        <f t="shared" si="15"/>
        <v/>
      </c>
      <c r="U1019" s="49"/>
      <c r="V1019" s="49"/>
      <c r="W1019" s="49"/>
      <c r="X1019" s="49"/>
      <c r="Y1019" s="49"/>
      <c r="Z1019" s="49"/>
      <c r="AA1019" s="49"/>
      <c r="AB1019" s="49"/>
      <c r="AC1019" s="49"/>
      <c r="AD1019" s="113"/>
      <c r="AE1019" s="49"/>
      <c r="AF1019" s="50"/>
      <c r="AG1019" s="50"/>
      <c r="AH1019" s="50"/>
      <c r="AI1019" s="50"/>
      <c r="AJ1019" s="50"/>
      <c r="AK1019" s="50"/>
      <c r="AL1019" s="50"/>
      <c r="AM1019" s="50"/>
      <c r="AN1019" s="50"/>
      <c r="AO1019" s="9"/>
      <c r="AP1019" s="9"/>
    </row>
    <row r="1020" spans="1:42" x14ac:dyDescent="0.55000000000000004">
      <c r="A1020" t="str">
        <f t="shared" si="15"/>
        <v/>
      </c>
      <c r="U1020" s="49"/>
      <c r="V1020" s="49"/>
      <c r="W1020" s="49"/>
      <c r="X1020" s="49"/>
      <c r="Y1020" s="49"/>
      <c r="Z1020" s="49"/>
      <c r="AA1020" s="49"/>
      <c r="AB1020" s="49"/>
      <c r="AC1020" s="49"/>
      <c r="AD1020" s="113"/>
      <c r="AE1020" s="49"/>
      <c r="AF1020" s="50"/>
      <c r="AG1020" s="50"/>
      <c r="AH1020" s="50"/>
      <c r="AI1020" s="50"/>
      <c r="AJ1020" s="50"/>
      <c r="AK1020" s="50"/>
      <c r="AL1020" s="50"/>
      <c r="AM1020" s="50"/>
      <c r="AN1020" s="50"/>
      <c r="AO1020" s="9"/>
      <c r="AP1020" s="9"/>
    </row>
    <row r="1021" spans="1:42" x14ac:dyDescent="0.55000000000000004">
      <c r="A1021" t="str">
        <f t="shared" si="15"/>
        <v/>
      </c>
      <c r="U1021" s="49"/>
      <c r="V1021" s="49"/>
      <c r="W1021" s="49"/>
      <c r="X1021" s="49"/>
      <c r="Y1021" s="49"/>
      <c r="Z1021" s="49"/>
      <c r="AA1021" s="49"/>
      <c r="AB1021" s="49"/>
      <c r="AC1021" s="49"/>
      <c r="AD1021" s="113"/>
      <c r="AE1021" s="49"/>
      <c r="AF1021" s="50"/>
      <c r="AG1021" s="50"/>
      <c r="AH1021" s="50"/>
      <c r="AI1021" s="50"/>
      <c r="AJ1021" s="50"/>
      <c r="AK1021" s="50"/>
      <c r="AL1021" s="50"/>
      <c r="AM1021" s="50"/>
      <c r="AN1021" s="50"/>
      <c r="AO1021" s="9"/>
      <c r="AP1021" s="9"/>
    </row>
    <row r="1022" spans="1:42" x14ac:dyDescent="0.55000000000000004">
      <c r="A1022" t="str">
        <f t="shared" si="15"/>
        <v/>
      </c>
      <c r="U1022" s="49"/>
      <c r="V1022" s="49"/>
      <c r="W1022" s="49"/>
      <c r="X1022" s="49"/>
      <c r="Y1022" s="49"/>
      <c r="Z1022" s="49"/>
      <c r="AA1022" s="49"/>
      <c r="AB1022" s="49"/>
      <c r="AC1022" s="49"/>
      <c r="AD1022" s="113"/>
      <c r="AE1022" s="49"/>
      <c r="AF1022" s="50"/>
      <c r="AG1022" s="50"/>
      <c r="AH1022" s="50"/>
      <c r="AI1022" s="50"/>
      <c r="AJ1022" s="50"/>
      <c r="AK1022" s="50"/>
      <c r="AL1022" s="50"/>
      <c r="AM1022" s="50"/>
      <c r="AN1022" s="50"/>
      <c r="AO1022" s="9"/>
      <c r="AP1022" s="9"/>
    </row>
    <row r="1023" spans="1:42" x14ac:dyDescent="0.55000000000000004">
      <c r="A1023" t="str">
        <f t="shared" si="15"/>
        <v/>
      </c>
      <c r="U1023" s="49"/>
      <c r="V1023" s="49"/>
      <c r="W1023" s="49"/>
      <c r="X1023" s="49"/>
      <c r="Y1023" s="49"/>
      <c r="Z1023" s="49"/>
      <c r="AA1023" s="49"/>
      <c r="AB1023" s="49"/>
      <c r="AC1023" s="49"/>
      <c r="AD1023" s="113"/>
      <c r="AE1023" s="49"/>
      <c r="AF1023" s="50"/>
      <c r="AG1023" s="50"/>
      <c r="AH1023" s="50"/>
      <c r="AI1023" s="50"/>
      <c r="AJ1023" s="50"/>
      <c r="AK1023" s="50"/>
      <c r="AL1023" s="50"/>
      <c r="AM1023" s="50"/>
      <c r="AN1023" s="50"/>
      <c r="AO1023" s="9"/>
      <c r="AP1023" s="9"/>
    </row>
    <row r="1024" spans="1:42" x14ac:dyDescent="0.55000000000000004">
      <c r="A1024" t="str">
        <f t="shared" si="15"/>
        <v/>
      </c>
      <c r="U1024" s="49"/>
      <c r="V1024" s="49"/>
      <c r="W1024" s="49"/>
      <c r="X1024" s="49"/>
      <c r="Y1024" s="49"/>
      <c r="Z1024" s="49"/>
      <c r="AA1024" s="49"/>
      <c r="AB1024" s="49"/>
      <c r="AC1024" s="49"/>
      <c r="AD1024" s="113"/>
      <c r="AE1024" s="49"/>
      <c r="AF1024" s="50"/>
      <c r="AG1024" s="50"/>
      <c r="AH1024" s="50"/>
      <c r="AI1024" s="50"/>
      <c r="AJ1024" s="50"/>
      <c r="AK1024" s="50"/>
      <c r="AL1024" s="50"/>
      <c r="AM1024" s="50"/>
      <c r="AN1024" s="50"/>
      <c r="AO1024" s="9"/>
      <c r="AP1024" s="9"/>
    </row>
    <row r="1025" spans="1:42" x14ac:dyDescent="0.55000000000000004">
      <c r="A1025" t="str">
        <f t="shared" si="15"/>
        <v/>
      </c>
      <c r="U1025" s="49"/>
      <c r="V1025" s="49"/>
      <c r="W1025" s="49"/>
      <c r="X1025" s="49"/>
      <c r="Y1025" s="49"/>
      <c r="Z1025" s="49"/>
      <c r="AA1025" s="49"/>
      <c r="AB1025" s="49"/>
      <c r="AC1025" s="49"/>
      <c r="AD1025" s="113"/>
      <c r="AE1025" s="49"/>
      <c r="AF1025" s="50"/>
      <c r="AG1025" s="50"/>
      <c r="AH1025" s="50"/>
      <c r="AI1025" s="50"/>
      <c r="AJ1025" s="50"/>
      <c r="AK1025" s="50"/>
      <c r="AL1025" s="50"/>
      <c r="AM1025" s="50"/>
      <c r="AN1025" s="50"/>
      <c r="AO1025" s="9"/>
      <c r="AP1025" s="9"/>
    </row>
    <row r="1026" spans="1:42" x14ac:dyDescent="0.55000000000000004">
      <c r="A1026" t="str">
        <f t="shared" si="15"/>
        <v/>
      </c>
      <c r="U1026" s="49"/>
      <c r="V1026" s="49"/>
      <c r="W1026" s="49"/>
      <c r="X1026" s="49"/>
      <c r="Y1026" s="49"/>
      <c r="Z1026" s="49"/>
      <c r="AA1026" s="49"/>
      <c r="AB1026" s="49"/>
      <c r="AC1026" s="49"/>
      <c r="AD1026" s="113"/>
      <c r="AE1026" s="49"/>
      <c r="AF1026" s="50"/>
      <c r="AG1026" s="50"/>
      <c r="AH1026" s="50"/>
      <c r="AI1026" s="50"/>
      <c r="AJ1026" s="50"/>
      <c r="AK1026" s="50"/>
      <c r="AL1026" s="50"/>
      <c r="AM1026" s="50"/>
      <c r="AN1026" s="50"/>
      <c r="AO1026" s="9"/>
      <c r="AP1026" s="9"/>
    </row>
    <row r="1027" spans="1:42" x14ac:dyDescent="0.55000000000000004">
      <c r="A1027" t="str">
        <f t="shared" ref="A1027:A1090" si="16">H1027&amp;I1027&amp;J1027</f>
        <v/>
      </c>
      <c r="U1027" s="49"/>
      <c r="V1027" s="49"/>
      <c r="W1027" s="49"/>
      <c r="X1027" s="49"/>
      <c r="Y1027" s="49"/>
      <c r="Z1027" s="49"/>
      <c r="AA1027" s="49"/>
      <c r="AB1027" s="49"/>
      <c r="AC1027" s="49"/>
      <c r="AD1027" s="113"/>
      <c r="AE1027" s="49"/>
      <c r="AF1027" s="50"/>
      <c r="AG1027" s="50"/>
      <c r="AH1027" s="50"/>
      <c r="AI1027" s="50"/>
      <c r="AJ1027" s="50"/>
      <c r="AK1027" s="50"/>
      <c r="AL1027" s="50"/>
      <c r="AM1027" s="50"/>
      <c r="AN1027" s="50"/>
      <c r="AO1027" s="9"/>
      <c r="AP1027" s="9"/>
    </row>
    <row r="1028" spans="1:42" x14ac:dyDescent="0.55000000000000004">
      <c r="A1028" t="str">
        <f t="shared" si="16"/>
        <v/>
      </c>
      <c r="U1028" s="49"/>
      <c r="V1028" s="49"/>
      <c r="W1028" s="49"/>
      <c r="X1028" s="49"/>
      <c r="Y1028" s="49"/>
      <c r="Z1028" s="49"/>
      <c r="AA1028" s="49"/>
      <c r="AB1028" s="49"/>
      <c r="AC1028" s="49"/>
      <c r="AD1028" s="113"/>
      <c r="AE1028" s="49"/>
      <c r="AF1028" s="50"/>
      <c r="AG1028" s="50"/>
      <c r="AH1028" s="50"/>
      <c r="AI1028" s="50"/>
      <c r="AJ1028" s="50"/>
      <c r="AK1028" s="50"/>
      <c r="AL1028" s="50"/>
      <c r="AM1028" s="50"/>
      <c r="AN1028" s="50"/>
      <c r="AO1028" s="9"/>
      <c r="AP1028" s="9"/>
    </row>
    <row r="1029" spans="1:42" x14ac:dyDescent="0.55000000000000004">
      <c r="A1029" t="str">
        <f t="shared" si="16"/>
        <v/>
      </c>
      <c r="U1029" s="49"/>
      <c r="V1029" s="49"/>
      <c r="W1029" s="49"/>
      <c r="X1029" s="49"/>
      <c r="Y1029" s="49"/>
      <c r="Z1029" s="49"/>
      <c r="AA1029" s="49"/>
      <c r="AB1029" s="49"/>
      <c r="AC1029" s="49"/>
      <c r="AD1029" s="113"/>
      <c r="AE1029" s="49"/>
      <c r="AF1029" s="50"/>
      <c r="AG1029" s="50"/>
      <c r="AH1029" s="50"/>
      <c r="AI1029" s="50"/>
      <c r="AJ1029" s="50"/>
      <c r="AK1029" s="50"/>
      <c r="AL1029" s="50"/>
      <c r="AM1029" s="50"/>
      <c r="AN1029" s="50"/>
      <c r="AO1029" s="9"/>
      <c r="AP1029" s="9"/>
    </row>
    <row r="1030" spans="1:42" x14ac:dyDescent="0.55000000000000004">
      <c r="A1030" t="str">
        <f t="shared" si="16"/>
        <v/>
      </c>
      <c r="U1030" s="49"/>
      <c r="V1030" s="49"/>
      <c r="W1030" s="49"/>
      <c r="X1030" s="49"/>
      <c r="Y1030" s="49"/>
      <c r="Z1030" s="49"/>
      <c r="AA1030" s="49"/>
      <c r="AB1030" s="49"/>
      <c r="AC1030" s="49"/>
      <c r="AD1030" s="113"/>
      <c r="AE1030" s="49"/>
      <c r="AF1030" s="50"/>
      <c r="AG1030" s="50"/>
      <c r="AH1030" s="50"/>
      <c r="AI1030" s="50"/>
      <c r="AJ1030" s="50"/>
      <c r="AK1030" s="50"/>
      <c r="AL1030" s="50"/>
      <c r="AM1030" s="50"/>
      <c r="AN1030" s="50"/>
      <c r="AO1030" s="9"/>
      <c r="AP1030" s="9"/>
    </row>
    <row r="1031" spans="1:42" x14ac:dyDescent="0.55000000000000004">
      <c r="A1031" t="str">
        <f t="shared" si="16"/>
        <v/>
      </c>
      <c r="U1031" s="49"/>
      <c r="V1031" s="49"/>
      <c r="W1031" s="49"/>
      <c r="X1031" s="49"/>
      <c r="Y1031" s="49"/>
      <c r="Z1031" s="49"/>
      <c r="AA1031" s="49"/>
      <c r="AB1031" s="49"/>
      <c r="AC1031" s="49"/>
      <c r="AD1031" s="113"/>
      <c r="AE1031" s="49"/>
      <c r="AF1031" s="50"/>
      <c r="AG1031" s="50"/>
      <c r="AH1031" s="50"/>
      <c r="AI1031" s="50"/>
      <c r="AJ1031" s="50"/>
      <c r="AK1031" s="50"/>
      <c r="AL1031" s="50"/>
      <c r="AM1031" s="50"/>
      <c r="AN1031" s="50"/>
      <c r="AO1031" s="9"/>
      <c r="AP1031" s="9"/>
    </row>
    <row r="1032" spans="1:42" x14ac:dyDescent="0.55000000000000004">
      <c r="A1032" t="str">
        <f t="shared" si="16"/>
        <v/>
      </c>
      <c r="U1032" s="49"/>
      <c r="V1032" s="49"/>
      <c r="W1032" s="49"/>
      <c r="X1032" s="49"/>
      <c r="Y1032" s="49"/>
      <c r="Z1032" s="49"/>
      <c r="AA1032" s="49"/>
      <c r="AB1032" s="49"/>
      <c r="AC1032" s="49"/>
      <c r="AD1032" s="113"/>
      <c r="AE1032" s="49"/>
      <c r="AF1032" s="50"/>
      <c r="AG1032" s="50"/>
      <c r="AH1032" s="50"/>
      <c r="AI1032" s="50"/>
      <c r="AJ1032" s="50"/>
      <c r="AK1032" s="50"/>
      <c r="AL1032" s="50"/>
      <c r="AM1032" s="50"/>
      <c r="AN1032" s="50"/>
      <c r="AO1032" s="9"/>
      <c r="AP1032" s="9"/>
    </row>
    <row r="1033" spans="1:42" x14ac:dyDescent="0.55000000000000004">
      <c r="A1033" t="str">
        <f t="shared" si="16"/>
        <v/>
      </c>
      <c r="U1033" s="49"/>
      <c r="V1033" s="49"/>
      <c r="W1033" s="49"/>
      <c r="X1033" s="49"/>
      <c r="Y1033" s="49"/>
      <c r="Z1033" s="49"/>
      <c r="AA1033" s="49"/>
      <c r="AB1033" s="49"/>
      <c r="AC1033" s="49"/>
      <c r="AD1033" s="113"/>
      <c r="AE1033" s="49"/>
      <c r="AF1033" s="50"/>
      <c r="AG1033" s="50"/>
      <c r="AH1033" s="50"/>
      <c r="AI1033" s="50"/>
      <c r="AJ1033" s="50"/>
      <c r="AK1033" s="50"/>
      <c r="AL1033" s="50"/>
      <c r="AM1033" s="50"/>
      <c r="AN1033" s="50"/>
      <c r="AO1033" s="9"/>
      <c r="AP1033" s="9"/>
    </row>
    <row r="1034" spans="1:42" x14ac:dyDescent="0.55000000000000004">
      <c r="A1034" t="str">
        <f t="shared" si="16"/>
        <v/>
      </c>
      <c r="U1034" s="49"/>
      <c r="V1034" s="49"/>
      <c r="W1034" s="49"/>
      <c r="X1034" s="49"/>
      <c r="Y1034" s="49"/>
      <c r="Z1034" s="49"/>
      <c r="AA1034" s="49"/>
      <c r="AB1034" s="49"/>
      <c r="AC1034" s="49"/>
      <c r="AD1034" s="113"/>
      <c r="AE1034" s="49"/>
      <c r="AF1034" s="50"/>
      <c r="AG1034" s="50"/>
      <c r="AH1034" s="50"/>
      <c r="AI1034" s="50"/>
      <c r="AJ1034" s="50"/>
      <c r="AK1034" s="50"/>
      <c r="AL1034" s="50"/>
      <c r="AM1034" s="50"/>
      <c r="AN1034" s="50"/>
      <c r="AO1034" s="9"/>
      <c r="AP1034" s="9"/>
    </row>
    <row r="1035" spans="1:42" x14ac:dyDescent="0.55000000000000004">
      <c r="A1035" t="str">
        <f t="shared" si="16"/>
        <v/>
      </c>
      <c r="U1035" s="49"/>
      <c r="V1035" s="49"/>
      <c r="W1035" s="49"/>
      <c r="X1035" s="49"/>
      <c r="Y1035" s="49"/>
      <c r="Z1035" s="49"/>
      <c r="AA1035" s="49"/>
      <c r="AB1035" s="49"/>
      <c r="AC1035" s="49"/>
      <c r="AD1035" s="113"/>
      <c r="AE1035" s="49"/>
      <c r="AF1035" s="50"/>
      <c r="AG1035" s="50"/>
      <c r="AH1035" s="50"/>
      <c r="AI1035" s="50"/>
      <c r="AJ1035" s="50"/>
      <c r="AK1035" s="50"/>
      <c r="AL1035" s="50"/>
      <c r="AM1035" s="50"/>
      <c r="AN1035" s="50"/>
      <c r="AO1035" s="9"/>
      <c r="AP1035" s="9"/>
    </row>
    <row r="1036" spans="1:42" x14ac:dyDescent="0.55000000000000004">
      <c r="A1036" t="str">
        <f t="shared" si="16"/>
        <v/>
      </c>
      <c r="U1036" s="49"/>
      <c r="V1036" s="49"/>
      <c r="W1036" s="49"/>
      <c r="X1036" s="49"/>
      <c r="Y1036" s="49"/>
      <c r="Z1036" s="49"/>
      <c r="AA1036" s="49"/>
      <c r="AB1036" s="49"/>
      <c r="AC1036" s="49"/>
      <c r="AD1036" s="113"/>
      <c r="AE1036" s="49"/>
      <c r="AF1036" s="50"/>
      <c r="AG1036" s="50"/>
      <c r="AH1036" s="50"/>
      <c r="AI1036" s="50"/>
      <c r="AJ1036" s="50"/>
      <c r="AK1036" s="50"/>
      <c r="AL1036" s="50"/>
      <c r="AM1036" s="50"/>
      <c r="AN1036" s="50"/>
      <c r="AO1036" s="9"/>
      <c r="AP1036" s="9"/>
    </row>
    <row r="1037" spans="1:42" x14ac:dyDescent="0.55000000000000004">
      <c r="A1037" t="str">
        <f t="shared" si="16"/>
        <v/>
      </c>
      <c r="U1037" s="49"/>
      <c r="V1037" s="49"/>
      <c r="W1037" s="49"/>
      <c r="X1037" s="49"/>
      <c r="Y1037" s="49"/>
      <c r="Z1037" s="49"/>
      <c r="AA1037" s="49"/>
      <c r="AB1037" s="49"/>
      <c r="AC1037" s="49"/>
      <c r="AD1037" s="113"/>
      <c r="AE1037" s="49"/>
      <c r="AF1037" s="50"/>
      <c r="AG1037" s="50"/>
      <c r="AH1037" s="50"/>
      <c r="AI1037" s="50"/>
      <c r="AJ1037" s="50"/>
      <c r="AK1037" s="50"/>
      <c r="AL1037" s="50"/>
      <c r="AM1037" s="50"/>
      <c r="AN1037" s="50"/>
      <c r="AO1037" s="9"/>
      <c r="AP1037" s="9"/>
    </row>
    <row r="1038" spans="1:42" x14ac:dyDescent="0.55000000000000004">
      <c r="A1038" t="str">
        <f t="shared" si="16"/>
        <v/>
      </c>
      <c r="U1038" s="49"/>
      <c r="V1038" s="49"/>
      <c r="W1038" s="49"/>
      <c r="X1038" s="49"/>
      <c r="Y1038" s="49"/>
      <c r="Z1038" s="49"/>
      <c r="AA1038" s="49"/>
      <c r="AB1038" s="49"/>
      <c r="AC1038" s="49"/>
      <c r="AD1038" s="113"/>
      <c r="AE1038" s="49"/>
      <c r="AF1038" s="50"/>
      <c r="AG1038" s="50"/>
      <c r="AH1038" s="50"/>
      <c r="AI1038" s="50"/>
      <c r="AJ1038" s="50"/>
      <c r="AK1038" s="50"/>
      <c r="AL1038" s="50"/>
      <c r="AM1038" s="50"/>
      <c r="AN1038" s="50"/>
      <c r="AO1038" s="9"/>
      <c r="AP1038" s="9"/>
    </row>
    <row r="1039" spans="1:42" x14ac:dyDescent="0.55000000000000004">
      <c r="A1039" t="str">
        <f t="shared" si="16"/>
        <v/>
      </c>
      <c r="U1039" s="49"/>
      <c r="V1039" s="49"/>
      <c r="W1039" s="49"/>
      <c r="X1039" s="49"/>
      <c r="Y1039" s="49"/>
      <c r="Z1039" s="49"/>
      <c r="AA1039" s="49"/>
      <c r="AB1039" s="49"/>
      <c r="AC1039" s="49"/>
      <c r="AD1039" s="113"/>
      <c r="AE1039" s="49"/>
      <c r="AF1039" s="50"/>
      <c r="AG1039" s="50"/>
      <c r="AH1039" s="50"/>
      <c r="AI1039" s="50"/>
      <c r="AJ1039" s="50"/>
      <c r="AK1039" s="50"/>
      <c r="AL1039" s="50"/>
      <c r="AM1039" s="50"/>
      <c r="AN1039" s="50"/>
      <c r="AO1039" s="9"/>
      <c r="AP1039" s="9"/>
    </row>
    <row r="1040" spans="1:42" x14ac:dyDescent="0.55000000000000004">
      <c r="A1040" t="str">
        <f t="shared" si="16"/>
        <v/>
      </c>
      <c r="U1040" s="49"/>
      <c r="V1040" s="49"/>
      <c r="W1040" s="49"/>
      <c r="X1040" s="49"/>
      <c r="Y1040" s="49"/>
      <c r="Z1040" s="49"/>
      <c r="AA1040" s="49"/>
      <c r="AB1040" s="49"/>
      <c r="AC1040" s="49"/>
      <c r="AD1040" s="113"/>
      <c r="AE1040" s="49"/>
      <c r="AF1040" s="50"/>
      <c r="AG1040" s="50"/>
      <c r="AH1040" s="50"/>
      <c r="AI1040" s="50"/>
      <c r="AJ1040" s="50"/>
      <c r="AK1040" s="50"/>
      <c r="AL1040" s="50"/>
      <c r="AM1040" s="50"/>
      <c r="AN1040" s="50"/>
      <c r="AO1040" s="9"/>
      <c r="AP1040" s="9"/>
    </row>
    <row r="1041" spans="1:42" x14ac:dyDescent="0.55000000000000004">
      <c r="A1041" t="str">
        <f t="shared" si="16"/>
        <v/>
      </c>
      <c r="U1041" s="49"/>
      <c r="V1041" s="49"/>
      <c r="W1041" s="49"/>
      <c r="X1041" s="49"/>
      <c r="Y1041" s="49"/>
      <c r="Z1041" s="49"/>
      <c r="AA1041" s="49"/>
      <c r="AB1041" s="49"/>
      <c r="AC1041" s="49"/>
      <c r="AD1041" s="113"/>
      <c r="AE1041" s="49"/>
      <c r="AF1041" s="50"/>
      <c r="AG1041" s="50"/>
      <c r="AH1041" s="50"/>
      <c r="AI1041" s="50"/>
      <c r="AJ1041" s="50"/>
      <c r="AK1041" s="50"/>
      <c r="AL1041" s="50"/>
      <c r="AM1041" s="50"/>
      <c r="AN1041" s="50"/>
      <c r="AO1041" s="9"/>
      <c r="AP1041" s="9"/>
    </row>
    <row r="1042" spans="1:42" x14ac:dyDescent="0.55000000000000004">
      <c r="A1042" t="str">
        <f t="shared" si="16"/>
        <v/>
      </c>
      <c r="U1042" s="49"/>
      <c r="V1042" s="49"/>
      <c r="W1042" s="49"/>
      <c r="X1042" s="49"/>
      <c r="Y1042" s="49"/>
      <c r="Z1042" s="49"/>
      <c r="AA1042" s="49"/>
      <c r="AB1042" s="49"/>
      <c r="AC1042" s="49"/>
      <c r="AD1042" s="113"/>
      <c r="AE1042" s="49"/>
      <c r="AF1042" s="50"/>
      <c r="AG1042" s="50"/>
      <c r="AH1042" s="50"/>
      <c r="AI1042" s="50"/>
      <c r="AJ1042" s="50"/>
      <c r="AK1042" s="50"/>
      <c r="AL1042" s="50"/>
      <c r="AM1042" s="50"/>
      <c r="AN1042" s="50"/>
      <c r="AO1042" s="9"/>
      <c r="AP1042" s="9"/>
    </row>
    <row r="1043" spans="1:42" x14ac:dyDescent="0.55000000000000004">
      <c r="A1043" t="str">
        <f t="shared" si="16"/>
        <v/>
      </c>
      <c r="U1043" s="49"/>
      <c r="V1043" s="49"/>
      <c r="W1043" s="49"/>
      <c r="X1043" s="49"/>
      <c r="Y1043" s="49"/>
      <c r="Z1043" s="49"/>
      <c r="AA1043" s="49"/>
      <c r="AB1043" s="49"/>
      <c r="AC1043" s="49"/>
      <c r="AD1043" s="113"/>
      <c r="AE1043" s="49"/>
      <c r="AF1043" s="50"/>
      <c r="AG1043" s="50"/>
      <c r="AH1043" s="50"/>
      <c r="AI1043" s="50"/>
      <c r="AJ1043" s="50"/>
      <c r="AK1043" s="50"/>
      <c r="AL1043" s="50"/>
      <c r="AM1043" s="50"/>
      <c r="AN1043" s="50"/>
      <c r="AO1043" s="9"/>
      <c r="AP1043" s="9"/>
    </row>
    <row r="1044" spans="1:42" x14ac:dyDescent="0.55000000000000004">
      <c r="A1044" t="str">
        <f t="shared" si="16"/>
        <v/>
      </c>
      <c r="U1044" s="49"/>
      <c r="V1044" s="49"/>
      <c r="W1044" s="49"/>
      <c r="X1044" s="49"/>
      <c r="Y1044" s="49"/>
      <c r="Z1044" s="49"/>
      <c r="AA1044" s="49"/>
      <c r="AB1044" s="49"/>
      <c r="AC1044" s="49"/>
      <c r="AD1044" s="113"/>
      <c r="AE1044" s="49"/>
      <c r="AF1044" s="50"/>
      <c r="AG1044" s="50"/>
      <c r="AH1044" s="50"/>
      <c r="AI1044" s="50"/>
      <c r="AJ1044" s="50"/>
      <c r="AK1044" s="50"/>
      <c r="AL1044" s="50"/>
      <c r="AM1044" s="50"/>
      <c r="AN1044" s="50"/>
      <c r="AO1044" s="9"/>
      <c r="AP1044" s="9"/>
    </row>
    <row r="1045" spans="1:42" x14ac:dyDescent="0.55000000000000004">
      <c r="A1045" t="str">
        <f t="shared" si="16"/>
        <v/>
      </c>
      <c r="U1045" s="49"/>
      <c r="V1045" s="49"/>
      <c r="W1045" s="49"/>
      <c r="X1045" s="49"/>
      <c r="Y1045" s="49"/>
      <c r="Z1045" s="49"/>
      <c r="AA1045" s="49"/>
      <c r="AB1045" s="49"/>
      <c r="AC1045" s="49"/>
      <c r="AD1045" s="113"/>
      <c r="AE1045" s="49"/>
      <c r="AF1045" s="50"/>
      <c r="AG1045" s="50"/>
      <c r="AH1045" s="50"/>
      <c r="AI1045" s="50"/>
      <c r="AJ1045" s="50"/>
      <c r="AK1045" s="50"/>
      <c r="AL1045" s="50"/>
      <c r="AM1045" s="50"/>
      <c r="AN1045" s="50"/>
      <c r="AO1045" s="9"/>
      <c r="AP1045" s="9"/>
    </row>
    <row r="1046" spans="1:42" x14ac:dyDescent="0.55000000000000004">
      <c r="A1046" t="str">
        <f t="shared" si="16"/>
        <v/>
      </c>
      <c r="U1046" s="49"/>
      <c r="V1046" s="49"/>
      <c r="W1046" s="49"/>
      <c r="X1046" s="49"/>
      <c r="Y1046" s="49"/>
      <c r="Z1046" s="49"/>
      <c r="AA1046" s="49"/>
      <c r="AB1046" s="49"/>
      <c r="AC1046" s="49"/>
      <c r="AD1046" s="113"/>
      <c r="AE1046" s="49"/>
      <c r="AF1046" s="53"/>
      <c r="AG1046" s="53"/>
      <c r="AH1046" s="53"/>
      <c r="AI1046" s="53"/>
      <c r="AJ1046" s="53"/>
      <c r="AK1046" s="50"/>
      <c r="AL1046" s="50"/>
      <c r="AM1046" s="50"/>
      <c r="AN1046" s="50"/>
      <c r="AO1046" s="9"/>
      <c r="AP1046" s="9"/>
    </row>
    <row r="1047" spans="1:42" x14ac:dyDescent="0.55000000000000004">
      <c r="A1047" t="str">
        <f t="shared" si="16"/>
        <v/>
      </c>
      <c r="U1047" s="49"/>
      <c r="V1047" s="49"/>
      <c r="W1047" s="49"/>
      <c r="X1047" s="49"/>
      <c r="Y1047" s="49"/>
      <c r="Z1047" s="49"/>
      <c r="AA1047" s="49"/>
      <c r="AB1047" s="49"/>
      <c r="AC1047" s="49"/>
      <c r="AD1047" s="113"/>
      <c r="AE1047" s="49"/>
      <c r="AF1047" s="53"/>
      <c r="AG1047" s="53"/>
      <c r="AH1047" s="53"/>
      <c r="AI1047" s="53"/>
      <c r="AJ1047" s="53"/>
      <c r="AK1047" s="50"/>
      <c r="AL1047" s="50"/>
      <c r="AM1047" s="50"/>
      <c r="AN1047" s="50"/>
      <c r="AO1047" s="9"/>
      <c r="AP1047" s="9"/>
    </row>
    <row r="1048" spans="1:42" x14ac:dyDescent="0.55000000000000004">
      <c r="A1048" t="str">
        <f t="shared" si="16"/>
        <v/>
      </c>
      <c r="U1048" s="49"/>
      <c r="V1048" s="49"/>
      <c r="W1048" s="49"/>
      <c r="X1048" s="49"/>
      <c r="Y1048" s="49"/>
      <c r="Z1048" s="49"/>
      <c r="AA1048" s="49"/>
      <c r="AB1048" s="49"/>
      <c r="AC1048" s="49"/>
      <c r="AD1048" s="113"/>
      <c r="AE1048" s="49"/>
      <c r="AF1048" s="50"/>
      <c r="AG1048" s="50"/>
      <c r="AH1048" s="50"/>
      <c r="AI1048" s="50"/>
      <c r="AJ1048" s="50"/>
      <c r="AK1048" s="50"/>
      <c r="AL1048" s="50"/>
      <c r="AM1048" s="50"/>
      <c r="AN1048" s="50"/>
      <c r="AO1048" s="9"/>
      <c r="AP1048" s="9"/>
    </row>
    <row r="1049" spans="1:42" x14ac:dyDescent="0.55000000000000004">
      <c r="A1049" t="str">
        <f t="shared" si="16"/>
        <v/>
      </c>
      <c r="U1049" s="49"/>
      <c r="V1049" s="49"/>
      <c r="W1049" s="49"/>
      <c r="X1049" s="49"/>
      <c r="Y1049" s="49"/>
      <c r="Z1049" s="49"/>
      <c r="AA1049" s="49"/>
      <c r="AB1049" s="49"/>
      <c r="AC1049" s="49"/>
      <c r="AD1049" s="113"/>
      <c r="AE1049" s="49"/>
      <c r="AF1049" s="50"/>
      <c r="AG1049" s="50"/>
      <c r="AH1049" s="50"/>
      <c r="AI1049" s="50"/>
      <c r="AJ1049" s="50"/>
      <c r="AK1049" s="50"/>
      <c r="AL1049" s="50"/>
      <c r="AM1049" s="50"/>
      <c r="AN1049" s="50"/>
      <c r="AO1049" s="9"/>
      <c r="AP1049" s="9"/>
    </row>
    <row r="1050" spans="1:42" x14ac:dyDescent="0.55000000000000004">
      <c r="A1050" t="str">
        <f t="shared" si="16"/>
        <v/>
      </c>
      <c r="U1050" s="49"/>
      <c r="V1050" s="49"/>
      <c r="W1050" s="49"/>
      <c r="X1050" s="49"/>
      <c r="Y1050" s="49"/>
      <c r="Z1050" s="49"/>
      <c r="AA1050" s="49"/>
      <c r="AB1050" s="49"/>
      <c r="AC1050" s="49"/>
      <c r="AD1050" s="113"/>
      <c r="AE1050" s="49"/>
      <c r="AF1050" s="50"/>
      <c r="AG1050" s="50"/>
      <c r="AH1050" s="50"/>
      <c r="AI1050" s="50"/>
      <c r="AJ1050" s="50"/>
      <c r="AK1050" s="50"/>
      <c r="AL1050" s="50"/>
      <c r="AM1050" s="50"/>
      <c r="AN1050" s="50"/>
      <c r="AO1050" s="9"/>
      <c r="AP1050" s="9"/>
    </row>
    <row r="1051" spans="1:42" x14ac:dyDescent="0.55000000000000004">
      <c r="A1051" t="str">
        <f t="shared" si="16"/>
        <v/>
      </c>
      <c r="U1051" s="49"/>
      <c r="V1051" s="49"/>
      <c r="W1051" s="49"/>
      <c r="X1051" s="49"/>
      <c r="Y1051" s="49"/>
      <c r="Z1051" s="49"/>
      <c r="AA1051" s="49"/>
      <c r="AB1051" s="49"/>
      <c r="AC1051" s="49"/>
      <c r="AD1051" s="113"/>
      <c r="AE1051" s="49"/>
      <c r="AF1051" s="50"/>
      <c r="AG1051" s="50"/>
      <c r="AH1051" s="50"/>
      <c r="AI1051" s="50"/>
      <c r="AJ1051" s="50"/>
      <c r="AK1051" s="50"/>
      <c r="AL1051" s="50"/>
      <c r="AM1051" s="50"/>
      <c r="AN1051" s="50"/>
      <c r="AO1051" s="9"/>
      <c r="AP1051" s="9"/>
    </row>
    <row r="1052" spans="1:42" x14ac:dyDescent="0.55000000000000004">
      <c r="A1052" t="str">
        <f t="shared" si="16"/>
        <v/>
      </c>
      <c r="U1052" s="49"/>
      <c r="V1052" s="49"/>
      <c r="W1052" s="49"/>
      <c r="X1052" s="49"/>
      <c r="Y1052" s="49"/>
      <c r="Z1052" s="49"/>
      <c r="AA1052" s="49"/>
      <c r="AB1052" s="49"/>
      <c r="AC1052" s="49"/>
      <c r="AD1052" s="113"/>
      <c r="AE1052" s="49"/>
      <c r="AF1052" s="50"/>
      <c r="AG1052" s="50"/>
      <c r="AH1052" s="50"/>
      <c r="AI1052" s="50"/>
      <c r="AJ1052" s="50"/>
      <c r="AK1052" s="50"/>
      <c r="AL1052" s="50"/>
      <c r="AM1052" s="50"/>
      <c r="AN1052" s="50"/>
      <c r="AO1052" s="9"/>
      <c r="AP1052" s="9"/>
    </row>
    <row r="1053" spans="1:42" x14ac:dyDescent="0.55000000000000004">
      <c r="A1053" t="str">
        <f t="shared" si="16"/>
        <v/>
      </c>
      <c r="U1053" s="49"/>
      <c r="V1053" s="49"/>
      <c r="W1053" s="49"/>
      <c r="X1053" s="49"/>
      <c r="Y1053" s="49"/>
      <c r="Z1053" s="49"/>
      <c r="AA1053" s="49"/>
      <c r="AB1053" s="49"/>
      <c r="AC1053" s="49"/>
      <c r="AD1053" s="113"/>
      <c r="AE1053" s="49"/>
      <c r="AF1053" s="50"/>
      <c r="AG1053" s="50"/>
      <c r="AH1053" s="50"/>
      <c r="AI1053" s="50"/>
      <c r="AJ1053" s="50"/>
      <c r="AK1053" s="50"/>
      <c r="AL1053" s="50"/>
      <c r="AM1053" s="50"/>
      <c r="AN1053" s="50"/>
      <c r="AO1053" s="9"/>
      <c r="AP1053" s="9"/>
    </row>
    <row r="1054" spans="1:42" x14ac:dyDescent="0.55000000000000004">
      <c r="A1054" t="str">
        <f t="shared" si="16"/>
        <v/>
      </c>
      <c r="U1054" s="49"/>
      <c r="V1054" s="49"/>
      <c r="W1054" s="49"/>
      <c r="X1054" s="49"/>
      <c r="Y1054" s="49"/>
      <c r="Z1054" s="49"/>
      <c r="AA1054" s="49"/>
      <c r="AB1054" s="49"/>
      <c r="AC1054" s="49"/>
      <c r="AD1054" s="113"/>
      <c r="AE1054" s="49"/>
      <c r="AF1054" s="50"/>
      <c r="AG1054" s="50"/>
      <c r="AH1054" s="50"/>
      <c r="AI1054" s="50"/>
      <c r="AJ1054" s="50"/>
      <c r="AK1054" s="50"/>
      <c r="AL1054" s="50"/>
      <c r="AM1054" s="50"/>
      <c r="AN1054" s="50"/>
      <c r="AO1054" s="9"/>
      <c r="AP1054" s="9"/>
    </row>
    <row r="1055" spans="1:42" x14ac:dyDescent="0.55000000000000004">
      <c r="A1055" t="str">
        <f t="shared" si="16"/>
        <v/>
      </c>
      <c r="U1055" s="49"/>
      <c r="V1055" s="49"/>
      <c r="W1055" s="49"/>
      <c r="X1055" s="49"/>
      <c r="Y1055" s="49"/>
      <c r="Z1055" s="49"/>
      <c r="AA1055" s="49"/>
      <c r="AB1055" s="49"/>
      <c r="AC1055" s="49"/>
      <c r="AD1055" s="113"/>
      <c r="AE1055" s="49"/>
      <c r="AF1055" s="50"/>
      <c r="AG1055" s="50"/>
      <c r="AH1055" s="50"/>
      <c r="AI1055" s="50"/>
      <c r="AJ1055" s="50"/>
      <c r="AK1055" s="50"/>
      <c r="AL1055" s="50"/>
      <c r="AM1055" s="50"/>
      <c r="AN1055" s="50"/>
      <c r="AO1055" s="9"/>
      <c r="AP1055" s="9"/>
    </row>
    <row r="1056" spans="1:42" x14ac:dyDescent="0.55000000000000004">
      <c r="A1056" t="str">
        <f t="shared" si="16"/>
        <v/>
      </c>
      <c r="U1056" s="49"/>
      <c r="V1056" s="49"/>
      <c r="W1056" s="49"/>
      <c r="X1056" s="49"/>
      <c r="Y1056" s="49"/>
      <c r="Z1056" s="49"/>
      <c r="AA1056" s="49"/>
      <c r="AB1056" s="49"/>
      <c r="AC1056" s="49"/>
      <c r="AD1056" s="113"/>
      <c r="AE1056" s="49"/>
      <c r="AF1056" s="50"/>
      <c r="AG1056" s="50"/>
      <c r="AH1056" s="50"/>
      <c r="AI1056" s="50"/>
      <c r="AJ1056" s="50"/>
      <c r="AK1056" s="50"/>
      <c r="AL1056" s="50"/>
      <c r="AM1056" s="50"/>
      <c r="AN1056" s="50"/>
      <c r="AO1056" s="9"/>
      <c r="AP1056" s="9"/>
    </row>
    <row r="1057" spans="1:42" x14ac:dyDescent="0.55000000000000004">
      <c r="A1057" t="str">
        <f t="shared" si="16"/>
        <v/>
      </c>
      <c r="U1057" s="49"/>
      <c r="V1057" s="49"/>
      <c r="W1057" s="49"/>
      <c r="X1057" s="49"/>
      <c r="Y1057" s="49"/>
      <c r="Z1057" s="49"/>
      <c r="AA1057" s="49"/>
      <c r="AB1057" s="49"/>
      <c r="AC1057" s="49"/>
      <c r="AD1057" s="113"/>
      <c r="AE1057" s="49"/>
      <c r="AF1057" s="50"/>
      <c r="AG1057" s="50"/>
      <c r="AH1057" s="50"/>
      <c r="AI1057" s="50"/>
      <c r="AJ1057" s="50"/>
      <c r="AK1057" s="50"/>
      <c r="AL1057" s="50"/>
      <c r="AM1057" s="50"/>
      <c r="AN1057" s="50"/>
      <c r="AO1057" s="9"/>
      <c r="AP1057" s="9"/>
    </row>
    <row r="1058" spans="1:42" x14ac:dyDescent="0.55000000000000004">
      <c r="A1058" t="str">
        <f t="shared" si="16"/>
        <v/>
      </c>
      <c r="U1058" s="49"/>
      <c r="V1058" s="49"/>
      <c r="W1058" s="49"/>
      <c r="X1058" s="49"/>
      <c r="Y1058" s="49"/>
      <c r="Z1058" s="49"/>
      <c r="AA1058" s="49"/>
      <c r="AB1058" s="49"/>
      <c r="AC1058" s="49"/>
      <c r="AD1058" s="113"/>
      <c r="AE1058" s="49"/>
      <c r="AF1058" s="50"/>
      <c r="AG1058" s="50"/>
      <c r="AH1058" s="50"/>
      <c r="AI1058" s="50"/>
      <c r="AJ1058" s="50"/>
      <c r="AK1058" s="50"/>
      <c r="AL1058" s="50"/>
      <c r="AM1058" s="50"/>
      <c r="AN1058" s="50"/>
      <c r="AO1058" s="9"/>
      <c r="AP1058" s="9"/>
    </row>
    <row r="1059" spans="1:42" x14ac:dyDescent="0.55000000000000004">
      <c r="A1059" t="str">
        <f t="shared" si="16"/>
        <v/>
      </c>
      <c r="U1059" s="49"/>
      <c r="V1059" s="49"/>
      <c r="W1059" s="49"/>
      <c r="X1059" s="49"/>
      <c r="Y1059" s="49"/>
      <c r="Z1059" s="49"/>
      <c r="AA1059" s="49"/>
      <c r="AB1059" s="49"/>
      <c r="AC1059" s="49"/>
      <c r="AD1059" s="113"/>
      <c r="AE1059" s="49"/>
      <c r="AF1059" s="50"/>
      <c r="AG1059" s="50"/>
      <c r="AH1059" s="50"/>
      <c r="AI1059" s="50"/>
      <c r="AJ1059" s="50"/>
      <c r="AK1059" s="50"/>
      <c r="AL1059" s="50"/>
      <c r="AM1059" s="50"/>
      <c r="AN1059" s="50"/>
      <c r="AO1059" s="9"/>
      <c r="AP1059" s="9"/>
    </row>
    <row r="1060" spans="1:42" x14ac:dyDescent="0.55000000000000004">
      <c r="A1060" t="str">
        <f t="shared" si="16"/>
        <v/>
      </c>
      <c r="U1060" s="49"/>
      <c r="V1060" s="49"/>
      <c r="W1060" s="49"/>
      <c r="X1060" s="49"/>
      <c r="Y1060" s="49"/>
      <c r="Z1060" s="49"/>
      <c r="AA1060" s="49"/>
      <c r="AB1060" s="49"/>
      <c r="AC1060" s="49"/>
      <c r="AD1060" s="113"/>
      <c r="AE1060" s="49"/>
      <c r="AF1060" s="50"/>
      <c r="AG1060" s="50"/>
      <c r="AH1060" s="50"/>
      <c r="AI1060" s="50"/>
      <c r="AJ1060" s="50"/>
      <c r="AK1060" s="50"/>
      <c r="AL1060" s="50"/>
      <c r="AM1060" s="50"/>
      <c r="AN1060" s="50"/>
      <c r="AO1060" s="9"/>
      <c r="AP1060" s="9"/>
    </row>
    <row r="1061" spans="1:42" x14ac:dyDescent="0.55000000000000004">
      <c r="A1061" t="str">
        <f t="shared" si="16"/>
        <v/>
      </c>
      <c r="U1061" s="49"/>
      <c r="V1061" s="49"/>
      <c r="W1061" s="49"/>
      <c r="X1061" s="49"/>
      <c r="Y1061" s="49"/>
      <c r="Z1061" s="49"/>
      <c r="AA1061" s="49"/>
      <c r="AB1061" s="49"/>
      <c r="AC1061" s="49"/>
      <c r="AD1061" s="113"/>
      <c r="AE1061" s="49"/>
      <c r="AF1061" s="50"/>
      <c r="AG1061" s="50"/>
      <c r="AH1061" s="50"/>
      <c r="AI1061" s="50"/>
      <c r="AJ1061" s="50"/>
      <c r="AK1061" s="50"/>
      <c r="AL1061" s="50"/>
      <c r="AM1061" s="50"/>
      <c r="AN1061" s="50"/>
      <c r="AO1061" s="9"/>
      <c r="AP1061" s="9"/>
    </row>
    <row r="1062" spans="1:42" x14ac:dyDescent="0.55000000000000004">
      <c r="A1062" t="str">
        <f t="shared" si="16"/>
        <v/>
      </c>
      <c r="U1062" s="49"/>
      <c r="V1062" s="49"/>
      <c r="W1062" s="49"/>
      <c r="X1062" s="49"/>
      <c r="Y1062" s="49"/>
      <c r="Z1062" s="49"/>
      <c r="AA1062" s="49"/>
      <c r="AB1062" s="49"/>
      <c r="AC1062" s="49"/>
      <c r="AD1062" s="113"/>
      <c r="AE1062" s="49"/>
      <c r="AF1062" s="53"/>
      <c r="AG1062" s="53"/>
      <c r="AH1062" s="53"/>
      <c r="AI1062" s="53"/>
      <c r="AJ1062" s="53"/>
      <c r="AK1062" s="50"/>
      <c r="AL1062" s="50"/>
      <c r="AM1062" s="50"/>
      <c r="AN1062" s="50"/>
      <c r="AO1062" s="9"/>
      <c r="AP1062" s="9"/>
    </row>
    <row r="1063" spans="1:42" x14ac:dyDescent="0.55000000000000004">
      <c r="A1063" t="str">
        <f t="shared" si="16"/>
        <v/>
      </c>
      <c r="U1063" s="49"/>
      <c r="V1063" s="49"/>
      <c r="W1063" s="49"/>
      <c r="X1063" s="49"/>
      <c r="Y1063" s="49"/>
      <c r="Z1063" s="49"/>
      <c r="AA1063" s="49"/>
      <c r="AB1063" s="49"/>
      <c r="AC1063" s="49"/>
      <c r="AD1063" s="113"/>
      <c r="AE1063" s="49"/>
      <c r="AF1063" s="51"/>
      <c r="AG1063" s="51"/>
      <c r="AH1063" s="51"/>
      <c r="AI1063" s="51"/>
      <c r="AJ1063" s="51"/>
      <c r="AK1063" s="50"/>
      <c r="AL1063" s="50"/>
      <c r="AM1063" s="50"/>
      <c r="AN1063" s="50"/>
      <c r="AO1063" s="9"/>
      <c r="AP1063" s="9"/>
    </row>
    <row r="1064" spans="1:42" x14ac:dyDescent="0.55000000000000004">
      <c r="A1064" t="str">
        <f t="shared" si="16"/>
        <v/>
      </c>
      <c r="U1064" s="49"/>
      <c r="V1064" s="49"/>
      <c r="W1064" s="49"/>
      <c r="X1064" s="49"/>
      <c r="Y1064" s="49"/>
      <c r="Z1064" s="49"/>
      <c r="AA1064" s="49"/>
      <c r="AB1064" s="49"/>
      <c r="AC1064" s="49"/>
      <c r="AD1064" s="113"/>
      <c r="AE1064" s="49"/>
      <c r="AF1064" s="52"/>
      <c r="AG1064" s="52"/>
      <c r="AH1064" s="52"/>
      <c r="AI1064" s="52"/>
      <c r="AJ1064" s="52"/>
      <c r="AK1064" s="50"/>
      <c r="AL1064" s="50"/>
      <c r="AM1064" s="50"/>
      <c r="AN1064" s="50"/>
      <c r="AO1064" s="9"/>
      <c r="AP1064" s="9"/>
    </row>
    <row r="1065" spans="1:42" x14ac:dyDescent="0.55000000000000004">
      <c r="A1065" t="str">
        <f t="shared" si="16"/>
        <v/>
      </c>
      <c r="U1065" s="49"/>
      <c r="V1065" s="49"/>
      <c r="W1065" s="49"/>
      <c r="X1065" s="49"/>
      <c r="Y1065" s="49"/>
      <c r="Z1065" s="49"/>
      <c r="AA1065" s="49"/>
      <c r="AB1065" s="49"/>
      <c r="AC1065" s="49"/>
      <c r="AD1065" s="113"/>
      <c r="AE1065" s="49"/>
      <c r="AF1065" s="51"/>
      <c r="AG1065" s="51"/>
      <c r="AH1065" s="51"/>
      <c r="AI1065" s="51"/>
      <c r="AJ1065" s="51"/>
      <c r="AK1065" s="50"/>
      <c r="AL1065" s="50"/>
      <c r="AM1065" s="50"/>
      <c r="AN1065" s="50"/>
      <c r="AO1065" s="9"/>
      <c r="AP1065" s="9"/>
    </row>
    <row r="1066" spans="1:42" x14ac:dyDescent="0.55000000000000004">
      <c r="A1066" t="str">
        <f t="shared" si="16"/>
        <v/>
      </c>
      <c r="U1066" s="49"/>
      <c r="V1066" s="49"/>
      <c r="W1066" s="49"/>
      <c r="X1066" s="49"/>
      <c r="Y1066" s="49"/>
      <c r="Z1066" s="49"/>
      <c r="AA1066" s="49"/>
      <c r="AB1066" s="49"/>
      <c r="AC1066" s="49"/>
      <c r="AD1066" s="113"/>
      <c r="AE1066" s="49"/>
      <c r="AF1066" s="52"/>
      <c r="AG1066" s="52"/>
      <c r="AH1066" s="52"/>
      <c r="AI1066" s="52"/>
      <c r="AJ1066" s="52"/>
      <c r="AK1066" s="50"/>
      <c r="AL1066" s="50"/>
      <c r="AM1066" s="50"/>
      <c r="AN1066" s="50"/>
      <c r="AO1066" s="9"/>
      <c r="AP1066" s="9"/>
    </row>
    <row r="1067" spans="1:42" x14ac:dyDescent="0.55000000000000004">
      <c r="A1067" t="str">
        <f t="shared" si="16"/>
        <v/>
      </c>
      <c r="U1067" s="49"/>
      <c r="V1067" s="49"/>
      <c r="W1067" s="49"/>
      <c r="X1067" s="49"/>
      <c r="Y1067" s="49"/>
      <c r="Z1067" s="49"/>
      <c r="AA1067" s="49"/>
      <c r="AB1067" s="49"/>
      <c r="AC1067" s="49"/>
      <c r="AD1067" s="113"/>
      <c r="AE1067" s="49"/>
      <c r="AF1067" s="51"/>
      <c r="AG1067" s="51"/>
      <c r="AH1067" s="51"/>
      <c r="AI1067" s="51"/>
      <c r="AJ1067" s="51"/>
      <c r="AK1067" s="50"/>
      <c r="AL1067" s="50"/>
      <c r="AM1067" s="50"/>
      <c r="AN1067" s="50"/>
      <c r="AO1067" s="9"/>
      <c r="AP1067" s="9"/>
    </row>
    <row r="1068" spans="1:42" x14ac:dyDescent="0.55000000000000004">
      <c r="A1068" t="str">
        <f t="shared" si="16"/>
        <v/>
      </c>
      <c r="U1068" s="49"/>
      <c r="V1068" s="49"/>
      <c r="W1068" s="49"/>
      <c r="X1068" s="49"/>
      <c r="Y1068" s="49"/>
      <c r="Z1068" s="49"/>
      <c r="AA1068" s="49"/>
      <c r="AB1068" s="49"/>
      <c r="AC1068" s="49"/>
      <c r="AD1068" s="113"/>
      <c r="AE1068" s="49"/>
      <c r="AF1068" s="50"/>
      <c r="AG1068" s="50"/>
      <c r="AH1068" s="50"/>
      <c r="AI1068" s="50"/>
      <c r="AJ1068" s="50"/>
      <c r="AK1068" s="50"/>
      <c r="AL1068" s="50"/>
      <c r="AM1068" s="50"/>
      <c r="AN1068" s="50"/>
      <c r="AO1068" s="9"/>
      <c r="AP1068" s="9"/>
    </row>
    <row r="1069" spans="1:42" x14ac:dyDescent="0.55000000000000004">
      <c r="A1069" t="str">
        <f t="shared" si="16"/>
        <v/>
      </c>
      <c r="U1069" s="49"/>
      <c r="V1069" s="49"/>
      <c r="W1069" s="49"/>
      <c r="X1069" s="49"/>
      <c r="Y1069" s="49"/>
      <c r="Z1069" s="49"/>
      <c r="AA1069" s="49"/>
      <c r="AB1069" s="49"/>
      <c r="AC1069" s="49"/>
      <c r="AD1069" s="113"/>
      <c r="AE1069" s="49"/>
      <c r="AF1069" s="50"/>
      <c r="AG1069" s="50"/>
      <c r="AH1069" s="50"/>
      <c r="AI1069" s="50"/>
      <c r="AJ1069" s="50"/>
      <c r="AK1069" s="50"/>
      <c r="AL1069" s="50"/>
      <c r="AM1069" s="50"/>
      <c r="AN1069" s="50"/>
      <c r="AO1069" s="9"/>
      <c r="AP1069" s="9"/>
    </row>
    <row r="1070" spans="1:42" x14ac:dyDescent="0.55000000000000004">
      <c r="A1070" t="str">
        <f t="shared" si="16"/>
        <v/>
      </c>
      <c r="U1070" s="49"/>
      <c r="V1070" s="49"/>
      <c r="W1070" s="49"/>
      <c r="X1070" s="49"/>
      <c r="Y1070" s="49"/>
      <c r="Z1070" s="49"/>
      <c r="AA1070" s="49"/>
      <c r="AB1070" s="49"/>
      <c r="AC1070" s="49"/>
      <c r="AD1070" s="113"/>
      <c r="AE1070" s="49"/>
      <c r="AF1070" s="50"/>
      <c r="AG1070" s="50"/>
      <c r="AH1070" s="50"/>
      <c r="AI1070" s="50"/>
      <c r="AJ1070" s="50"/>
      <c r="AK1070" s="50"/>
      <c r="AL1070" s="50"/>
      <c r="AM1070" s="50"/>
      <c r="AN1070" s="50"/>
      <c r="AO1070" s="9"/>
      <c r="AP1070" s="9"/>
    </row>
    <row r="1071" spans="1:42" x14ac:dyDescent="0.55000000000000004">
      <c r="A1071" t="str">
        <f t="shared" si="16"/>
        <v/>
      </c>
      <c r="U1071" s="49"/>
      <c r="V1071" s="49"/>
      <c r="W1071" s="49"/>
      <c r="X1071" s="49"/>
      <c r="Y1071" s="49"/>
      <c r="Z1071" s="49"/>
      <c r="AA1071" s="49"/>
      <c r="AB1071" s="49"/>
      <c r="AC1071" s="49"/>
      <c r="AD1071" s="113"/>
      <c r="AE1071" s="49"/>
      <c r="AF1071" s="50"/>
      <c r="AG1071" s="50"/>
      <c r="AH1071" s="50"/>
      <c r="AI1071" s="50"/>
      <c r="AJ1071" s="50"/>
      <c r="AK1071" s="50"/>
      <c r="AL1071" s="50"/>
      <c r="AM1071" s="50"/>
      <c r="AN1071" s="50"/>
      <c r="AO1071" s="9"/>
      <c r="AP1071" s="9"/>
    </row>
    <row r="1072" spans="1:42" x14ac:dyDescent="0.55000000000000004">
      <c r="A1072" t="str">
        <f t="shared" si="16"/>
        <v/>
      </c>
      <c r="U1072" s="49"/>
      <c r="V1072" s="49"/>
      <c r="W1072" s="49"/>
      <c r="X1072" s="49"/>
      <c r="Y1072" s="49"/>
      <c r="Z1072" s="49"/>
      <c r="AA1072" s="49"/>
      <c r="AB1072" s="49"/>
      <c r="AC1072" s="49"/>
      <c r="AD1072" s="113"/>
      <c r="AE1072" s="49"/>
      <c r="AF1072" s="50"/>
      <c r="AG1072" s="50"/>
      <c r="AH1072" s="50"/>
      <c r="AI1072" s="50"/>
      <c r="AJ1072" s="50"/>
      <c r="AK1072" s="50"/>
      <c r="AL1072" s="50"/>
      <c r="AM1072" s="50"/>
      <c r="AN1072" s="50"/>
      <c r="AO1072" s="9"/>
      <c r="AP1072" s="9"/>
    </row>
    <row r="1073" spans="1:42" x14ac:dyDescent="0.55000000000000004">
      <c r="A1073" t="str">
        <f t="shared" si="16"/>
        <v/>
      </c>
      <c r="U1073" s="49"/>
      <c r="V1073" s="49"/>
      <c r="W1073" s="49"/>
      <c r="X1073" s="49"/>
      <c r="Y1073" s="49"/>
      <c r="Z1073" s="49"/>
      <c r="AA1073" s="49"/>
      <c r="AB1073" s="49"/>
      <c r="AC1073" s="49"/>
      <c r="AD1073" s="113"/>
      <c r="AE1073" s="49"/>
      <c r="AF1073" s="50"/>
      <c r="AG1073" s="50"/>
      <c r="AH1073" s="50"/>
      <c r="AI1073" s="50"/>
      <c r="AJ1073" s="50"/>
      <c r="AK1073" s="50"/>
      <c r="AL1073" s="50"/>
      <c r="AM1073" s="50"/>
      <c r="AN1073" s="50"/>
      <c r="AO1073" s="9"/>
      <c r="AP1073" s="9"/>
    </row>
    <row r="1074" spans="1:42" x14ac:dyDescent="0.55000000000000004">
      <c r="A1074" t="str">
        <f t="shared" si="16"/>
        <v/>
      </c>
      <c r="U1074" s="49"/>
      <c r="V1074" s="49"/>
      <c r="W1074" s="49"/>
      <c r="X1074" s="49"/>
      <c r="Y1074" s="49"/>
      <c r="Z1074" s="49"/>
      <c r="AA1074" s="49"/>
      <c r="AB1074" s="49"/>
      <c r="AC1074" s="49"/>
      <c r="AD1074" s="113"/>
      <c r="AE1074" s="49"/>
      <c r="AF1074" s="50"/>
      <c r="AG1074" s="50"/>
      <c r="AH1074" s="50"/>
      <c r="AI1074" s="50"/>
      <c r="AJ1074" s="50"/>
      <c r="AK1074" s="50"/>
      <c r="AL1074" s="50"/>
      <c r="AM1074" s="50"/>
      <c r="AN1074" s="50"/>
      <c r="AO1074" s="9"/>
      <c r="AP1074" s="9"/>
    </row>
    <row r="1075" spans="1:42" x14ac:dyDescent="0.55000000000000004">
      <c r="A1075" t="str">
        <f t="shared" si="16"/>
        <v/>
      </c>
      <c r="U1075" s="49"/>
      <c r="V1075" s="49"/>
      <c r="W1075" s="49"/>
      <c r="X1075" s="49"/>
      <c r="Y1075" s="49"/>
      <c r="Z1075" s="49"/>
      <c r="AA1075" s="49"/>
      <c r="AB1075" s="49"/>
      <c r="AC1075" s="49"/>
      <c r="AD1075" s="113"/>
      <c r="AE1075" s="49"/>
      <c r="AF1075" s="50"/>
      <c r="AG1075" s="50"/>
      <c r="AH1075" s="50"/>
      <c r="AI1075" s="50"/>
      <c r="AJ1075" s="50"/>
      <c r="AK1075" s="50"/>
      <c r="AL1075" s="50"/>
      <c r="AM1075" s="50"/>
      <c r="AN1075" s="50"/>
      <c r="AO1075" s="9"/>
      <c r="AP1075" s="9"/>
    </row>
    <row r="1076" spans="1:42" x14ac:dyDescent="0.55000000000000004">
      <c r="A1076" t="str">
        <f t="shared" si="16"/>
        <v/>
      </c>
      <c r="U1076" s="49"/>
      <c r="V1076" s="49"/>
      <c r="W1076" s="49"/>
      <c r="X1076" s="49"/>
      <c r="Y1076" s="49"/>
      <c r="Z1076" s="49"/>
      <c r="AA1076" s="49"/>
      <c r="AB1076" s="49"/>
      <c r="AC1076" s="49"/>
      <c r="AD1076" s="113"/>
      <c r="AE1076" s="49"/>
      <c r="AF1076" s="50"/>
      <c r="AG1076" s="50"/>
      <c r="AH1076" s="50"/>
      <c r="AI1076" s="50"/>
      <c r="AJ1076" s="50"/>
      <c r="AK1076" s="50"/>
      <c r="AL1076" s="50"/>
      <c r="AM1076" s="50"/>
      <c r="AN1076" s="50"/>
      <c r="AO1076" s="9"/>
      <c r="AP1076" s="9"/>
    </row>
    <row r="1077" spans="1:42" x14ac:dyDescent="0.55000000000000004">
      <c r="A1077" t="str">
        <f t="shared" si="16"/>
        <v/>
      </c>
      <c r="U1077" s="49"/>
      <c r="V1077" s="49"/>
      <c r="W1077" s="49"/>
      <c r="X1077" s="49"/>
      <c r="Y1077" s="49"/>
      <c r="Z1077" s="49"/>
      <c r="AA1077" s="49"/>
      <c r="AB1077" s="49"/>
      <c r="AC1077" s="49"/>
      <c r="AD1077" s="113"/>
      <c r="AE1077" s="49"/>
      <c r="AF1077" s="50"/>
      <c r="AG1077" s="50"/>
      <c r="AH1077" s="50"/>
      <c r="AI1077" s="50"/>
      <c r="AJ1077" s="50"/>
      <c r="AK1077" s="50"/>
      <c r="AL1077" s="50"/>
      <c r="AM1077" s="50"/>
      <c r="AN1077" s="50"/>
      <c r="AO1077" s="9"/>
      <c r="AP1077" s="9"/>
    </row>
    <row r="1078" spans="1:42" x14ac:dyDescent="0.55000000000000004">
      <c r="A1078" t="str">
        <f t="shared" si="16"/>
        <v/>
      </c>
      <c r="U1078" s="49"/>
      <c r="V1078" s="49"/>
      <c r="W1078" s="49"/>
      <c r="X1078" s="49"/>
      <c r="Y1078" s="49"/>
      <c r="Z1078" s="49"/>
      <c r="AA1078" s="49"/>
      <c r="AB1078" s="49"/>
      <c r="AC1078" s="49"/>
      <c r="AD1078" s="113"/>
      <c r="AE1078" s="49"/>
      <c r="AF1078" s="50"/>
      <c r="AG1078" s="50"/>
      <c r="AH1078" s="50"/>
      <c r="AI1078" s="50"/>
      <c r="AJ1078" s="50"/>
      <c r="AK1078" s="50"/>
      <c r="AL1078" s="50"/>
      <c r="AM1078" s="50"/>
      <c r="AN1078" s="50"/>
      <c r="AO1078" s="9"/>
      <c r="AP1078" s="9"/>
    </row>
    <row r="1079" spans="1:42" x14ac:dyDescent="0.55000000000000004">
      <c r="A1079" t="str">
        <f t="shared" si="16"/>
        <v/>
      </c>
      <c r="U1079" s="49"/>
      <c r="V1079" s="49"/>
      <c r="W1079" s="49"/>
      <c r="X1079" s="49"/>
      <c r="Y1079" s="49"/>
      <c r="Z1079" s="49"/>
      <c r="AA1079" s="49"/>
      <c r="AB1079" s="49"/>
      <c r="AC1079" s="49"/>
      <c r="AD1079" s="113"/>
      <c r="AE1079" s="49"/>
      <c r="AF1079" s="50"/>
      <c r="AG1079" s="50"/>
      <c r="AH1079" s="50"/>
      <c r="AI1079" s="50"/>
      <c r="AJ1079" s="50"/>
      <c r="AK1079" s="50"/>
      <c r="AL1079" s="50"/>
      <c r="AM1079" s="50"/>
      <c r="AN1079" s="50"/>
      <c r="AO1079" s="9"/>
      <c r="AP1079" s="9"/>
    </row>
    <row r="1080" spans="1:42" x14ac:dyDescent="0.55000000000000004">
      <c r="A1080" t="str">
        <f t="shared" si="16"/>
        <v/>
      </c>
      <c r="U1080" s="49"/>
      <c r="V1080" s="49"/>
      <c r="W1080" s="49"/>
      <c r="X1080" s="49"/>
      <c r="Y1080" s="49"/>
      <c r="Z1080" s="49"/>
      <c r="AA1080" s="49"/>
      <c r="AB1080" s="49"/>
      <c r="AC1080" s="49"/>
      <c r="AD1080" s="113"/>
      <c r="AE1080" s="49"/>
      <c r="AF1080" s="50"/>
      <c r="AG1080" s="50"/>
      <c r="AH1080" s="50"/>
      <c r="AI1080" s="50"/>
      <c r="AJ1080" s="50"/>
      <c r="AK1080" s="50"/>
      <c r="AL1080" s="50"/>
      <c r="AM1080" s="50"/>
      <c r="AN1080" s="50"/>
      <c r="AO1080" s="9"/>
      <c r="AP1080" s="9"/>
    </row>
    <row r="1081" spans="1:42" x14ac:dyDescent="0.55000000000000004">
      <c r="A1081" t="str">
        <f t="shared" si="16"/>
        <v/>
      </c>
      <c r="U1081" s="49"/>
      <c r="V1081" s="49"/>
      <c r="W1081" s="49"/>
      <c r="X1081" s="49"/>
      <c r="Y1081" s="49"/>
      <c r="Z1081" s="49"/>
      <c r="AA1081" s="49"/>
      <c r="AB1081" s="49"/>
      <c r="AC1081" s="49"/>
      <c r="AD1081" s="113"/>
      <c r="AE1081" s="49"/>
      <c r="AF1081" s="50"/>
      <c r="AG1081" s="50"/>
      <c r="AH1081" s="50"/>
      <c r="AI1081" s="50"/>
      <c r="AJ1081" s="50"/>
      <c r="AK1081" s="50"/>
      <c r="AL1081" s="50"/>
      <c r="AM1081" s="50"/>
      <c r="AN1081" s="50"/>
      <c r="AO1081" s="9"/>
      <c r="AP1081" s="9"/>
    </row>
    <row r="1082" spans="1:42" x14ac:dyDescent="0.55000000000000004">
      <c r="A1082" t="str">
        <f t="shared" si="16"/>
        <v/>
      </c>
      <c r="U1082" s="49"/>
      <c r="V1082" s="49"/>
      <c r="W1082" s="49"/>
      <c r="X1082" s="49"/>
      <c r="Y1082" s="49"/>
      <c r="Z1082" s="49"/>
      <c r="AA1082" s="49"/>
      <c r="AB1082" s="49"/>
      <c r="AC1082" s="49"/>
      <c r="AD1082" s="113"/>
      <c r="AE1082" s="49"/>
      <c r="AF1082" s="50"/>
      <c r="AG1082" s="50"/>
      <c r="AH1082" s="50"/>
      <c r="AI1082" s="50"/>
      <c r="AJ1082" s="50"/>
      <c r="AK1082" s="50"/>
      <c r="AL1082" s="50"/>
      <c r="AM1082" s="50"/>
      <c r="AN1082" s="50"/>
      <c r="AO1082" s="9"/>
      <c r="AP1082" s="9"/>
    </row>
    <row r="1083" spans="1:42" x14ac:dyDescent="0.55000000000000004">
      <c r="A1083" t="str">
        <f t="shared" si="16"/>
        <v/>
      </c>
      <c r="U1083" s="49"/>
      <c r="V1083" s="49"/>
      <c r="W1083" s="49"/>
      <c r="X1083" s="49"/>
      <c r="Y1083" s="49"/>
      <c r="Z1083" s="49"/>
      <c r="AA1083" s="49"/>
      <c r="AB1083" s="49"/>
      <c r="AC1083" s="49"/>
      <c r="AD1083" s="113"/>
      <c r="AE1083" s="49"/>
      <c r="AF1083" s="50"/>
      <c r="AG1083" s="50"/>
      <c r="AH1083" s="50"/>
      <c r="AI1083" s="50"/>
      <c r="AJ1083" s="50"/>
      <c r="AK1083" s="50"/>
      <c r="AL1083" s="50"/>
      <c r="AM1083" s="50"/>
      <c r="AN1083" s="50"/>
      <c r="AO1083" s="9"/>
      <c r="AP1083" s="9"/>
    </row>
    <row r="1084" spans="1:42" x14ac:dyDescent="0.55000000000000004">
      <c r="A1084" t="str">
        <f t="shared" si="16"/>
        <v/>
      </c>
      <c r="U1084" s="49"/>
      <c r="V1084" s="49"/>
      <c r="W1084" s="49"/>
      <c r="X1084" s="49"/>
      <c r="Y1084" s="49"/>
      <c r="Z1084" s="49"/>
      <c r="AA1084" s="49"/>
      <c r="AB1084" s="49"/>
      <c r="AC1084" s="49"/>
      <c r="AD1084" s="113"/>
      <c r="AE1084" s="49"/>
      <c r="AF1084" s="50"/>
      <c r="AG1084" s="50"/>
      <c r="AH1084" s="50"/>
      <c r="AI1084" s="50"/>
      <c r="AJ1084" s="50"/>
      <c r="AK1084" s="50"/>
      <c r="AL1084" s="50"/>
      <c r="AM1084" s="50"/>
      <c r="AN1084" s="50"/>
      <c r="AO1084" s="9"/>
      <c r="AP1084" s="9"/>
    </row>
    <row r="1085" spans="1:42" x14ac:dyDescent="0.55000000000000004">
      <c r="A1085" t="str">
        <f t="shared" si="16"/>
        <v/>
      </c>
      <c r="U1085" s="49"/>
      <c r="V1085" s="49"/>
      <c r="W1085" s="49"/>
      <c r="X1085" s="49"/>
      <c r="Y1085" s="49"/>
      <c r="Z1085" s="49"/>
      <c r="AA1085" s="49"/>
      <c r="AB1085" s="49"/>
      <c r="AC1085" s="49"/>
      <c r="AD1085" s="113"/>
      <c r="AE1085" s="49"/>
      <c r="AF1085" s="50"/>
      <c r="AG1085" s="50"/>
      <c r="AH1085" s="50"/>
      <c r="AI1085" s="50"/>
      <c r="AJ1085" s="50"/>
      <c r="AK1085" s="50"/>
      <c r="AL1085" s="50"/>
      <c r="AM1085" s="50"/>
      <c r="AN1085" s="50"/>
      <c r="AO1085" s="9"/>
      <c r="AP1085" s="9"/>
    </row>
    <row r="1086" spans="1:42" x14ac:dyDescent="0.55000000000000004">
      <c r="A1086" t="str">
        <f t="shared" si="16"/>
        <v/>
      </c>
      <c r="U1086" s="49"/>
      <c r="V1086" s="49"/>
      <c r="W1086" s="49"/>
      <c r="X1086" s="49"/>
      <c r="Y1086" s="49"/>
      <c r="Z1086" s="49"/>
      <c r="AA1086" s="49"/>
      <c r="AB1086" s="49"/>
      <c r="AC1086" s="49"/>
      <c r="AD1086" s="113"/>
      <c r="AE1086" s="49"/>
      <c r="AF1086" s="50"/>
      <c r="AG1086" s="50"/>
      <c r="AH1086" s="50"/>
      <c r="AI1086" s="50"/>
      <c r="AJ1086" s="50"/>
      <c r="AK1086" s="50"/>
      <c r="AL1086" s="50"/>
      <c r="AM1086" s="50"/>
      <c r="AN1086" s="50"/>
      <c r="AO1086" s="9"/>
      <c r="AP1086" s="9"/>
    </row>
    <row r="1087" spans="1:42" x14ac:dyDescent="0.55000000000000004">
      <c r="A1087" t="str">
        <f t="shared" si="16"/>
        <v/>
      </c>
      <c r="U1087" s="49"/>
      <c r="V1087" s="49"/>
      <c r="W1087" s="49"/>
      <c r="X1087" s="49"/>
      <c r="Y1087" s="49"/>
      <c r="Z1087" s="49"/>
      <c r="AA1087" s="49"/>
      <c r="AB1087" s="49"/>
      <c r="AC1087" s="49"/>
      <c r="AD1087" s="113"/>
      <c r="AE1087" s="49"/>
      <c r="AF1087" s="50"/>
      <c r="AG1087" s="50"/>
      <c r="AH1087" s="50"/>
      <c r="AI1087" s="50"/>
      <c r="AJ1087" s="50"/>
      <c r="AK1087" s="50"/>
      <c r="AL1087" s="50"/>
      <c r="AM1087" s="50"/>
      <c r="AN1087" s="50"/>
      <c r="AO1087" s="9"/>
      <c r="AP1087" s="9"/>
    </row>
    <row r="1088" spans="1:42" x14ac:dyDescent="0.55000000000000004">
      <c r="A1088" t="str">
        <f t="shared" si="16"/>
        <v/>
      </c>
      <c r="U1088" s="49"/>
      <c r="V1088" s="49"/>
      <c r="W1088" s="49"/>
      <c r="X1088" s="49"/>
      <c r="Y1088" s="49"/>
      <c r="Z1088" s="49"/>
      <c r="AA1088" s="49"/>
      <c r="AB1088" s="49"/>
      <c r="AC1088" s="49"/>
      <c r="AD1088" s="113"/>
      <c r="AE1088" s="49"/>
      <c r="AF1088" s="50"/>
      <c r="AG1088" s="50"/>
      <c r="AH1088" s="50"/>
      <c r="AI1088" s="50"/>
      <c r="AJ1088" s="50"/>
      <c r="AK1088" s="50"/>
      <c r="AL1088" s="50"/>
      <c r="AM1088" s="50"/>
      <c r="AN1088" s="50"/>
      <c r="AO1088" s="9"/>
      <c r="AP1088" s="9"/>
    </row>
    <row r="1089" spans="1:42" x14ac:dyDescent="0.55000000000000004">
      <c r="A1089" t="str">
        <f t="shared" si="16"/>
        <v/>
      </c>
      <c r="U1089" s="49"/>
      <c r="V1089" s="49"/>
      <c r="W1089" s="49"/>
      <c r="X1089" s="49"/>
      <c r="Y1089" s="49"/>
      <c r="Z1089" s="49"/>
      <c r="AA1089" s="49"/>
      <c r="AB1089" s="49"/>
      <c r="AC1089" s="49"/>
      <c r="AD1089" s="113"/>
      <c r="AE1089" s="49"/>
      <c r="AF1089" s="50"/>
      <c r="AG1089" s="50"/>
      <c r="AH1089" s="50"/>
      <c r="AI1089" s="50"/>
      <c r="AJ1089" s="50"/>
      <c r="AK1089" s="50"/>
      <c r="AL1089" s="50"/>
      <c r="AM1089" s="50"/>
      <c r="AN1089" s="50"/>
      <c r="AO1089" s="9"/>
      <c r="AP1089" s="9"/>
    </row>
    <row r="1090" spans="1:42" x14ac:dyDescent="0.55000000000000004">
      <c r="A1090" t="str">
        <f t="shared" si="16"/>
        <v/>
      </c>
      <c r="U1090" s="49"/>
      <c r="V1090" s="49"/>
      <c r="W1090" s="49"/>
      <c r="X1090" s="49"/>
      <c r="Y1090" s="49"/>
      <c r="Z1090" s="49"/>
      <c r="AA1090" s="49"/>
      <c r="AB1090" s="49"/>
      <c r="AC1090" s="49"/>
      <c r="AD1090" s="113"/>
      <c r="AE1090" s="49"/>
      <c r="AF1090" s="50"/>
      <c r="AG1090" s="50"/>
      <c r="AH1090" s="50"/>
      <c r="AI1090" s="50"/>
      <c r="AJ1090" s="50"/>
      <c r="AK1090" s="50"/>
      <c r="AL1090" s="50"/>
      <c r="AM1090" s="50"/>
      <c r="AN1090" s="50"/>
      <c r="AO1090" s="9"/>
      <c r="AP1090" s="9"/>
    </row>
    <row r="1091" spans="1:42" x14ac:dyDescent="0.55000000000000004">
      <c r="A1091" t="str">
        <f t="shared" ref="A1091:A1154" si="17">H1091&amp;I1091&amp;J1091</f>
        <v/>
      </c>
      <c r="U1091" s="49"/>
      <c r="V1091" s="49"/>
      <c r="W1091" s="49"/>
      <c r="X1091" s="49"/>
      <c r="Y1091" s="49"/>
      <c r="Z1091" s="49"/>
      <c r="AA1091" s="49"/>
      <c r="AB1091" s="49"/>
      <c r="AC1091" s="49"/>
      <c r="AD1091" s="113"/>
      <c r="AE1091" s="49"/>
      <c r="AF1091" s="50"/>
      <c r="AG1091" s="50"/>
      <c r="AH1091" s="50"/>
      <c r="AI1091" s="50"/>
      <c r="AJ1091" s="50"/>
      <c r="AK1091" s="50"/>
      <c r="AL1091" s="50"/>
      <c r="AM1091" s="50"/>
      <c r="AN1091" s="50"/>
      <c r="AO1091" s="9"/>
      <c r="AP1091" s="9"/>
    </row>
    <row r="1092" spans="1:42" x14ac:dyDescent="0.55000000000000004">
      <c r="A1092" t="str">
        <f t="shared" si="17"/>
        <v/>
      </c>
      <c r="U1092" s="49"/>
      <c r="V1092" s="49"/>
      <c r="W1092" s="49"/>
      <c r="X1092" s="49"/>
      <c r="Y1092" s="49"/>
      <c r="Z1092" s="49"/>
      <c r="AA1092" s="49"/>
      <c r="AB1092" s="49"/>
      <c r="AC1092" s="49"/>
      <c r="AD1092" s="113"/>
      <c r="AE1092" s="49"/>
      <c r="AF1092" s="50"/>
      <c r="AG1092" s="50"/>
      <c r="AH1092" s="50"/>
      <c r="AI1092" s="50"/>
      <c r="AJ1092" s="50"/>
      <c r="AK1092" s="50"/>
      <c r="AL1092" s="50"/>
      <c r="AM1092" s="50"/>
      <c r="AN1092" s="50"/>
      <c r="AO1092" s="9"/>
      <c r="AP1092" s="9"/>
    </row>
    <row r="1093" spans="1:42" x14ac:dyDescent="0.55000000000000004">
      <c r="A1093" t="str">
        <f t="shared" si="17"/>
        <v/>
      </c>
      <c r="U1093" s="49"/>
      <c r="V1093" s="49"/>
      <c r="W1093" s="49"/>
      <c r="X1093" s="49"/>
      <c r="Y1093" s="49"/>
      <c r="Z1093" s="49"/>
      <c r="AA1093" s="49"/>
      <c r="AB1093" s="49"/>
      <c r="AC1093" s="49"/>
      <c r="AD1093" s="113"/>
      <c r="AE1093" s="49"/>
      <c r="AF1093" s="50"/>
      <c r="AG1093" s="50"/>
      <c r="AH1093" s="50"/>
      <c r="AI1093" s="50"/>
      <c r="AJ1093" s="50"/>
      <c r="AK1093" s="50"/>
      <c r="AL1093" s="50"/>
      <c r="AM1093" s="50"/>
      <c r="AN1093" s="50"/>
      <c r="AO1093" s="9"/>
      <c r="AP1093" s="9"/>
    </row>
    <row r="1094" spans="1:42" x14ac:dyDescent="0.55000000000000004">
      <c r="A1094" t="str">
        <f t="shared" si="17"/>
        <v/>
      </c>
      <c r="U1094" s="49"/>
      <c r="V1094" s="49"/>
      <c r="W1094" s="49"/>
      <c r="X1094" s="49"/>
      <c r="Y1094" s="49"/>
      <c r="Z1094" s="49"/>
      <c r="AA1094" s="49"/>
      <c r="AB1094" s="49"/>
      <c r="AC1094" s="49"/>
      <c r="AD1094" s="113"/>
      <c r="AE1094" s="49"/>
      <c r="AF1094" s="50"/>
      <c r="AG1094" s="50"/>
      <c r="AH1094" s="50"/>
      <c r="AI1094" s="50"/>
      <c r="AJ1094" s="50"/>
      <c r="AK1094" s="50"/>
      <c r="AL1094" s="50"/>
      <c r="AM1094" s="50"/>
      <c r="AN1094" s="50"/>
      <c r="AO1094" s="9"/>
      <c r="AP1094" s="9"/>
    </row>
    <row r="1095" spans="1:42" x14ac:dyDescent="0.55000000000000004">
      <c r="A1095" t="str">
        <f t="shared" si="17"/>
        <v/>
      </c>
      <c r="U1095" s="49"/>
      <c r="V1095" s="49"/>
      <c r="W1095" s="49"/>
      <c r="X1095" s="49"/>
      <c r="Y1095" s="49"/>
      <c r="Z1095" s="49"/>
      <c r="AA1095" s="49"/>
      <c r="AB1095" s="49"/>
      <c r="AC1095" s="49"/>
      <c r="AD1095" s="113"/>
      <c r="AE1095" s="49"/>
      <c r="AF1095" s="50"/>
      <c r="AG1095" s="50"/>
      <c r="AH1095" s="50"/>
      <c r="AI1095" s="50"/>
      <c r="AJ1095" s="50"/>
      <c r="AK1095" s="50"/>
      <c r="AL1095" s="50"/>
      <c r="AM1095" s="50"/>
      <c r="AN1095" s="50"/>
      <c r="AO1095" s="9"/>
      <c r="AP1095" s="9"/>
    </row>
    <row r="1096" spans="1:42" x14ac:dyDescent="0.55000000000000004">
      <c r="A1096" t="str">
        <f t="shared" si="17"/>
        <v/>
      </c>
      <c r="U1096" s="49"/>
      <c r="V1096" s="49"/>
      <c r="W1096" s="49"/>
      <c r="X1096" s="49"/>
      <c r="Y1096" s="49"/>
      <c r="Z1096" s="49"/>
      <c r="AA1096" s="49"/>
      <c r="AB1096" s="49"/>
      <c r="AC1096" s="49"/>
      <c r="AD1096" s="113"/>
      <c r="AE1096" s="49"/>
      <c r="AF1096" s="50"/>
      <c r="AG1096" s="50"/>
      <c r="AH1096" s="50"/>
      <c r="AI1096" s="50"/>
      <c r="AJ1096" s="50"/>
      <c r="AK1096" s="50"/>
      <c r="AL1096" s="50"/>
      <c r="AM1096" s="50"/>
      <c r="AN1096" s="50"/>
      <c r="AO1096" s="9"/>
      <c r="AP1096" s="9"/>
    </row>
    <row r="1097" spans="1:42" x14ac:dyDescent="0.55000000000000004">
      <c r="A1097" t="str">
        <f t="shared" si="17"/>
        <v/>
      </c>
      <c r="U1097" s="49"/>
      <c r="V1097" s="49"/>
      <c r="W1097" s="49"/>
      <c r="X1097" s="49"/>
      <c r="Y1097" s="49"/>
      <c r="Z1097" s="49"/>
      <c r="AA1097" s="49"/>
      <c r="AB1097" s="49"/>
      <c r="AC1097" s="49"/>
      <c r="AD1097" s="113"/>
      <c r="AE1097" s="49"/>
      <c r="AF1097" s="50"/>
      <c r="AG1097" s="50"/>
      <c r="AH1097" s="50"/>
      <c r="AI1097" s="50"/>
      <c r="AJ1097" s="50"/>
      <c r="AK1097" s="50"/>
      <c r="AL1097" s="50"/>
      <c r="AM1097" s="50"/>
      <c r="AN1097" s="50"/>
      <c r="AO1097" s="9"/>
      <c r="AP1097" s="9"/>
    </row>
    <row r="1098" spans="1:42" x14ac:dyDescent="0.55000000000000004">
      <c r="A1098" t="str">
        <f t="shared" si="17"/>
        <v/>
      </c>
      <c r="U1098" s="49"/>
      <c r="V1098" s="49"/>
      <c r="W1098" s="49"/>
      <c r="X1098" s="49"/>
      <c r="Y1098" s="49"/>
      <c r="Z1098" s="49"/>
      <c r="AA1098" s="49"/>
      <c r="AB1098" s="49"/>
      <c r="AC1098" s="49"/>
      <c r="AD1098" s="113"/>
      <c r="AE1098" s="49"/>
      <c r="AF1098" s="50"/>
      <c r="AG1098" s="50"/>
      <c r="AH1098" s="50"/>
      <c r="AI1098" s="50"/>
      <c r="AJ1098" s="50"/>
      <c r="AK1098" s="50"/>
      <c r="AL1098" s="50"/>
      <c r="AM1098" s="50"/>
      <c r="AN1098" s="50"/>
      <c r="AO1098" s="9"/>
      <c r="AP1098" s="9"/>
    </row>
    <row r="1099" spans="1:42" x14ac:dyDescent="0.55000000000000004">
      <c r="A1099" t="str">
        <f t="shared" si="17"/>
        <v/>
      </c>
      <c r="U1099" s="49"/>
      <c r="V1099" s="49"/>
      <c r="W1099" s="49"/>
      <c r="X1099" s="49"/>
      <c r="Y1099" s="49"/>
      <c r="Z1099" s="49"/>
      <c r="AA1099" s="49"/>
      <c r="AB1099" s="49"/>
      <c r="AC1099" s="49"/>
      <c r="AD1099" s="113"/>
      <c r="AE1099" s="49"/>
      <c r="AF1099" s="50"/>
      <c r="AG1099" s="50"/>
      <c r="AH1099" s="50"/>
      <c r="AI1099" s="50"/>
      <c r="AJ1099" s="50"/>
      <c r="AK1099" s="50"/>
      <c r="AL1099" s="50"/>
      <c r="AM1099" s="50"/>
      <c r="AN1099" s="50"/>
      <c r="AO1099" s="9"/>
      <c r="AP1099" s="9"/>
    </row>
    <row r="1100" spans="1:42" x14ac:dyDescent="0.55000000000000004">
      <c r="A1100" t="str">
        <f t="shared" si="17"/>
        <v/>
      </c>
      <c r="U1100" s="49"/>
      <c r="V1100" s="49"/>
      <c r="W1100" s="49"/>
      <c r="X1100" s="49"/>
      <c r="Y1100" s="49"/>
      <c r="Z1100" s="49"/>
      <c r="AA1100" s="49"/>
      <c r="AB1100" s="49"/>
      <c r="AC1100" s="49"/>
      <c r="AD1100" s="113"/>
      <c r="AE1100" s="49"/>
      <c r="AF1100" s="50"/>
      <c r="AG1100" s="50"/>
      <c r="AH1100" s="50"/>
      <c r="AI1100" s="50"/>
      <c r="AJ1100" s="50"/>
      <c r="AK1100" s="50"/>
      <c r="AL1100" s="50"/>
      <c r="AM1100" s="50"/>
      <c r="AN1100" s="50"/>
      <c r="AO1100" s="9"/>
      <c r="AP1100" s="9"/>
    </row>
    <row r="1101" spans="1:42" x14ac:dyDescent="0.55000000000000004">
      <c r="A1101" t="str">
        <f t="shared" si="17"/>
        <v/>
      </c>
      <c r="U1101" s="49"/>
      <c r="V1101" s="49"/>
      <c r="W1101" s="49"/>
      <c r="X1101" s="49"/>
      <c r="Y1101" s="49"/>
      <c r="Z1101" s="49"/>
      <c r="AA1101" s="49"/>
      <c r="AB1101" s="49"/>
      <c r="AC1101" s="49"/>
      <c r="AD1101" s="113"/>
      <c r="AE1101" s="49"/>
      <c r="AF1101" s="50"/>
      <c r="AG1101" s="50"/>
      <c r="AH1101" s="50"/>
      <c r="AI1101" s="50"/>
      <c r="AJ1101" s="50"/>
      <c r="AK1101" s="50"/>
      <c r="AL1101" s="50"/>
      <c r="AM1101" s="50"/>
      <c r="AN1101" s="50"/>
      <c r="AO1101" s="9"/>
      <c r="AP1101" s="9"/>
    </row>
    <row r="1102" spans="1:42" x14ac:dyDescent="0.55000000000000004">
      <c r="A1102" t="str">
        <f t="shared" si="17"/>
        <v/>
      </c>
      <c r="U1102" s="49"/>
      <c r="V1102" s="49"/>
      <c r="W1102" s="49"/>
      <c r="X1102" s="49"/>
      <c r="Y1102" s="49"/>
      <c r="Z1102" s="49"/>
      <c r="AA1102" s="49"/>
      <c r="AB1102" s="49"/>
      <c r="AC1102" s="49"/>
      <c r="AD1102" s="113"/>
      <c r="AE1102" s="49"/>
      <c r="AF1102" s="50"/>
      <c r="AG1102" s="50"/>
      <c r="AH1102" s="50"/>
      <c r="AI1102" s="50"/>
      <c r="AJ1102" s="50"/>
      <c r="AK1102" s="50"/>
      <c r="AL1102" s="50"/>
      <c r="AM1102" s="50"/>
      <c r="AN1102" s="50"/>
      <c r="AO1102" s="9"/>
      <c r="AP1102" s="9"/>
    </row>
    <row r="1103" spans="1:42" x14ac:dyDescent="0.55000000000000004">
      <c r="A1103" t="str">
        <f t="shared" si="17"/>
        <v/>
      </c>
      <c r="U1103" s="49"/>
      <c r="V1103" s="49"/>
      <c r="W1103" s="49"/>
      <c r="X1103" s="49"/>
      <c r="Y1103" s="49"/>
      <c r="Z1103" s="49"/>
      <c r="AA1103" s="49"/>
      <c r="AB1103" s="49"/>
      <c r="AC1103" s="49"/>
      <c r="AD1103" s="113"/>
      <c r="AE1103" s="49"/>
      <c r="AF1103" s="50"/>
      <c r="AG1103" s="50"/>
      <c r="AH1103" s="50"/>
      <c r="AI1103" s="50"/>
      <c r="AJ1103" s="50"/>
      <c r="AK1103" s="50"/>
      <c r="AL1103" s="50"/>
      <c r="AM1103" s="50"/>
      <c r="AN1103" s="50"/>
      <c r="AO1103" s="9"/>
      <c r="AP1103" s="9"/>
    </row>
    <row r="1104" spans="1:42" x14ac:dyDescent="0.55000000000000004">
      <c r="A1104" t="str">
        <f t="shared" si="17"/>
        <v/>
      </c>
      <c r="U1104" s="49"/>
      <c r="V1104" s="49"/>
      <c r="W1104" s="49"/>
      <c r="X1104" s="49"/>
      <c r="Y1104" s="49"/>
      <c r="Z1104" s="49"/>
      <c r="AA1104" s="49"/>
      <c r="AB1104" s="49"/>
      <c r="AC1104" s="49"/>
      <c r="AD1104" s="113"/>
      <c r="AE1104" s="49"/>
      <c r="AF1104" s="50"/>
      <c r="AG1104" s="50"/>
      <c r="AH1104" s="50"/>
      <c r="AI1104" s="50"/>
      <c r="AJ1104" s="50"/>
      <c r="AK1104" s="50"/>
      <c r="AL1104" s="50"/>
      <c r="AM1104" s="50"/>
      <c r="AN1104" s="50"/>
      <c r="AO1104" s="9"/>
      <c r="AP1104" s="9"/>
    </row>
    <row r="1105" spans="1:42" x14ac:dyDescent="0.55000000000000004">
      <c r="A1105" t="str">
        <f t="shared" si="17"/>
        <v/>
      </c>
      <c r="U1105" s="49"/>
      <c r="V1105" s="49"/>
      <c r="W1105" s="49"/>
      <c r="X1105" s="49"/>
      <c r="Y1105" s="49"/>
      <c r="Z1105" s="49"/>
      <c r="AA1105" s="49"/>
      <c r="AB1105" s="49"/>
      <c r="AC1105" s="49"/>
      <c r="AD1105" s="113"/>
      <c r="AE1105" s="49"/>
      <c r="AF1105" s="50"/>
      <c r="AG1105" s="50"/>
      <c r="AH1105" s="50"/>
      <c r="AI1105" s="50"/>
      <c r="AJ1105" s="50"/>
      <c r="AK1105" s="50"/>
      <c r="AL1105" s="50"/>
      <c r="AM1105" s="50"/>
      <c r="AN1105" s="50"/>
      <c r="AO1105" s="9"/>
      <c r="AP1105" s="9"/>
    </row>
    <row r="1106" spans="1:42" x14ac:dyDescent="0.55000000000000004">
      <c r="A1106" t="str">
        <f t="shared" si="17"/>
        <v/>
      </c>
      <c r="U1106" s="49"/>
      <c r="V1106" s="49"/>
      <c r="W1106" s="49"/>
      <c r="X1106" s="49"/>
      <c r="Y1106" s="49"/>
      <c r="Z1106" s="49"/>
      <c r="AA1106" s="49"/>
      <c r="AB1106" s="49"/>
      <c r="AC1106" s="49"/>
      <c r="AD1106" s="113"/>
      <c r="AE1106" s="49"/>
      <c r="AF1106" s="50"/>
      <c r="AG1106" s="50"/>
      <c r="AH1106" s="50"/>
      <c r="AI1106" s="50"/>
      <c r="AJ1106" s="50"/>
      <c r="AK1106" s="50"/>
      <c r="AL1106" s="50"/>
      <c r="AM1106" s="50"/>
      <c r="AN1106" s="50"/>
      <c r="AO1106" s="9"/>
      <c r="AP1106" s="9"/>
    </row>
    <row r="1107" spans="1:42" x14ac:dyDescent="0.55000000000000004">
      <c r="A1107" t="str">
        <f t="shared" si="17"/>
        <v/>
      </c>
      <c r="U1107" s="49"/>
      <c r="V1107" s="49"/>
      <c r="W1107" s="49"/>
      <c r="X1107" s="49"/>
      <c r="Y1107" s="49"/>
      <c r="Z1107" s="49"/>
      <c r="AA1107" s="49"/>
      <c r="AB1107" s="49"/>
      <c r="AC1107" s="49"/>
      <c r="AD1107" s="113"/>
      <c r="AE1107" s="49"/>
      <c r="AF1107" s="50"/>
      <c r="AG1107" s="50"/>
      <c r="AH1107" s="50"/>
      <c r="AI1107" s="50"/>
      <c r="AJ1107" s="50"/>
      <c r="AK1107" s="50"/>
      <c r="AL1107" s="50"/>
      <c r="AM1107" s="50"/>
      <c r="AN1107" s="50"/>
      <c r="AO1107" s="9"/>
      <c r="AP1107" s="9"/>
    </row>
    <row r="1108" spans="1:42" x14ac:dyDescent="0.55000000000000004">
      <c r="A1108" t="str">
        <f t="shared" si="17"/>
        <v/>
      </c>
      <c r="U1108" s="49"/>
      <c r="V1108" s="49"/>
      <c r="W1108" s="49"/>
      <c r="X1108" s="49"/>
      <c r="Y1108" s="49"/>
      <c r="Z1108" s="49"/>
      <c r="AA1108" s="49"/>
      <c r="AB1108" s="49"/>
      <c r="AC1108" s="49"/>
      <c r="AD1108" s="113"/>
      <c r="AE1108" s="49"/>
      <c r="AF1108" s="50"/>
      <c r="AG1108" s="50"/>
      <c r="AH1108" s="50"/>
      <c r="AI1108" s="50"/>
      <c r="AJ1108" s="50"/>
      <c r="AK1108" s="50"/>
      <c r="AL1108" s="50"/>
      <c r="AM1108" s="50"/>
      <c r="AN1108" s="50"/>
      <c r="AO1108" s="9"/>
      <c r="AP1108" s="9"/>
    </row>
    <row r="1109" spans="1:42" x14ac:dyDescent="0.55000000000000004">
      <c r="A1109" t="str">
        <f t="shared" si="17"/>
        <v/>
      </c>
      <c r="U1109" s="49"/>
      <c r="V1109" s="49"/>
      <c r="W1109" s="49"/>
      <c r="X1109" s="49"/>
      <c r="Y1109" s="49"/>
      <c r="Z1109" s="49"/>
      <c r="AA1109" s="49"/>
      <c r="AB1109" s="49"/>
      <c r="AC1109" s="49"/>
      <c r="AD1109" s="113"/>
      <c r="AE1109" s="49"/>
      <c r="AF1109" s="50"/>
      <c r="AG1109" s="50"/>
      <c r="AH1109" s="50"/>
      <c r="AI1109" s="50"/>
      <c r="AJ1109" s="50"/>
      <c r="AK1109" s="50"/>
      <c r="AL1109" s="50"/>
      <c r="AM1109" s="50"/>
      <c r="AN1109" s="50"/>
      <c r="AO1109" s="9"/>
      <c r="AP1109" s="9"/>
    </row>
    <row r="1110" spans="1:42" x14ac:dyDescent="0.55000000000000004">
      <c r="A1110" t="str">
        <f t="shared" si="17"/>
        <v/>
      </c>
      <c r="U1110" s="49"/>
      <c r="V1110" s="49"/>
      <c r="W1110" s="49"/>
      <c r="X1110" s="49"/>
      <c r="Y1110" s="49"/>
      <c r="Z1110" s="49"/>
      <c r="AA1110" s="49"/>
      <c r="AB1110" s="49"/>
      <c r="AC1110" s="49"/>
      <c r="AD1110" s="113"/>
      <c r="AE1110" s="49"/>
      <c r="AF1110" s="50"/>
      <c r="AG1110" s="50"/>
      <c r="AH1110" s="50"/>
      <c r="AI1110" s="50"/>
      <c r="AJ1110" s="50"/>
      <c r="AK1110" s="50"/>
      <c r="AL1110" s="50"/>
      <c r="AM1110" s="50"/>
      <c r="AN1110" s="50"/>
      <c r="AO1110" s="9"/>
      <c r="AP1110" s="9"/>
    </row>
    <row r="1111" spans="1:42" x14ac:dyDescent="0.55000000000000004">
      <c r="A1111" t="str">
        <f t="shared" si="17"/>
        <v/>
      </c>
      <c r="U1111" s="49"/>
      <c r="V1111" s="49"/>
      <c r="W1111" s="49"/>
      <c r="X1111" s="49"/>
      <c r="Y1111" s="49"/>
      <c r="Z1111" s="49"/>
      <c r="AA1111" s="49"/>
      <c r="AB1111" s="49"/>
      <c r="AC1111" s="49"/>
      <c r="AD1111" s="113"/>
      <c r="AE1111" s="49"/>
      <c r="AF1111" s="50"/>
      <c r="AG1111" s="50"/>
      <c r="AH1111" s="50"/>
      <c r="AI1111" s="50"/>
      <c r="AJ1111" s="50"/>
      <c r="AK1111" s="50"/>
      <c r="AL1111" s="50"/>
      <c r="AM1111" s="50"/>
      <c r="AN1111" s="50"/>
      <c r="AO1111" s="9"/>
      <c r="AP1111" s="9"/>
    </row>
    <row r="1112" spans="1:42" x14ac:dyDescent="0.55000000000000004">
      <c r="A1112" t="str">
        <f t="shared" si="17"/>
        <v/>
      </c>
      <c r="U1112" s="49"/>
      <c r="V1112" s="49"/>
      <c r="W1112" s="49"/>
      <c r="X1112" s="49"/>
      <c r="Y1112" s="49"/>
      <c r="Z1112" s="49"/>
      <c r="AA1112" s="49"/>
      <c r="AB1112" s="49"/>
      <c r="AC1112" s="49"/>
      <c r="AD1112" s="113"/>
      <c r="AE1112" s="49"/>
      <c r="AF1112" s="50"/>
      <c r="AG1112" s="50"/>
      <c r="AH1112" s="50"/>
      <c r="AI1112" s="50"/>
      <c r="AJ1112" s="50"/>
      <c r="AK1112" s="50"/>
      <c r="AL1112" s="50"/>
      <c r="AM1112" s="50"/>
      <c r="AN1112" s="50"/>
      <c r="AO1112" s="9"/>
      <c r="AP1112" s="9"/>
    </row>
    <row r="1113" spans="1:42" x14ac:dyDescent="0.55000000000000004">
      <c r="A1113" t="str">
        <f t="shared" si="17"/>
        <v/>
      </c>
      <c r="U1113" s="49"/>
      <c r="V1113" s="49"/>
      <c r="W1113" s="49"/>
      <c r="X1113" s="49"/>
      <c r="Y1113" s="49"/>
      <c r="Z1113" s="49"/>
      <c r="AA1113" s="49"/>
      <c r="AB1113" s="49"/>
      <c r="AC1113" s="49"/>
      <c r="AD1113" s="113"/>
      <c r="AE1113" s="49"/>
      <c r="AF1113" s="50"/>
      <c r="AG1113" s="50"/>
      <c r="AH1113" s="50"/>
      <c r="AI1113" s="50"/>
      <c r="AJ1113" s="50"/>
      <c r="AK1113" s="50"/>
      <c r="AL1113" s="50"/>
      <c r="AM1113" s="50"/>
      <c r="AN1113" s="50"/>
      <c r="AO1113" s="9"/>
      <c r="AP1113" s="9"/>
    </row>
    <row r="1114" spans="1:42" x14ac:dyDescent="0.55000000000000004">
      <c r="A1114" t="str">
        <f t="shared" si="17"/>
        <v/>
      </c>
      <c r="U1114" s="49"/>
      <c r="V1114" s="49"/>
      <c r="W1114" s="49"/>
      <c r="X1114" s="49"/>
      <c r="Y1114" s="49"/>
      <c r="Z1114" s="49"/>
      <c r="AA1114" s="49"/>
      <c r="AB1114" s="49"/>
      <c r="AC1114" s="49"/>
      <c r="AD1114" s="113"/>
      <c r="AE1114" s="49"/>
      <c r="AF1114" s="50"/>
      <c r="AG1114" s="50"/>
      <c r="AH1114" s="50"/>
      <c r="AI1114" s="50"/>
      <c r="AJ1114" s="50"/>
      <c r="AK1114" s="50"/>
      <c r="AL1114" s="50"/>
      <c r="AM1114" s="50"/>
      <c r="AN1114" s="50"/>
      <c r="AO1114" s="9"/>
      <c r="AP1114" s="9"/>
    </row>
    <row r="1115" spans="1:42" x14ac:dyDescent="0.55000000000000004">
      <c r="A1115" t="str">
        <f t="shared" si="17"/>
        <v/>
      </c>
      <c r="U1115" s="49"/>
      <c r="V1115" s="49"/>
      <c r="W1115" s="49"/>
      <c r="X1115" s="49"/>
      <c r="Y1115" s="49"/>
      <c r="Z1115" s="49"/>
      <c r="AA1115" s="49"/>
      <c r="AB1115" s="49"/>
      <c r="AC1115" s="49"/>
      <c r="AD1115" s="113"/>
      <c r="AE1115" s="49"/>
      <c r="AF1115" s="50"/>
      <c r="AG1115" s="50"/>
      <c r="AH1115" s="50"/>
      <c r="AI1115" s="50"/>
      <c r="AJ1115" s="50"/>
      <c r="AK1115" s="50"/>
      <c r="AL1115" s="50"/>
      <c r="AM1115" s="50"/>
      <c r="AN1115" s="50"/>
      <c r="AO1115" s="9"/>
      <c r="AP1115" s="9"/>
    </row>
    <row r="1116" spans="1:42" x14ac:dyDescent="0.55000000000000004">
      <c r="A1116" t="str">
        <f t="shared" si="17"/>
        <v/>
      </c>
      <c r="U1116" s="49"/>
      <c r="V1116" s="49"/>
      <c r="W1116" s="49"/>
      <c r="X1116" s="49"/>
      <c r="Y1116" s="49"/>
      <c r="Z1116" s="49"/>
      <c r="AA1116" s="49"/>
      <c r="AB1116" s="49"/>
      <c r="AC1116" s="49"/>
      <c r="AD1116" s="113"/>
      <c r="AE1116" s="49"/>
      <c r="AF1116" s="50"/>
      <c r="AG1116" s="50"/>
      <c r="AH1116" s="50"/>
      <c r="AI1116" s="50"/>
      <c r="AJ1116" s="50"/>
      <c r="AK1116" s="50"/>
      <c r="AL1116" s="50"/>
      <c r="AM1116" s="50"/>
      <c r="AN1116" s="50"/>
      <c r="AO1116" s="9"/>
      <c r="AP1116" s="9"/>
    </row>
    <row r="1117" spans="1:42" x14ac:dyDescent="0.55000000000000004">
      <c r="A1117" t="str">
        <f t="shared" si="17"/>
        <v/>
      </c>
      <c r="U1117" s="49"/>
      <c r="V1117" s="49"/>
      <c r="W1117" s="49"/>
      <c r="X1117" s="49"/>
      <c r="Y1117" s="49"/>
      <c r="Z1117" s="49"/>
      <c r="AA1117" s="49"/>
      <c r="AB1117" s="49"/>
      <c r="AC1117" s="49"/>
      <c r="AD1117" s="113"/>
      <c r="AE1117" s="49"/>
      <c r="AF1117" s="50"/>
      <c r="AG1117" s="50"/>
      <c r="AH1117" s="50"/>
      <c r="AI1117" s="50"/>
      <c r="AJ1117" s="50"/>
      <c r="AK1117" s="50"/>
      <c r="AL1117" s="50"/>
      <c r="AM1117" s="50"/>
      <c r="AN1117" s="50"/>
      <c r="AO1117" s="9"/>
      <c r="AP1117" s="9"/>
    </row>
    <row r="1118" spans="1:42" x14ac:dyDescent="0.55000000000000004">
      <c r="A1118" t="str">
        <f t="shared" si="17"/>
        <v/>
      </c>
      <c r="U1118" s="49"/>
      <c r="V1118" s="49"/>
      <c r="W1118" s="49"/>
      <c r="X1118" s="49"/>
      <c r="Y1118" s="49"/>
      <c r="Z1118" s="49"/>
      <c r="AA1118" s="49"/>
      <c r="AB1118" s="49"/>
      <c r="AC1118" s="49"/>
      <c r="AD1118" s="113"/>
      <c r="AE1118" s="49"/>
      <c r="AF1118" s="50"/>
      <c r="AG1118" s="50"/>
      <c r="AH1118" s="50"/>
      <c r="AI1118" s="50"/>
      <c r="AJ1118" s="50"/>
      <c r="AK1118" s="50"/>
      <c r="AL1118" s="50"/>
      <c r="AM1118" s="50"/>
      <c r="AN1118" s="50"/>
      <c r="AO1118" s="9"/>
      <c r="AP1118" s="9"/>
    </row>
    <row r="1119" spans="1:42" x14ac:dyDescent="0.55000000000000004">
      <c r="A1119" t="str">
        <f t="shared" si="17"/>
        <v/>
      </c>
      <c r="U1119" s="49"/>
      <c r="V1119" s="49"/>
      <c r="W1119" s="49"/>
      <c r="X1119" s="49"/>
      <c r="Y1119" s="49"/>
      <c r="Z1119" s="49"/>
      <c r="AA1119" s="49"/>
      <c r="AB1119" s="49"/>
      <c r="AC1119" s="49"/>
      <c r="AD1119" s="113"/>
      <c r="AE1119" s="49"/>
      <c r="AF1119" s="50"/>
      <c r="AG1119" s="50"/>
      <c r="AH1119" s="50"/>
      <c r="AI1119" s="50"/>
      <c r="AJ1119" s="50"/>
      <c r="AK1119" s="50"/>
      <c r="AL1119" s="50"/>
      <c r="AM1119" s="50"/>
      <c r="AN1119" s="50"/>
      <c r="AO1119" s="9"/>
      <c r="AP1119" s="9"/>
    </row>
    <row r="1120" spans="1:42" x14ac:dyDescent="0.55000000000000004">
      <c r="A1120" t="str">
        <f t="shared" si="17"/>
        <v/>
      </c>
      <c r="U1120" s="49"/>
      <c r="V1120" s="49"/>
      <c r="W1120" s="49"/>
      <c r="X1120" s="49"/>
      <c r="Y1120" s="49"/>
      <c r="Z1120" s="49"/>
      <c r="AA1120" s="49"/>
      <c r="AB1120" s="49"/>
      <c r="AC1120" s="49"/>
      <c r="AD1120" s="113"/>
      <c r="AE1120" s="49"/>
      <c r="AF1120" s="50"/>
      <c r="AG1120" s="50"/>
      <c r="AH1120" s="50"/>
      <c r="AI1120" s="50"/>
      <c r="AJ1120" s="50"/>
      <c r="AK1120" s="50"/>
      <c r="AL1120" s="50"/>
      <c r="AM1120" s="50"/>
      <c r="AN1120" s="50"/>
      <c r="AO1120" s="9"/>
      <c r="AP1120" s="9"/>
    </row>
    <row r="1121" spans="1:42" x14ac:dyDescent="0.55000000000000004">
      <c r="A1121" t="str">
        <f t="shared" si="17"/>
        <v/>
      </c>
      <c r="U1121" s="49"/>
      <c r="V1121" s="49"/>
      <c r="W1121" s="49"/>
      <c r="X1121" s="49"/>
      <c r="Y1121" s="49"/>
      <c r="Z1121" s="49"/>
      <c r="AA1121" s="49"/>
      <c r="AB1121" s="49"/>
      <c r="AC1121" s="49"/>
      <c r="AD1121" s="113"/>
      <c r="AE1121" s="49"/>
      <c r="AF1121" s="50"/>
      <c r="AG1121" s="50"/>
      <c r="AH1121" s="50"/>
      <c r="AI1121" s="50"/>
      <c r="AJ1121" s="50"/>
      <c r="AK1121" s="50"/>
      <c r="AL1121" s="50"/>
      <c r="AM1121" s="50"/>
      <c r="AN1121" s="50"/>
      <c r="AO1121" s="9"/>
      <c r="AP1121" s="9"/>
    </row>
    <row r="1122" spans="1:42" x14ac:dyDescent="0.55000000000000004">
      <c r="A1122" t="str">
        <f t="shared" si="17"/>
        <v/>
      </c>
      <c r="U1122" s="49"/>
      <c r="V1122" s="49"/>
      <c r="W1122" s="49"/>
      <c r="X1122" s="49"/>
      <c r="Y1122" s="49"/>
      <c r="Z1122" s="49"/>
      <c r="AA1122" s="49"/>
      <c r="AB1122" s="49"/>
      <c r="AC1122" s="49"/>
      <c r="AD1122" s="113"/>
      <c r="AE1122" s="49"/>
      <c r="AF1122" s="50"/>
      <c r="AG1122" s="50"/>
      <c r="AH1122" s="50"/>
      <c r="AI1122" s="50"/>
      <c r="AJ1122" s="50"/>
      <c r="AK1122" s="50"/>
      <c r="AL1122" s="50"/>
      <c r="AM1122" s="50"/>
      <c r="AN1122" s="50"/>
      <c r="AO1122" s="9"/>
      <c r="AP1122" s="9"/>
    </row>
    <row r="1123" spans="1:42" x14ac:dyDescent="0.55000000000000004">
      <c r="A1123" t="str">
        <f t="shared" si="17"/>
        <v/>
      </c>
      <c r="U1123" s="49"/>
      <c r="V1123" s="49"/>
      <c r="W1123" s="49"/>
      <c r="X1123" s="49"/>
      <c r="Y1123" s="49"/>
      <c r="Z1123" s="49"/>
      <c r="AA1123" s="49"/>
      <c r="AB1123" s="49"/>
      <c r="AC1123" s="49"/>
      <c r="AD1123" s="113"/>
      <c r="AE1123" s="49"/>
      <c r="AF1123" s="50"/>
      <c r="AG1123" s="50"/>
      <c r="AH1123" s="50"/>
      <c r="AI1123" s="50"/>
      <c r="AJ1123" s="50"/>
      <c r="AK1123" s="50"/>
      <c r="AL1123" s="50"/>
      <c r="AM1123" s="50"/>
      <c r="AN1123" s="50"/>
      <c r="AO1123" s="9"/>
      <c r="AP1123" s="9"/>
    </row>
    <row r="1124" spans="1:42" x14ac:dyDescent="0.55000000000000004">
      <c r="A1124" t="str">
        <f t="shared" si="17"/>
        <v/>
      </c>
      <c r="U1124" s="49"/>
      <c r="V1124" s="49"/>
      <c r="W1124" s="49"/>
      <c r="X1124" s="49"/>
      <c r="Y1124" s="49"/>
      <c r="Z1124" s="49"/>
      <c r="AA1124" s="49"/>
      <c r="AB1124" s="49"/>
      <c r="AC1124" s="49"/>
      <c r="AD1124" s="113"/>
      <c r="AE1124" s="49"/>
      <c r="AF1124" s="50"/>
      <c r="AG1124" s="50"/>
      <c r="AH1124" s="50"/>
      <c r="AI1124" s="50"/>
      <c r="AJ1124" s="50"/>
      <c r="AK1124" s="50"/>
      <c r="AL1124" s="50"/>
      <c r="AM1124" s="50"/>
      <c r="AN1124" s="50"/>
      <c r="AO1124" s="9"/>
      <c r="AP1124" s="9"/>
    </row>
    <row r="1125" spans="1:42" x14ac:dyDescent="0.55000000000000004">
      <c r="A1125" t="str">
        <f t="shared" si="17"/>
        <v/>
      </c>
      <c r="U1125" s="49"/>
      <c r="V1125" s="49"/>
      <c r="W1125" s="49"/>
      <c r="X1125" s="49"/>
      <c r="Y1125" s="49"/>
      <c r="Z1125" s="49"/>
      <c r="AA1125" s="49"/>
      <c r="AB1125" s="49"/>
      <c r="AC1125" s="49"/>
      <c r="AD1125" s="113"/>
      <c r="AE1125" s="49"/>
      <c r="AF1125" s="50"/>
      <c r="AG1125" s="50"/>
      <c r="AH1125" s="50"/>
      <c r="AI1125" s="50"/>
      <c r="AJ1125" s="50"/>
      <c r="AK1125" s="50"/>
      <c r="AL1125" s="50"/>
      <c r="AM1125" s="50"/>
      <c r="AN1125" s="50"/>
      <c r="AO1125" s="9"/>
      <c r="AP1125" s="9"/>
    </row>
    <row r="1126" spans="1:42" x14ac:dyDescent="0.55000000000000004">
      <c r="A1126" t="str">
        <f t="shared" si="17"/>
        <v/>
      </c>
      <c r="U1126" s="49"/>
      <c r="V1126" s="49"/>
      <c r="W1126" s="49"/>
      <c r="X1126" s="49"/>
      <c r="Y1126" s="49"/>
      <c r="Z1126" s="49"/>
      <c r="AA1126" s="49"/>
      <c r="AB1126" s="49"/>
      <c r="AC1126" s="49"/>
      <c r="AD1126" s="113"/>
      <c r="AE1126" s="49"/>
      <c r="AF1126" s="50"/>
      <c r="AG1126" s="50"/>
      <c r="AH1126" s="50"/>
      <c r="AI1126" s="50"/>
      <c r="AJ1126" s="50"/>
      <c r="AK1126" s="50"/>
      <c r="AL1126" s="50"/>
      <c r="AM1126" s="50"/>
      <c r="AN1126" s="50"/>
      <c r="AO1126" s="9"/>
      <c r="AP1126" s="9"/>
    </row>
    <row r="1127" spans="1:42" x14ac:dyDescent="0.55000000000000004">
      <c r="A1127" t="str">
        <f t="shared" si="17"/>
        <v/>
      </c>
      <c r="U1127" s="49"/>
      <c r="V1127" s="49"/>
      <c r="W1127" s="49"/>
      <c r="X1127" s="49"/>
      <c r="Y1127" s="49"/>
      <c r="Z1127" s="49"/>
      <c r="AA1127" s="49"/>
      <c r="AB1127" s="49"/>
      <c r="AC1127" s="49"/>
      <c r="AD1127" s="113"/>
      <c r="AE1127" s="49"/>
      <c r="AF1127" s="50"/>
      <c r="AG1127" s="50"/>
      <c r="AH1127" s="50"/>
      <c r="AI1127" s="50"/>
      <c r="AJ1127" s="50"/>
      <c r="AK1127" s="50"/>
      <c r="AL1127" s="50"/>
      <c r="AM1127" s="50"/>
      <c r="AN1127" s="50"/>
      <c r="AO1127" s="9"/>
      <c r="AP1127" s="9"/>
    </row>
    <row r="1128" spans="1:42" x14ac:dyDescent="0.55000000000000004">
      <c r="A1128" t="str">
        <f t="shared" si="17"/>
        <v/>
      </c>
      <c r="U1128" s="49"/>
      <c r="V1128" s="49"/>
      <c r="W1128" s="49"/>
      <c r="X1128" s="49"/>
      <c r="Y1128" s="49"/>
      <c r="Z1128" s="49"/>
      <c r="AA1128" s="49"/>
      <c r="AB1128" s="49"/>
      <c r="AC1128" s="49"/>
      <c r="AD1128" s="113"/>
      <c r="AE1128" s="49"/>
      <c r="AF1128" s="50"/>
      <c r="AG1128" s="50"/>
      <c r="AH1128" s="50"/>
      <c r="AI1128" s="50"/>
      <c r="AJ1128" s="50"/>
      <c r="AK1128" s="50"/>
      <c r="AL1128" s="50"/>
      <c r="AM1128" s="50"/>
      <c r="AN1128" s="50"/>
      <c r="AO1128" s="9"/>
      <c r="AP1128" s="9"/>
    </row>
    <row r="1129" spans="1:42" x14ac:dyDescent="0.55000000000000004">
      <c r="A1129" t="str">
        <f t="shared" si="17"/>
        <v/>
      </c>
      <c r="U1129" s="49"/>
      <c r="V1129" s="49"/>
      <c r="W1129" s="49"/>
      <c r="X1129" s="49"/>
      <c r="Y1129" s="49"/>
      <c r="Z1129" s="49"/>
      <c r="AA1129" s="49"/>
      <c r="AB1129" s="49"/>
      <c r="AC1129" s="49"/>
      <c r="AD1129" s="113"/>
      <c r="AE1129" s="49"/>
      <c r="AF1129" s="50"/>
      <c r="AG1129" s="50"/>
      <c r="AH1129" s="50"/>
      <c r="AI1129" s="50"/>
      <c r="AJ1129" s="50"/>
      <c r="AK1129" s="50"/>
      <c r="AL1129" s="50"/>
      <c r="AM1129" s="50"/>
      <c r="AN1129" s="50"/>
      <c r="AO1129" s="9"/>
      <c r="AP1129" s="9"/>
    </row>
    <row r="1130" spans="1:42" x14ac:dyDescent="0.55000000000000004">
      <c r="A1130" t="str">
        <f t="shared" si="17"/>
        <v/>
      </c>
      <c r="U1130" s="49"/>
      <c r="V1130" s="49"/>
      <c r="W1130" s="49"/>
      <c r="X1130" s="49"/>
      <c r="Y1130" s="49"/>
      <c r="Z1130" s="49"/>
      <c r="AA1130" s="49"/>
      <c r="AB1130" s="49"/>
      <c r="AC1130" s="49"/>
      <c r="AD1130" s="113"/>
      <c r="AE1130" s="49"/>
      <c r="AF1130" s="50"/>
      <c r="AG1130" s="50"/>
      <c r="AH1130" s="50"/>
      <c r="AI1130" s="50"/>
      <c r="AJ1130" s="50"/>
      <c r="AK1130" s="50"/>
      <c r="AL1130" s="50"/>
      <c r="AM1130" s="50"/>
      <c r="AN1130" s="50"/>
      <c r="AO1130" s="9"/>
      <c r="AP1130" s="9"/>
    </row>
    <row r="1131" spans="1:42" x14ac:dyDescent="0.55000000000000004">
      <c r="A1131" t="str">
        <f t="shared" si="17"/>
        <v/>
      </c>
      <c r="U1131" s="49"/>
      <c r="V1131" s="49"/>
      <c r="W1131" s="49"/>
      <c r="X1131" s="49"/>
      <c r="Y1131" s="49"/>
      <c r="Z1131" s="49"/>
      <c r="AA1131" s="49"/>
      <c r="AB1131" s="49"/>
      <c r="AC1131" s="49"/>
      <c r="AD1131" s="113"/>
      <c r="AE1131" s="49"/>
      <c r="AF1131" s="49"/>
      <c r="AG1131" s="49"/>
      <c r="AH1131" s="49"/>
      <c r="AI1131" s="49"/>
      <c r="AJ1131" s="49"/>
      <c r="AK1131" s="49"/>
      <c r="AL1131" s="49"/>
      <c r="AM1131" s="49"/>
      <c r="AN1131" s="49"/>
      <c r="AO1131" s="9"/>
      <c r="AP1131" s="9"/>
    </row>
    <row r="1132" spans="1:42" x14ac:dyDescent="0.55000000000000004">
      <c r="A1132" t="str">
        <f t="shared" si="17"/>
        <v/>
      </c>
      <c r="U1132" s="49"/>
      <c r="V1132" s="49"/>
      <c r="W1132" s="49"/>
      <c r="X1132" s="49"/>
      <c r="Y1132" s="49"/>
      <c r="Z1132" s="49"/>
      <c r="AA1132" s="49"/>
      <c r="AB1132" s="49"/>
      <c r="AC1132" s="49"/>
      <c r="AD1132" s="113"/>
      <c r="AE1132" s="49"/>
      <c r="AF1132" s="49"/>
      <c r="AG1132" s="49"/>
      <c r="AH1132" s="49"/>
      <c r="AI1132" s="49"/>
      <c r="AJ1132" s="49"/>
      <c r="AK1132" s="49"/>
      <c r="AL1132" s="49"/>
      <c r="AM1132" s="49"/>
      <c r="AN1132" s="49"/>
      <c r="AO1132" s="9"/>
      <c r="AP1132" s="9"/>
    </row>
    <row r="1133" spans="1:42" x14ac:dyDescent="0.55000000000000004">
      <c r="A1133" t="str">
        <f t="shared" si="17"/>
        <v/>
      </c>
      <c r="U1133" s="49"/>
      <c r="V1133" s="49"/>
      <c r="W1133" s="49"/>
      <c r="X1133" s="49"/>
      <c r="Y1133" s="49"/>
      <c r="Z1133" s="49"/>
      <c r="AA1133" s="49"/>
      <c r="AB1133" s="49"/>
      <c r="AC1133" s="49"/>
      <c r="AD1133" s="113"/>
      <c r="AE1133" s="49"/>
      <c r="AF1133" s="49"/>
      <c r="AG1133" s="49"/>
      <c r="AH1133" s="49"/>
      <c r="AI1133" s="49"/>
      <c r="AJ1133" s="49"/>
      <c r="AK1133" s="49"/>
      <c r="AL1133" s="49"/>
      <c r="AM1133" s="49"/>
      <c r="AN1133" s="49"/>
      <c r="AO1133" s="9"/>
      <c r="AP1133" s="9"/>
    </row>
    <row r="1134" spans="1:42" x14ac:dyDescent="0.55000000000000004">
      <c r="A1134" t="str">
        <f t="shared" si="17"/>
        <v/>
      </c>
    </row>
    <row r="1135" spans="1:42" x14ac:dyDescent="0.55000000000000004">
      <c r="A1135" t="str">
        <f t="shared" si="17"/>
        <v/>
      </c>
    </row>
    <row r="1136" spans="1:42" x14ac:dyDescent="0.55000000000000004">
      <c r="A1136" t="str">
        <f t="shared" si="17"/>
        <v/>
      </c>
    </row>
    <row r="1137" spans="1:1" x14ac:dyDescent="0.55000000000000004">
      <c r="A1137" t="str">
        <f t="shared" si="17"/>
        <v/>
      </c>
    </row>
    <row r="1138" spans="1:1" x14ac:dyDescent="0.55000000000000004">
      <c r="A1138" t="str">
        <f t="shared" si="17"/>
        <v/>
      </c>
    </row>
    <row r="1139" spans="1:1" x14ac:dyDescent="0.55000000000000004">
      <c r="A1139" t="str">
        <f t="shared" si="17"/>
        <v/>
      </c>
    </row>
    <row r="1140" spans="1:1" x14ac:dyDescent="0.55000000000000004">
      <c r="A1140" t="str">
        <f t="shared" si="17"/>
        <v/>
      </c>
    </row>
    <row r="1141" spans="1:1" x14ac:dyDescent="0.55000000000000004">
      <c r="A1141" t="str">
        <f t="shared" si="17"/>
        <v/>
      </c>
    </row>
    <row r="1142" spans="1:1" x14ac:dyDescent="0.55000000000000004">
      <c r="A1142" t="str">
        <f t="shared" si="17"/>
        <v/>
      </c>
    </row>
    <row r="1143" spans="1:1" x14ac:dyDescent="0.55000000000000004">
      <c r="A1143" t="str">
        <f t="shared" si="17"/>
        <v/>
      </c>
    </row>
    <row r="1144" spans="1:1" x14ac:dyDescent="0.55000000000000004">
      <c r="A1144" t="str">
        <f t="shared" si="17"/>
        <v/>
      </c>
    </row>
    <row r="1145" spans="1:1" x14ac:dyDescent="0.55000000000000004">
      <c r="A1145" t="str">
        <f t="shared" si="17"/>
        <v/>
      </c>
    </row>
    <row r="1146" spans="1:1" x14ac:dyDescent="0.55000000000000004">
      <c r="A1146" t="str">
        <f t="shared" si="17"/>
        <v/>
      </c>
    </row>
    <row r="1147" spans="1:1" x14ac:dyDescent="0.55000000000000004">
      <c r="A1147" t="str">
        <f t="shared" si="17"/>
        <v/>
      </c>
    </row>
    <row r="1148" spans="1:1" x14ac:dyDescent="0.55000000000000004">
      <c r="A1148" t="str">
        <f t="shared" si="17"/>
        <v/>
      </c>
    </row>
    <row r="1149" spans="1:1" x14ac:dyDescent="0.55000000000000004">
      <c r="A1149" t="str">
        <f t="shared" si="17"/>
        <v/>
      </c>
    </row>
    <row r="1150" spans="1:1" x14ac:dyDescent="0.55000000000000004">
      <c r="A1150" t="str">
        <f t="shared" si="17"/>
        <v/>
      </c>
    </row>
    <row r="1151" spans="1:1" x14ac:dyDescent="0.55000000000000004">
      <c r="A1151" t="str">
        <f t="shared" si="17"/>
        <v/>
      </c>
    </row>
    <row r="1152" spans="1:1" x14ac:dyDescent="0.55000000000000004">
      <c r="A1152" t="str">
        <f t="shared" si="17"/>
        <v/>
      </c>
    </row>
    <row r="1153" spans="1:1" x14ac:dyDescent="0.55000000000000004">
      <c r="A1153" t="str">
        <f t="shared" si="17"/>
        <v/>
      </c>
    </row>
    <row r="1154" spans="1:1" x14ac:dyDescent="0.55000000000000004">
      <c r="A1154" t="str">
        <f t="shared" si="17"/>
        <v/>
      </c>
    </row>
    <row r="1155" spans="1:1" x14ac:dyDescent="0.55000000000000004">
      <c r="A1155" t="str">
        <f t="shared" ref="A1155:A1218" si="18">H1155&amp;I1155&amp;J1155</f>
        <v/>
      </c>
    </row>
    <row r="1156" spans="1:1" x14ac:dyDescent="0.55000000000000004">
      <c r="A1156" t="str">
        <f t="shared" si="18"/>
        <v/>
      </c>
    </row>
    <row r="1157" spans="1:1" x14ac:dyDescent="0.55000000000000004">
      <c r="A1157" t="str">
        <f t="shared" si="18"/>
        <v/>
      </c>
    </row>
    <row r="1158" spans="1:1" x14ac:dyDescent="0.55000000000000004">
      <c r="A1158" t="str">
        <f t="shared" si="18"/>
        <v/>
      </c>
    </row>
    <row r="1159" spans="1:1" x14ac:dyDescent="0.55000000000000004">
      <c r="A1159" t="str">
        <f t="shared" si="18"/>
        <v/>
      </c>
    </row>
    <row r="1160" spans="1:1" x14ac:dyDescent="0.55000000000000004">
      <c r="A1160" t="str">
        <f t="shared" si="18"/>
        <v/>
      </c>
    </row>
    <row r="1161" spans="1:1" x14ac:dyDescent="0.55000000000000004">
      <c r="A1161" t="str">
        <f t="shared" si="18"/>
        <v/>
      </c>
    </row>
    <row r="1162" spans="1:1" x14ac:dyDescent="0.55000000000000004">
      <c r="A1162" t="str">
        <f t="shared" si="18"/>
        <v/>
      </c>
    </row>
    <row r="1163" spans="1:1" x14ac:dyDescent="0.55000000000000004">
      <c r="A1163" t="str">
        <f t="shared" si="18"/>
        <v/>
      </c>
    </row>
    <row r="1164" spans="1:1" x14ac:dyDescent="0.55000000000000004">
      <c r="A1164" t="str">
        <f t="shared" si="18"/>
        <v/>
      </c>
    </row>
    <row r="1165" spans="1:1" x14ac:dyDescent="0.55000000000000004">
      <c r="A1165" t="str">
        <f t="shared" si="18"/>
        <v/>
      </c>
    </row>
    <row r="1166" spans="1:1" x14ac:dyDescent="0.55000000000000004">
      <c r="A1166" t="str">
        <f t="shared" si="18"/>
        <v/>
      </c>
    </row>
    <row r="1167" spans="1:1" x14ac:dyDescent="0.55000000000000004">
      <c r="A1167" t="str">
        <f t="shared" si="18"/>
        <v/>
      </c>
    </row>
    <row r="1168" spans="1:1" x14ac:dyDescent="0.55000000000000004">
      <c r="A1168" t="str">
        <f t="shared" si="18"/>
        <v/>
      </c>
    </row>
    <row r="1169" spans="1:1" x14ac:dyDescent="0.55000000000000004">
      <c r="A1169" t="str">
        <f t="shared" si="18"/>
        <v/>
      </c>
    </row>
    <row r="1170" spans="1:1" x14ac:dyDescent="0.55000000000000004">
      <c r="A1170" t="str">
        <f t="shared" si="18"/>
        <v/>
      </c>
    </row>
    <row r="1171" spans="1:1" x14ac:dyDescent="0.55000000000000004">
      <c r="A1171" t="str">
        <f t="shared" si="18"/>
        <v/>
      </c>
    </row>
    <row r="1172" spans="1:1" x14ac:dyDescent="0.55000000000000004">
      <c r="A1172" t="str">
        <f t="shared" si="18"/>
        <v/>
      </c>
    </row>
    <row r="1173" spans="1:1" x14ac:dyDescent="0.55000000000000004">
      <c r="A1173" t="str">
        <f t="shared" si="18"/>
        <v/>
      </c>
    </row>
    <row r="1174" spans="1:1" x14ac:dyDescent="0.55000000000000004">
      <c r="A1174" t="str">
        <f t="shared" si="18"/>
        <v/>
      </c>
    </row>
    <row r="1175" spans="1:1" x14ac:dyDescent="0.55000000000000004">
      <c r="A1175" t="str">
        <f t="shared" si="18"/>
        <v/>
      </c>
    </row>
    <row r="1176" spans="1:1" x14ac:dyDescent="0.55000000000000004">
      <c r="A1176" t="str">
        <f t="shared" si="18"/>
        <v/>
      </c>
    </row>
    <row r="1177" spans="1:1" x14ac:dyDescent="0.55000000000000004">
      <c r="A1177" t="str">
        <f t="shared" si="18"/>
        <v/>
      </c>
    </row>
    <row r="1178" spans="1:1" x14ac:dyDescent="0.55000000000000004">
      <c r="A1178" t="str">
        <f t="shared" si="18"/>
        <v/>
      </c>
    </row>
    <row r="1179" spans="1:1" x14ac:dyDescent="0.55000000000000004">
      <c r="A1179" t="str">
        <f t="shared" si="18"/>
        <v/>
      </c>
    </row>
    <row r="1180" spans="1:1" x14ac:dyDescent="0.55000000000000004">
      <c r="A1180" t="str">
        <f t="shared" si="18"/>
        <v/>
      </c>
    </row>
    <row r="1181" spans="1:1" x14ac:dyDescent="0.55000000000000004">
      <c r="A1181" t="str">
        <f t="shared" si="18"/>
        <v/>
      </c>
    </row>
    <row r="1182" spans="1:1" x14ac:dyDescent="0.55000000000000004">
      <c r="A1182" t="str">
        <f t="shared" si="18"/>
        <v/>
      </c>
    </row>
    <row r="1183" spans="1:1" x14ac:dyDescent="0.55000000000000004">
      <c r="A1183" t="str">
        <f t="shared" si="18"/>
        <v/>
      </c>
    </row>
    <row r="1184" spans="1:1" x14ac:dyDescent="0.55000000000000004">
      <c r="A1184" t="str">
        <f t="shared" si="18"/>
        <v/>
      </c>
    </row>
    <row r="1185" spans="1:1" x14ac:dyDescent="0.55000000000000004">
      <c r="A1185" t="str">
        <f t="shared" si="18"/>
        <v/>
      </c>
    </row>
    <row r="1186" spans="1:1" x14ac:dyDescent="0.55000000000000004">
      <c r="A1186" t="str">
        <f t="shared" si="18"/>
        <v/>
      </c>
    </row>
    <row r="1187" spans="1:1" x14ac:dyDescent="0.55000000000000004">
      <c r="A1187" t="str">
        <f t="shared" si="18"/>
        <v/>
      </c>
    </row>
    <row r="1188" spans="1:1" x14ac:dyDescent="0.55000000000000004">
      <c r="A1188" t="str">
        <f t="shared" si="18"/>
        <v/>
      </c>
    </row>
    <row r="1189" spans="1:1" x14ac:dyDescent="0.55000000000000004">
      <c r="A1189" t="str">
        <f t="shared" si="18"/>
        <v/>
      </c>
    </row>
    <row r="1190" spans="1:1" x14ac:dyDescent="0.55000000000000004">
      <c r="A1190" t="str">
        <f t="shared" si="18"/>
        <v/>
      </c>
    </row>
    <row r="1191" spans="1:1" x14ac:dyDescent="0.55000000000000004">
      <c r="A1191" t="str">
        <f t="shared" si="18"/>
        <v/>
      </c>
    </row>
    <row r="1192" spans="1:1" x14ac:dyDescent="0.55000000000000004">
      <c r="A1192" t="str">
        <f t="shared" si="18"/>
        <v/>
      </c>
    </row>
    <row r="1193" spans="1:1" x14ac:dyDescent="0.55000000000000004">
      <c r="A1193" t="str">
        <f t="shared" si="18"/>
        <v/>
      </c>
    </row>
    <row r="1194" spans="1:1" x14ac:dyDescent="0.55000000000000004">
      <c r="A1194" t="str">
        <f t="shared" si="18"/>
        <v/>
      </c>
    </row>
    <row r="1195" spans="1:1" x14ac:dyDescent="0.55000000000000004">
      <c r="A1195" t="str">
        <f t="shared" si="18"/>
        <v/>
      </c>
    </row>
    <row r="1196" spans="1:1" x14ac:dyDescent="0.55000000000000004">
      <c r="A1196" t="str">
        <f t="shared" si="18"/>
        <v/>
      </c>
    </row>
    <row r="1197" spans="1:1" x14ac:dyDescent="0.55000000000000004">
      <c r="A1197" t="str">
        <f t="shared" si="18"/>
        <v/>
      </c>
    </row>
    <row r="1198" spans="1:1" x14ac:dyDescent="0.55000000000000004">
      <c r="A1198" t="str">
        <f t="shared" si="18"/>
        <v/>
      </c>
    </row>
    <row r="1199" spans="1:1" x14ac:dyDescent="0.55000000000000004">
      <c r="A1199" t="str">
        <f t="shared" si="18"/>
        <v/>
      </c>
    </row>
    <row r="1200" spans="1:1" x14ac:dyDescent="0.55000000000000004">
      <c r="A1200" t="str">
        <f t="shared" si="18"/>
        <v/>
      </c>
    </row>
    <row r="1201" spans="1:1" x14ac:dyDescent="0.55000000000000004">
      <c r="A1201" t="str">
        <f t="shared" si="18"/>
        <v/>
      </c>
    </row>
    <row r="1202" spans="1:1" x14ac:dyDescent="0.55000000000000004">
      <c r="A1202" t="str">
        <f t="shared" si="18"/>
        <v/>
      </c>
    </row>
    <row r="1203" spans="1:1" x14ac:dyDescent="0.55000000000000004">
      <c r="A1203" t="str">
        <f t="shared" si="18"/>
        <v/>
      </c>
    </row>
    <row r="1204" spans="1:1" x14ac:dyDescent="0.55000000000000004">
      <c r="A1204" t="str">
        <f t="shared" si="18"/>
        <v/>
      </c>
    </row>
    <row r="1205" spans="1:1" x14ac:dyDescent="0.55000000000000004">
      <c r="A1205" t="str">
        <f t="shared" si="18"/>
        <v/>
      </c>
    </row>
    <row r="1206" spans="1:1" x14ac:dyDescent="0.55000000000000004">
      <c r="A1206" t="str">
        <f t="shared" si="18"/>
        <v/>
      </c>
    </row>
    <row r="1207" spans="1:1" x14ac:dyDescent="0.55000000000000004">
      <c r="A1207" t="str">
        <f t="shared" si="18"/>
        <v/>
      </c>
    </row>
    <row r="1208" spans="1:1" x14ac:dyDescent="0.55000000000000004">
      <c r="A1208" t="str">
        <f t="shared" si="18"/>
        <v/>
      </c>
    </row>
    <row r="1209" spans="1:1" x14ac:dyDescent="0.55000000000000004">
      <c r="A1209" t="str">
        <f t="shared" si="18"/>
        <v/>
      </c>
    </row>
    <row r="1210" spans="1:1" x14ac:dyDescent="0.55000000000000004">
      <c r="A1210" t="str">
        <f t="shared" si="18"/>
        <v/>
      </c>
    </row>
    <row r="1211" spans="1:1" x14ac:dyDescent="0.55000000000000004">
      <c r="A1211" t="str">
        <f t="shared" si="18"/>
        <v/>
      </c>
    </row>
    <row r="1212" spans="1:1" x14ac:dyDescent="0.55000000000000004">
      <c r="A1212" t="str">
        <f t="shared" si="18"/>
        <v/>
      </c>
    </row>
    <row r="1213" spans="1:1" x14ac:dyDescent="0.55000000000000004">
      <c r="A1213" t="str">
        <f t="shared" si="18"/>
        <v/>
      </c>
    </row>
    <row r="1214" spans="1:1" x14ac:dyDescent="0.55000000000000004">
      <c r="A1214" t="str">
        <f t="shared" si="18"/>
        <v/>
      </c>
    </row>
    <row r="1215" spans="1:1" x14ac:dyDescent="0.55000000000000004">
      <c r="A1215" t="str">
        <f t="shared" si="18"/>
        <v/>
      </c>
    </row>
    <row r="1216" spans="1:1" x14ac:dyDescent="0.55000000000000004">
      <c r="A1216" t="str">
        <f t="shared" si="18"/>
        <v/>
      </c>
    </row>
    <row r="1217" spans="1:1" x14ac:dyDescent="0.55000000000000004">
      <c r="A1217" t="str">
        <f t="shared" si="18"/>
        <v/>
      </c>
    </row>
    <row r="1218" spans="1:1" x14ac:dyDescent="0.55000000000000004">
      <c r="A1218" t="str">
        <f t="shared" si="18"/>
        <v/>
      </c>
    </row>
    <row r="1219" spans="1:1" x14ac:dyDescent="0.55000000000000004">
      <c r="A1219" t="str">
        <f t="shared" ref="A1219:A1282" si="19">H1219&amp;I1219&amp;J1219</f>
        <v/>
      </c>
    </row>
    <row r="1220" spans="1:1" x14ac:dyDescent="0.55000000000000004">
      <c r="A1220" t="str">
        <f t="shared" si="19"/>
        <v/>
      </c>
    </row>
    <row r="1221" spans="1:1" x14ac:dyDescent="0.55000000000000004">
      <c r="A1221" t="str">
        <f t="shared" si="19"/>
        <v/>
      </c>
    </row>
    <row r="1222" spans="1:1" x14ac:dyDescent="0.55000000000000004">
      <c r="A1222" t="str">
        <f t="shared" si="19"/>
        <v/>
      </c>
    </row>
    <row r="1223" spans="1:1" x14ac:dyDescent="0.55000000000000004">
      <c r="A1223" t="str">
        <f t="shared" si="19"/>
        <v/>
      </c>
    </row>
    <row r="1224" spans="1:1" x14ac:dyDescent="0.55000000000000004">
      <c r="A1224" t="str">
        <f t="shared" si="19"/>
        <v/>
      </c>
    </row>
    <row r="1225" spans="1:1" x14ac:dyDescent="0.55000000000000004">
      <c r="A1225" t="str">
        <f t="shared" si="19"/>
        <v/>
      </c>
    </row>
    <row r="1226" spans="1:1" x14ac:dyDescent="0.55000000000000004">
      <c r="A1226" t="str">
        <f t="shared" si="19"/>
        <v/>
      </c>
    </row>
    <row r="1227" spans="1:1" x14ac:dyDescent="0.55000000000000004">
      <c r="A1227" t="str">
        <f t="shared" si="19"/>
        <v/>
      </c>
    </row>
    <row r="1228" spans="1:1" x14ac:dyDescent="0.55000000000000004">
      <c r="A1228" t="str">
        <f t="shared" si="19"/>
        <v/>
      </c>
    </row>
    <row r="1229" spans="1:1" x14ac:dyDescent="0.55000000000000004">
      <c r="A1229" t="str">
        <f t="shared" si="19"/>
        <v/>
      </c>
    </row>
    <row r="1230" spans="1:1" x14ac:dyDescent="0.55000000000000004">
      <c r="A1230" t="str">
        <f t="shared" si="19"/>
        <v/>
      </c>
    </row>
    <row r="1231" spans="1:1" x14ac:dyDescent="0.55000000000000004">
      <c r="A1231" t="str">
        <f t="shared" si="19"/>
        <v/>
      </c>
    </row>
    <row r="1232" spans="1:1" x14ac:dyDescent="0.55000000000000004">
      <c r="A1232" t="str">
        <f t="shared" si="19"/>
        <v/>
      </c>
    </row>
    <row r="1233" spans="1:1" x14ac:dyDescent="0.55000000000000004">
      <c r="A1233" t="str">
        <f t="shared" si="19"/>
        <v/>
      </c>
    </row>
    <row r="1234" spans="1:1" x14ac:dyDescent="0.55000000000000004">
      <c r="A1234" t="str">
        <f t="shared" si="19"/>
        <v/>
      </c>
    </row>
    <row r="1235" spans="1:1" x14ac:dyDescent="0.55000000000000004">
      <c r="A1235" t="str">
        <f t="shared" si="19"/>
        <v/>
      </c>
    </row>
    <row r="1236" spans="1:1" x14ac:dyDescent="0.55000000000000004">
      <c r="A1236" t="str">
        <f t="shared" si="19"/>
        <v/>
      </c>
    </row>
    <row r="1237" spans="1:1" x14ac:dyDescent="0.55000000000000004">
      <c r="A1237" t="str">
        <f t="shared" si="19"/>
        <v/>
      </c>
    </row>
    <row r="1238" spans="1:1" x14ac:dyDescent="0.55000000000000004">
      <c r="A1238" t="str">
        <f t="shared" si="19"/>
        <v/>
      </c>
    </row>
    <row r="1239" spans="1:1" x14ac:dyDescent="0.55000000000000004">
      <c r="A1239" t="str">
        <f t="shared" si="19"/>
        <v/>
      </c>
    </row>
    <row r="1240" spans="1:1" x14ac:dyDescent="0.55000000000000004">
      <c r="A1240" t="str">
        <f t="shared" si="19"/>
        <v/>
      </c>
    </row>
    <row r="1241" spans="1:1" x14ac:dyDescent="0.55000000000000004">
      <c r="A1241" t="str">
        <f t="shared" si="19"/>
        <v/>
      </c>
    </row>
    <row r="1242" spans="1:1" x14ac:dyDescent="0.55000000000000004">
      <c r="A1242" t="str">
        <f t="shared" si="19"/>
        <v/>
      </c>
    </row>
    <row r="1243" spans="1:1" x14ac:dyDescent="0.55000000000000004">
      <c r="A1243" t="str">
        <f t="shared" si="19"/>
        <v/>
      </c>
    </row>
    <row r="1244" spans="1:1" x14ac:dyDescent="0.55000000000000004">
      <c r="A1244" t="str">
        <f t="shared" si="19"/>
        <v/>
      </c>
    </row>
    <row r="1245" spans="1:1" x14ac:dyDescent="0.55000000000000004">
      <c r="A1245" t="str">
        <f t="shared" si="19"/>
        <v/>
      </c>
    </row>
    <row r="1246" spans="1:1" x14ac:dyDescent="0.55000000000000004">
      <c r="A1246" t="str">
        <f t="shared" si="19"/>
        <v/>
      </c>
    </row>
    <row r="1247" spans="1:1" x14ac:dyDescent="0.55000000000000004">
      <c r="A1247" t="str">
        <f t="shared" si="19"/>
        <v/>
      </c>
    </row>
    <row r="1248" spans="1:1" x14ac:dyDescent="0.55000000000000004">
      <c r="A1248" t="str">
        <f t="shared" si="19"/>
        <v/>
      </c>
    </row>
    <row r="1249" spans="1:1" x14ac:dyDescent="0.55000000000000004">
      <c r="A1249" t="str">
        <f t="shared" si="19"/>
        <v/>
      </c>
    </row>
    <row r="1250" spans="1:1" x14ac:dyDescent="0.55000000000000004">
      <c r="A1250" t="str">
        <f t="shared" si="19"/>
        <v/>
      </c>
    </row>
    <row r="1251" spans="1:1" x14ac:dyDescent="0.55000000000000004">
      <c r="A1251" t="str">
        <f t="shared" si="19"/>
        <v/>
      </c>
    </row>
    <row r="1252" spans="1:1" x14ac:dyDescent="0.55000000000000004">
      <c r="A1252" t="str">
        <f t="shared" si="19"/>
        <v/>
      </c>
    </row>
    <row r="1253" spans="1:1" x14ac:dyDescent="0.55000000000000004">
      <c r="A1253" t="str">
        <f t="shared" si="19"/>
        <v/>
      </c>
    </row>
    <row r="1254" spans="1:1" x14ac:dyDescent="0.55000000000000004">
      <c r="A1254" t="str">
        <f t="shared" si="19"/>
        <v/>
      </c>
    </row>
    <row r="1255" spans="1:1" x14ac:dyDescent="0.55000000000000004">
      <c r="A1255" t="str">
        <f t="shared" si="19"/>
        <v/>
      </c>
    </row>
    <row r="1256" spans="1:1" x14ac:dyDescent="0.55000000000000004">
      <c r="A1256" t="str">
        <f t="shared" si="19"/>
        <v/>
      </c>
    </row>
    <row r="1257" spans="1:1" x14ac:dyDescent="0.55000000000000004">
      <c r="A1257" t="str">
        <f t="shared" si="19"/>
        <v/>
      </c>
    </row>
    <row r="1258" spans="1:1" x14ac:dyDescent="0.55000000000000004">
      <c r="A1258" t="str">
        <f t="shared" si="19"/>
        <v/>
      </c>
    </row>
    <row r="1259" spans="1:1" x14ac:dyDescent="0.55000000000000004">
      <c r="A1259" t="str">
        <f t="shared" si="19"/>
        <v/>
      </c>
    </row>
    <row r="1260" spans="1:1" x14ac:dyDescent="0.55000000000000004">
      <c r="A1260" t="str">
        <f t="shared" si="19"/>
        <v/>
      </c>
    </row>
    <row r="1261" spans="1:1" x14ac:dyDescent="0.55000000000000004">
      <c r="A1261" t="str">
        <f t="shared" si="19"/>
        <v/>
      </c>
    </row>
    <row r="1262" spans="1:1" x14ac:dyDescent="0.55000000000000004">
      <c r="A1262" t="str">
        <f t="shared" si="19"/>
        <v/>
      </c>
    </row>
    <row r="1263" spans="1:1" x14ac:dyDescent="0.55000000000000004">
      <c r="A1263" t="str">
        <f t="shared" si="19"/>
        <v/>
      </c>
    </row>
    <row r="1264" spans="1:1" x14ac:dyDescent="0.55000000000000004">
      <c r="A1264" t="str">
        <f t="shared" si="19"/>
        <v/>
      </c>
    </row>
    <row r="1265" spans="1:1" x14ac:dyDescent="0.55000000000000004">
      <c r="A1265" t="str">
        <f t="shared" si="19"/>
        <v/>
      </c>
    </row>
    <row r="1266" spans="1:1" x14ac:dyDescent="0.55000000000000004">
      <c r="A1266" t="str">
        <f t="shared" si="19"/>
        <v/>
      </c>
    </row>
    <row r="1267" spans="1:1" x14ac:dyDescent="0.55000000000000004">
      <c r="A1267" t="str">
        <f t="shared" si="19"/>
        <v/>
      </c>
    </row>
    <row r="1268" spans="1:1" x14ac:dyDescent="0.55000000000000004">
      <c r="A1268" t="str">
        <f t="shared" si="19"/>
        <v/>
      </c>
    </row>
    <row r="1269" spans="1:1" x14ac:dyDescent="0.55000000000000004">
      <c r="A1269" t="str">
        <f t="shared" si="19"/>
        <v/>
      </c>
    </row>
    <row r="1270" spans="1:1" x14ac:dyDescent="0.55000000000000004">
      <c r="A1270" t="str">
        <f t="shared" si="19"/>
        <v/>
      </c>
    </row>
    <row r="1271" spans="1:1" x14ac:dyDescent="0.55000000000000004">
      <c r="A1271" t="str">
        <f t="shared" si="19"/>
        <v/>
      </c>
    </row>
    <row r="1272" spans="1:1" x14ac:dyDescent="0.55000000000000004">
      <c r="A1272" t="str">
        <f t="shared" si="19"/>
        <v/>
      </c>
    </row>
    <row r="1273" spans="1:1" x14ac:dyDescent="0.55000000000000004">
      <c r="A1273" t="str">
        <f t="shared" si="19"/>
        <v/>
      </c>
    </row>
    <row r="1274" spans="1:1" x14ac:dyDescent="0.55000000000000004">
      <c r="A1274" t="str">
        <f t="shared" si="19"/>
        <v/>
      </c>
    </row>
    <row r="1275" spans="1:1" x14ac:dyDescent="0.55000000000000004">
      <c r="A1275" t="str">
        <f t="shared" si="19"/>
        <v/>
      </c>
    </row>
    <row r="1276" spans="1:1" x14ac:dyDescent="0.55000000000000004">
      <c r="A1276" t="str">
        <f t="shared" si="19"/>
        <v/>
      </c>
    </row>
    <row r="1277" spans="1:1" x14ac:dyDescent="0.55000000000000004">
      <c r="A1277" t="str">
        <f t="shared" si="19"/>
        <v/>
      </c>
    </row>
    <row r="1278" spans="1:1" x14ac:dyDescent="0.55000000000000004">
      <c r="A1278" t="str">
        <f t="shared" si="19"/>
        <v/>
      </c>
    </row>
    <row r="1279" spans="1:1" x14ac:dyDescent="0.55000000000000004">
      <c r="A1279" t="str">
        <f t="shared" si="19"/>
        <v/>
      </c>
    </row>
    <row r="1280" spans="1:1" x14ac:dyDescent="0.55000000000000004">
      <c r="A1280" t="str">
        <f t="shared" si="19"/>
        <v/>
      </c>
    </row>
    <row r="1281" spans="1:1" x14ac:dyDescent="0.55000000000000004">
      <c r="A1281" t="str">
        <f t="shared" si="19"/>
        <v/>
      </c>
    </row>
    <row r="1282" spans="1:1" x14ac:dyDescent="0.55000000000000004">
      <c r="A1282" t="str">
        <f t="shared" si="19"/>
        <v/>
      </c>
    </row>
    <row r="1283" spans="1:1" x14ac:dyDescent="0.55000000000000004">
      <c r="A1283" t="str">
        <f t="shared" ref="A1283:A1346" si="20">H1283&amp;I1283&amp;J1283</f>
        <v/>
      </c>
    </row>
    <row r="1284" spans="1:1" x14ac:dyDescent="0.55000000000000004">
      <c r="A1284" t="str">
        <f t="shared" si="20"/>
        <v/>
      </c>
    </row>
    <row r="1285" spans="1:1" x14ac:dyDescent="0.55000000000000004">
      <c r="A1285" t="str">
        <f t="shared" si="20"/>
        <v/>
      </c>
    </row>
    <row r="1286" spans="1:1" x14ac:dyDescent="0.55000000000000004">
      <c r="A1286" t="str">
        <f t="shared" si="20"/>
        <v/>
      </c>
    </row>
    <row r="1287" spans="1:1" x14ac:dyDescent="0.55000000000000004">
      <c r="A1287" t="str">
        <f t="shared" si="20"/>
        <v/>
      </c>
    </row>
    <row r="1288" spans="1:1" x14ac:dyDescent="0.55000000000000004">
      <c r="A1288" t="str">
        <f t="shared" si="20"/>
        <v/>
      </c>
    </row>
    <row r="1289" spans="1:1" x14ac:dyDescent="0.55000000000000004">
      <c r="A1289" t="str">
        <f t="shared" si="20"/>
        <v/>
      </c>
    </row>
    <row r="1290" spans="1:1" x14ac:dyDescent="0.55000000000000004">
      <c r="A1290" t="str">
        <f t="shared" si="20"/>
        <v/>
      </c>
    </row>
    <row r="1291" spans="1:1" x14ac:dyDescent="0.55000000000000004">
      <c r="A1291" t="str">
        <f t="shared" si="20"/>
        <v/>
      </c>
    </row>
    <row r="1292" spans="1:1" x14ac:dyDescent="0.55000000000000004">
      <c r="A1292" t="str">
        <f t="shared" si="20"/>
        <v/>
      </c>
    </row>
    <row r="1293" spans="1:1" x14ac:dyDescent="0.55000000000000004">
      <c r="A1293" t="str">
        <f t="shared" si="20"/>
        <v/>
      </c>
    </row>
    <row r="1294" spans="1:1" x14ac:dyDescent="0.55000000000000004">
      <c r="A1294" t="str">
        <f t="shared" si="20"/>
        <v/>
      </c>
    </row>
    <row r="1295" spans="1:1" x14ac:dyDescent="0.55000000000000004">
      <c r="A1295" t="str">
        <f t="shared" si="20"/>
        <v/>
      </c>
    </row>
    <row r="1296" spans="1:1" x14ac:dyDescent="0.55000000000000004">
      <c r="A1296" t="str">
        <f t="shared" si="20"/>
        <v/>
      </c>
    </row>
    <row r="1297" spans="1:1" x14ac:dyDescent="0.55000000000000004">
      <c r="A1297" t="str">
        <f t="shared" si="20"/>
        <v/>
      </c>
    </row>
    <row r="1298" spans="1:1" x14ac:dyDescent="0.55000000000000004">
      <c r="A1298" t="str">
        <f t="shared" si="20"/>
        <v/>
      </c>
    </row>
    <row r="1299" spans="1:1" x14ac:dyDescent="0.55000000000000004">
      <c r="A1299" t="str">
        <f t="shared" si="20"/>
        <v/>
      </c>
    </row>
    <row r="1300" spans="1:1" x14ac:dyDescent="0.55000000000000004">
      <c r="A1300" t="str">
        <f t="shared" si="20"/>
        <v/>
      </c>
    </row>
    <row r="1301" spans="1:1" x14ac:dyDescent="0.55000000000000004">
      <c r="A1301" t="str">
        <f t="shared" si="20"/>
        <v/>
      </c>
    </row>
    <row r="1302" spans="1:1" x14ac:dyDescent="0.55000000000000004">
      <c r="A1302" t="str">
        <f t="shared" si="20"/>
        <v/>
      </c>
    </row>
    <row r="1303" spans="1:1" x14ac:dyDescent="0.55000000000000004">
      <c r="A1303" t="str">
        <f t="shared" si="20"/>
        <v/>
      </c>
    </row>
    <row r="1304" spans="1:1" x14ac:dyDescent="0.55000000000000004">
      <c r="A1304" t="str">
        <f t="shared" si="20"/>
        <v/>
      </c>
    </row>
    <row r="1305" spans="1:1" x14ac:dyDescent="0.55000000000000004">
      <c r="A1305" t="str">
        <f t="shared" si="20"/>
        <v/>
      </c>
    </row>
    <row r="1306" spans="1:1" x14ac:dyDescent="0.55000000000000004">
      <c r="A1306" t="str">
        <f t="shared" si="20"/>
        <v/>
      </c>
    </row>
    <row r="1307" spans="1:1" x14ac:dyDescent="0.55000000000000004">
      <c r="A1307" t="str">
        <f t="shared" si="20"/>
        <v/>
      </c>
    </row>
    <row r="1308" spans="1:1" x14ac:dyDescent="0.55000000000000004">
      <c r="A1308" t="str">
        <f t="shared" si="20"/>
        <v/>
      </c>
    </row>
    <row r="1309" spans="1:1" x14ac:dyDescent="0.55000000000000004">
      <c r="A1309" t="str">
        <f t="shared" si="20"/>
        <v/>
      </c>
    </row>
    <row r="1310" spans="1:1" x14ac:dyDescent="0.55000000000000004">
      <c r="A1310" t="str">
        <f t="shared" si="20"/>
        <v/>
      </c>
    </row>
    <row r="1311" spans="1:1" x14ac:dyDescent="0.55000000000000004">
      <c r="A1311" t="str">
        <f t="shared" si="20"/>
        <v/>
      </c>
    </row>
    <row r="1312" spans="1:1" x14ac:dyDescent="0.55000000000000004">
      <c r="A1312" t="str">
        <f t="shared" si="20"/>
        <v/>
      </c>
    </row>
    <row r="1313" spans="1:1" x14ac:dyDescent="0.55000000000000004">
      <c r="A1313" t="str">
        <f t="shared" si="20"/>
        <v/>
      </c>
    </row>
    <row r="1314" spans="1:1" x14ac:dyDescent="0.55000000000000004">
      <c r="A1314" t="str">
        <f t="shared" si="20"/>
        <v/>
      </c>
    </row>
    <row r="1315" spans="1:1" x14ac:dyDescent="0.55000000000000004">
      <c r="A1315" t="str">
        <f t="shared" si="20"/>
        <v/>
      </c>
    </row>
    <row r="1316" spans="1:1" x14ac:dyDescent="0.55000000000000004">
      <c r="A1316" t="str">
        <f t="shared" si="20"/>
        <v/>
      </c>
    </row>
    <row r="1317" spans="1:1" x14ac:dyDescent="0.55000000000000004">
      <c r="A1317" t="str">
        <f t="shared" si="20"/>
        <v/>
      </c>
    </row>
    <row r="1318" spans="1:1" x14ac:dyDescent="0.55000000000000004">
      <c r="A1318" t="str">
        <f t="shared" si="20"/>
        <v/>
      </c>
    </row>
    <row r="1319" spans="1:1" x14ac:dyDescent="0.55000000000000004">
      <c r="A1319" t="str">
        <f t="shared" si="20"/>
        <v/>
      </c>
    </row>
    <row r="1320" spans="1:1" x14ac:dyDescent="0.55000000000000004">
      <c r="A1320" t="str">
        <f t="shared" si="20"/>
        <v/>
      </c>
    </row>
    <row r="1321" spans="1:1" x14ac:dyDescent="0.55000000000000004">
      <c r="A1321" t="str">
        <f t="shared" si="20"/>
        <v/>
      </c>
    </row>
    <row r="1322" spans="1:1" x14ac:dyDescent="0.55000000000000004">
      <c r="A1322" t="str">
        <f t="shared" si="20"/>
        <v/>
      </c>
    </row>
    <row r="1323" spans="1:1" x14ac:dyDescent="0.55000000000000004">
      <c r="A1323" t="str">
        <f t="shared" si="20"/>
        <v/>
      </c>
    </row>
    <row r="1324" spans="1:1" x14ac:dyDescent="0.55000000000000004">
      <c r="A1324" t="str">
        <f t="shared" si="20"/>
        <v/>
      </c>
    </row>
    <row r="1325" spans="1:1" x14ac:dyDescent="0.55000000000000004">
      <c r="A1325" t="str">
        <f t="shared" si="20"/>
        <v/>
      </c>
    </row>
    <row r="1326" spans="1:1" x14ac:dyDescent="0.55000000000000004">
      <c r="A1326" t="str">
        <f t="shared" si="20"/>
        <v/>
      </c>
    </row>
    <row r="1327" spans="1:1" x14ac:dyDescent="0.55000000000000004">
      <c r="A1327" t="str">
        <f t="shared" si="20"/>
        <v/>
      </c>
    </row>
    <row r="1328" spans="1:1" x14ac:dyDescent="0.55000000000000004">
      <c r="A1328" t="str">
        <f t="shared" si="20"/>
        <v/>
      </c>
    </row>
    <row r="1329" spans="1:1" x14ac:dyDescent="0.55000000000000004">
      <c r="A1329" t="str">
        <f t="shared" si="20"/>
        <v/>
      </c>
    </row>
    <row r="1330" spans="1:1" x14ac:dyDescent="0.55000000000000004">
      <c r="A1330" t="str">
        <f t="shared" si="20"/>
        <v/>
      </c>
    </row>
    <row r="1331" spans="1:1" x14ac:dyDescent="0.55000000000000004">
      <c r="A1331" t="str">
        <f t="shared" si="20"/>
        <v/>
      </c>
    </row>
    <row r="1332" spans="1:1" x14ac:dyDescent="0.55000000000000004">
      <c r="A1332" t="str">
        <f t="shared" si="20"/>
        <v/>
      </c>
    </row>
    <row r="1333" spans="1:1" x14ac:dyDescent="0.55000000000000004">
      <c r="A1333" t="str">
        <f t="shared" si="20"/>
        <v/>
      </c>
    </row>
    <row r="1334" spans="1:1" x14ac:dyDescent="0.55000000000000004">
      <c r="A1334" t="str">
        <f t="shared" si="20"/>
        <v/>
      </c>
    </row>
    <row r="1335" spans="1:1" x14ac:dyDescent="0.55000000000000004">
      <c r="A1335" t="str">
        <f t="shared" si="20"/>
        <v/>
      </c>
    </row>
    <row r="1336" spans="1:1" x14ac:dyDescent="0.55000000000000004">
      <c r="A1336" t="str">
        <f t="shared" si="20"/>
        <v/>
      </c>
    </row>
    <row r="1337" spans="1:1" x14ac:dyDescent="0.55000000000000004">
      <c r="A1337" t="str">
        <f t="shared" si="20"/>
        <v/>
      </c>
    </row>
    <row r="1338" spans="1:1" x14ac:dyDescent="0.55000000000000004">
      <c r="A1338" t="str">
        <f t="shared" si="20"/>
        <v/>
      </c>
    </row>
    <row r="1339" spans="1:1" x14ac:dyDescent="0.55000000000000004">
      <c r="A1339" t="str">
        <f t="shared" si="20"/>
        <v/>
      </c>
    </row>
    <row r="1340" spans="1:1" x14ac:dyDescent="0.55000000000000004">
      <c r="A1340" t="str">
        <f t="shared" si="20"/>
        <v/>
      </c>
    </row>
    <row r="1341" spans="1:1" x14ac:dyDescent="0.55000000000000004">
      <c r="A1341" t="str">
        <f t="shared" si="20"/>
        <v/>
      </c>
    </row>
    <row r="1342" spans="1:1" x14ac:dyDescent="0.55000000000000004">
      <c r="A1342" t="str">
        <f t="shared" si="20"/>
        <v/>
      </c>
    </row>
    <row r="1343" spans="1:1" x14ac:dyDescent="0.55000000000000004">
      <c r="A1343" t="str">
        <f t="shared" si="20"/>
        <v/>
      </c>
    </row>
    <row r="1344" spans="1:1" x14ac:dyDescent="0.55000000000000004">
      <c r="A1344" t="str">
        <f t="shared" si="20"/>
        <v/>
      </c>
    </row>
    <row r="1345" spans="1:1" x14ac:dyDescent="0.55000000000000004">
      <c r="A1345" t="str">
        <f t="shared" si="20"/>
        <v/>
      </c>
    </row>
    <row r="1346" spans="1:1" x14ac:dyDescent="0.55000000000000004">
      <c r="A1346" t="str">
        <f t="shared" si="20"/>
        <v/>
      </c>
    </row>
    <row r="1347" spans="1:1" x14ac:dyDescent="0.55000000000000004">
      <c r="A1347" t="str">
        <f t="shared" ref="A1347:A1410" si="21">H1347&amp;I1347&amp;J1347</f>
        <v/>
      </c>
    </row>
    <row r="1348" spans="1:1" x14ac:dyDescent="0.55000000000000004">
      <c r="A1348" t="str">
        <f t="shared" si="21"/>
        <v/>
      </c>
    </row>
    <row r="1349" spans="1:1" x14ac:dyDescent="0.55000000000000004">
      <c r="A1349" t="str">
        <f t="shared" si="21"/>
        <v/>
      </c>
    </row>
    <row r="1350" spans="1:1" x14ac:dyDescent="0.55000000000000004">
      <c r="A1350" t="str">
        <f t="shared" si="21"/>
        <v/>
      </c>
    </row>
    <row r="1351" spans="1:1" x14ac:dyDescent="0.55000000000000004">
      <c r="A1351" t="str">
        <f t="shared" si="21"/>
        <v/>
      </c>
    </row>
    <row r="1352" spans="1:1" x14ac:dyDescent="0.55000000000000004">
      <c r="A1352" t="str">
        <f t="shared" si="21"/>
        <v/>
      </c>
    </row>
    <row r="1353" spans="1:1" x14ac:dyDescent="0.55000000000000004">
      <c r="A1353" t="str">
        <f t="shared" si="21"/>
        <v/>
      </c>
    </row>
    <row r="1354" spans="1:1" x14ac:dyDescent="0.55000000000000004">
      <c r="A1354" t="str">
        <f t="shared" si="21"/>
        <v/>
      </c>
    </row>
    <row r="1355" spans="1:1" x14ac:dyDescent="0.55000000000000004">
      <c r="A1355" t="str">
        <f t="shared" si="21"/>
        <v/>
      </c>
    </row>
    <row r="1356" spans="1:1" x14ac:dyDescent="0.55000000000000004">
      <c r="A1356" t="str">
        <f t="shared" si="21"/>
        <v/>
      </c>
    </row>
    <row r="1357" spans="1:1" x14ac:dyDescent="0.55000000000000004">
      <c r="A1357" t="str">
        <f t="shared" si="21"/>
        <v/>
      </c>
    </row>
    <row r="1358" spans="1:1" x14ac:dyDescent="0.55000000000000004">
      <c r="A1358" t="str">
        <f t="shared" si="21"/>
        <v/>
      </c>
    </row>
    <row r="1359" spans="1:1" x14ac:dyDescent="0.55000000000000004">
      <c r="A1359" t="str">
        <f t="shared" si="21"/>
        <v/>
      </c>
    </row>
    <row r="1360" spans="1:1" x14ac:dyDescent="0.55000000000000004">
      <c r="A1360" t="str">
        <f t="shared" si="21"/>
        <v/>
      </c>
    </row>
    <row r="1361" spans="1:1" x14ac:dyDescent="0.55000000000000004">
      <c r="A1361" t="str">
        <f t="shared" si="21"/>
        <v/>
      </c>
    </row>
    <row r="1362" spans="1:1" x14ac:dyDescent="0.55000000000000004">
      <c r="A1362" t="str">
        <f t="shared" si="21"/>
        <v/>
      </c>
    </row>
    <row r="1363" spans="1:1" x14ac:dyDescent="0.55000000000000004">
      <c r="A1363" t="str">
        <f t="shared" si="21"/>
        <v/>
      </c>
    </row>
    <row r="1364" spans="1:1" x14ac:dyDescent="0.55000000000000004">
      <c r="A1364" t="str">
        <f t="shared" si="21"/>
        <v/>
      </c>
    </row>
    <row r="1365" spans="1:1" x14ac:dyDescent="0.55000000000000004">
      <c r="A1365" t="str">
        <f t="shared" si="21"/>
        <v/>
      </c>
    </row>
    <row r="1366" spans="1:1" x14ac:dyDescent="0.55000000000000004">
      <c r="A1366" t="str">
        <f t="shared" si="21"/>
        <v/>
      </c>
    </row>
    <row r="1367" spans="1:1" x14ac:dyDescent="0.55000000000000004">
      <c r="A1367" t="str">
        <f t="shared" si="21"/>
        <v/>
      </c>
    </row>
    <row r="1368" spans="1:1" x14ac:dyDescent="0.55000000000000004">
      <c r="A1368" t="str">
        <f t="shared" si="21"/>
        <v/>
      </c>
    </row>
    <row r="1369" spans="1:1" x14ac:dyDescent="0.55000000000000004">
      <c r="A1369" t="str">
        <f t="shared" si="21"/>
        <v/>
      </c>
    </row>
    <row r="1370" spans="1:1" x14ac:dyDescent="0.55000000000000004">
      <c r="A1370" t="str">
        <f t="shared" si="21"/>
        <v/>
      </c>
    </row>
    <row r="1371" spans="1:1" x14ac:dyDescent="0.55000000000000004">
      <c r="A1371" t="str">
        <f t="shared" si="21"/>
        <v/>
      </c>
    </row>
    <row r="1372" spans="1:1" x14ac:dyDescent="0.55000000000000004">
      <c r="A1372" t="str">
        <f t="shared" si="21"/>
        <v/>
      </c>
    </row>
    <row r="1373" spans="1:1" x14ac:dyDescent="0.55000000000000004">
      <c r="A1373" t="str">
        <f t="shared" si="21"/>
        <v/>
      </c>
    </row>
    <row r="1374" spans="1:1" x14ac:dyDescent="0.55000000000000004">
      <c r="A1374" t="str">
        <f t="shared" si="21"/>
        <v/>
      </c>
    </row>
    <row r="1375" spans="1:1" x14ac:dyDescent="0.55000000000000004">
      <c r="A1375" t="str">
        <f t="shared" si="21"/>
        <v/>
      </c>
    </row>
    <row r="1376" spans="1:1" x14ac:dyDescent="0.55000000000000004">
      <c r="A1376" t="str">
        <f t="shared" si="21"/>
        <v/>
      </c>
    </row>
    <row r="1377" spans="1:1" x14ac:dyDescent="0.55000000000000004">
      <c r="A1377" t="str">
        <f t="shared" si="21"/>
        <v/>
      </c>
    </row>
    <row r="1378" spans="1:1" x14ac:dyDescent="0.55000000000000004">
      <c r="A1378" t="str">
        <f t="shared" si="21"/>
        <v/>
      </c>
    </row>
    <row r="1379" spans="1:1" x14ac:dyDescent="0.55000000000000004">
      <c r="A1379" t="str">
        <f t="shared" si="21"/>
        <v/>
      </c>
    </row>
    <row r="1380" spans="1:1" x14ac:dyDescent="0.55000000000000004">
      <c r="A1380" t="str">
        <f t="shared" si="21"/>
        <v/>
      </c>
    </row>
    <row r="1381" spans="1:1" x14ac:dyDescent="0.55000000000000004">
      <c r="A1381" t="str">
        <f t="shared" si="21"/>
        <v/>
      </c>
    </row>
    <row r="1382" spans="1:1" x14ac:dyDescent="0.55000000000000004">
      <c r="A1382" t="str">
        <f t="shared" si="21"/>
        <v/>
      </c>
    </row>
    <row r="1383" spans="1:1" x14ac:dyDescent="0.55000000000000004">
      <c r="A1383" t="str">
        <f t="shared" si="21"/>
        <v/>
      </c>
    </row>
    <row r="1384" spans="1:1" x14ac:dyDescent="0.55000000000000004">
      <c r="A1384" t="str">
        <f t="shared" si="21"/>
        <v/>
      </c>
    </row>
    <row r="1385" spans="1:1" x14ac:dyDescent="0.55000000000000004">
      <c r="A1385" t="str">
        <f t="shared" si="21"/>
        <v/>
      </c>
    </row>
    <row r="1386" spans="1:1" x14ac:dyDescent="0.55000000000000004">
      <c r="A1386" t="str">
        <f t="shared" si="21"/>
        <v/>
      </c>
    </row>
    <row r="1387" spans="1:1" x14ac:dyDescent="0.55000000000000004">
      <c r="A1387" t="str">
        <f t="shared" si="21"/>
        <v/>
      </c>
    </row>
    <row r="1388" spans="1:1" x14ac:dyDescent="0.55000000000000004">
      <c r="A1388" t="str">
        <f t="shared" si="21"/>
        <v/>
      </c>
    </row>
    <row r="1389" spans="1:1" x14ac:dyDescent="0.55000000000000004">
      <c r="A1389" t="str">
        <f t="shared" si="21"/>
        <v/>
      </c>
    </row>
    <row r="1390" spans="1:1" x14ac:dyDescent="0.55000000000000004">
      <c r="A1390" t="str">
        <f t="shared" si="21"/>
        <v/>
      </c>
    </row>
    <row r="1391" spans="1:1" x14ac:dyDescent="0.55000000000000004">
      <c r="A1391" t="str">
        <f t="shared" si="21"/>
        <v/>
      </c>
    </row>
    <row r="1392" spans="1:1" x14ac:dyDescent="0.55000000000000004">
      <c r="A1392" t="str">
        <f t="shared" si="21"/>
        <v/>
      </c>
    </row>
    <row r="1393" spans="1:1" x14ac:dyDescent="0.55000000000000004">
      <c r="A1393" t="str">
        <f t="shared" si="21"/>
        <v/>
      </c>
    </row>
    <row r="1394" spans="1:1" x14ac:dyDescent="0.55000000000000004">
      <c r="A1394" t="str">
        <f t="shared" si="21"/>
        <v/>
      </c>
    </row>
    <row r="1395" spans="1:1" x14ac:dyDescent="0.55000000000000004">
      <c r="A1395" t="str">
        <f t="shared" si="21"/>
        <v/>
      </c>
    </row>
    <row r="1396" spans="1:1" x14ac:dyDescent="0.55000000000000004">
      <c r="A1396" t="str">
        <f t="shared" si="21"/>
        <v/>
      </c>
    </row>
    <row r="1397" spans="1:1" x14ac:dyDescent="0.55000000000000004">
      <c r="A1397" t="str">
        <f t="shared" si="21"/>
        <v/>
      </c>
    </row>
    <row r="1398" spans="1:1" x14ac:dyDescent="0.55000000000000004">
      <c r="A1398" t="str">
        <f t="shared" si="21"/>
        <v/>
      </c>
    </row>
    <row r="1399" spans="1:1" x14ac:dyDescent="0.55000000000000004">
      <c r="A1399" t="str">
        <f t="shared" si="21"/>
        <v/>
      </c>
    </row>
    <row r="1400" spans="1:1" x14ac:dyDescent="0.55000000000000004">
      <c r="A1400" t="str">
        <f t="shared" si="21"/>
        <v/>
      </c>
    </row>
    <row r="1401" spans="1:1" x14ac:dyDescent="0.55000000000000004">
      <c r="A1401" t="str">
        <f t="shared" si="21"/>
        <v/>
      </c>
    </row>
    <row r="1402" spans="1:1" x14ac:dyDescent="0.55000000000000004">
      <c r="A1402" t="str">
        <f t="shared" si="21"/>
        <v/>
      </c>
    </row>
    <row r="1403" spans="1:1" x14ac:dyDescent="0.55000000000000004">
      <c r="A1403" t="str">
        <f t="shared" si="21"/>
        <v/>
      </c>
    </row>
    <row r="1404" spans="1:1" x14ac:dyDescent="0.55000000000000004">
      <c r="A1404" t="str">
        <f t="shared" si="21"/>
        <v/>
      </c>
    </row>
    <row r="1405" spans="1:1" x14ac:dyDescent="0.55000000000000004">
      <c r="A1405" t="str">
        <f t="shared" si="21"/>
        <v/>
      </c>
    </row>
    <row r="1406" spans="1:1" x14ac:dyDescent="0.55000000000000004">
      <c r="A1406" t="str">
        <f t="shared" si="21"/>
        <v/>
      </c>
    </row>
    <row r="1407" spans="1:1" x14ac:dyDescent="0.55000000000000004">
      <c r="A1407" t="str">
        <f t="shared" si="21"/>
        <v/>
      </c>
    </row>
    <row r="1408" spans="1:1" x14ac:dyDescent="0.55000000000000004">
      <c r="A1408" t="str">
        <f t="shared" si="21"/>
        <v/>
      </c>
    </row>
    <row r="1409" spans="1:1" x14ac:dyDescent="0.55000000000000004">
      <c r="A1409" t="str">
        <f t="shared" si="21"/>
        <v/>
      </c>
    </row>
    <row r="1410" spans="1:1" x14ac:dyDescent="0.55000000000000004">
      <c r="A1410" t="str">
        <f t="shared" si="21"/>
        <v/>
      </c>
    </row>
    <row r="1411" spans="1:1" x14ac:dyDescent="0.55000000000000004">
      <c r="A1411" t="str">
        <f t="shared" ref="A1411:A1474" si="22">H1411&amp;I1411&amp;J1411</f>
        <v/>
      </c>
    </row>
    <row r="1412" spans="1:1" x14ac:dyDescent="0.55000000000000004">
      <c r="A1412" t="str">
        <f t="shared" si="22"/>
        <v/>
      </c>
    </row>
    <row r="1413" spans="1:1" x14ac:dyDescent="0.55000000000000004">
      <c r="A1413" t="str">
        <f t="shared" si="22"/>
        <v/>
      </c>
    </row>
    <row r="1414" spans="1:1" x14ac:dyDescent="0.55000000000000004">
      <c r="A1414" t="str">
        <f t="shared" si="22"/>
        <v/>
      </c>
    </row>
    <row r="1415" spans="1:1" x14ac:dyDescent="0.55000000000000004">
      <c r="A1415" t="str">
        <f t="shared" si="22"/>
        <v/>
      </c>
    </row>
    <row r="1416" spans="1:1" x14ac:dyDescent="0.55000000000000004">
      <c r="A1416" t="str">
        <f t="shared" si="22"/>
        <v/>
      </c>
    </row>
    <row r="1417" spans="1:1" x14ac:dyDescent="0.55000000000000004">
      <c r="A1417" t="str">
        <f t="shared" si="22"/>
        <v/>
      </c>
    </row>
    <row r="1418" spans="1:1" x14ac:dyDescent="0.55000000000000004">
      <c r="A1418" t="str">
        <f t="shared" si="22"/>
        <v/>
      </c>
    </row>
    <row r="1419" spans="1:1" x14ac:dyDescent="0.55000000000000004">
      <c r="A1419" t="str">
        <f t="shared" si="22"/>
        <v/>
      </c>
    </row>
    <row r="1420" spans="1:1" x14ac:dyDescent="0.55000000000000004">
      <c r="A1420" t="str">
        <f t="shared" si="22"/>
        <v/>
      </c>
    </row>
    <row r="1421" spans="1:1" x14ac:dyDescent="0.55000000000000004">
      <c r="A1421" t="str">
        <f t="shared" si="22"/>
        <v/>
      </c>
    </row>
    <row r="1422" spans="1:1" x14ac:dyDescent="0.55000000000000004">
      <c r="A1422" t="str">
        <f t="shared" si="22"/>
        <v/>
      </c>
    </row>
    <row r="1423" spans="1:1" x14ac:dyDescent="0.55000000000000004">
      <c r="A1423" t="str">
        <f t="shared" si="22"/>
        <v/>
      </c>
    </row>
    <row r="1424" spans="1:1" x14ac:dyDescent="0.55000000000000004">
      <c r="A1424" t="str">
        <f t="shared" si="22"/>
        <v/>
      </c>
    </row>
    <row r="1425" spans="1:1" x14ac:dyDescent="0.55000000000000004">
      <c r="A1425" t="str">
        <f t="shared" si="22"/>
        <v/>
      </c>
    </row>
    <row r="1426" spans="1:1" x14ac:dyDescent="0.55000000000000004">
      <c r="A1426" t="str">
        <f t="shared" si="22"/>
        <v/>
      </c>
    </row>
    <row r="1427" spans="1:1" x14ac:dyDescent="0.55000000000000004">
      <c r="A1427" t="str">
        <f t="shared" si="22"/>
        <v/>
      </c>
    </row>
    <row r="1428" spans="1:1" x14ac:dyDescent="0.55000000000000004">
      <c r="A1428" t="str">
        <f t="shared" si="22"/>
        <v/>
      </c>
    </row>
    <row r="1429" spans="1:1" x14ac:dyDescent="0.55000000000000004">
      <c r="A1429" t="str">
        <f t="shared" si="22"/>
        <v/>
      </c>
    </row>
    <row r="1430" spans="1:1" x14ac:dyDescent="0.55000000000000004">
      <c r="A1430" t="str">
        <f t="shared" si="22"/>
        <v/>
      </c>
    </row>
    <row r="1431" spans="1:1" x14ac:dyDescent="0.55000000000000004">
      <c r="A1431" t="str">
        <f t="shared" si="22"/>
        <v/>
      </c>
    </row>
    <row r="1432" spans="1:1" x14ac:dyDescent="0.55000000000000004">
      <c r="A1432" t="str">
        <f t="shared" si="22"/>
        <v/>
      </c>
    </row>
    <row r="1433" spans="1:1" x14ac:dyDescent="0.55000000000000004">
      <c r="A1433" t="str">
        <f t="shared" si="22"/>
        <v/>
      </c>
    </row>
    <row r="1434" spans="1:1" x14ac:dyDescent="0.55000000000000004">
      <c r="A1434" t="str">
        <f t="shared" si="22"/>
        <v/>
      </c>
    </row>
    <row r="1435" spans="1:1" x14ac:dyDescent="0.55000000000000004">
      <c r="A1435" t="str">
        <f t="shared" si="22"/>
        <v/>
      </c>
    </row>
    <row r="1436" spans="1:1" x14ac:dyDescent="0.55000000000000004">
      <c r="A1436" t="str">
        <f t="shared" si="22"/>
        <v/>
      </c>
    </row>
    <row r="1437" spans="1:1" x14ac:dyDescent="0.55000000000000004">
      <c r="A1437" t="str">
        <f t="shared" si="22"/>
        <v/>
      </c>
    </row>
    <row r="1438" spans="1:1" x14ac:dyDescent="0.55000000000000004">
      <c r="A1438" t="str">
        <f t="shared" si="22"/>
        <v/>
      </c>
    </row>
    <row r="1439" spans="1:1" x14ac:dyDescent="0.55000000000000004">
      <c r="A1439" t="str">
        <f t="shared" si="22"/>
        <v/>
      </c>
    </row>
    <row r="1440" spans="1:1" x14ac:dyDescent="0.55000000000000004">
      <c r="A1440" t="str">
        <f t="shared" si="22"/>
        <v/>
      </c>
    </row>
    <row r="1441" spans="1:1" x14ac:dyDescent="0.55000000000000004">
      <c r="A1441" t="str">
        <f t="shared" si="22"/>
        <v/>
      </c>
    </row>
    <row r="1442" spans="1:1" x14ac:dyDescent="0.55000000000000004">
      <c r="A1442" t="str">
        <f t="shared" si="22"/>
        <v/>
      </c>
    </row>
    <row r="1443" spans="1:1" x14ac:dyDescent="0.55000000000000004">
      <c r="A1443" t="str">
        <f t="shared" si="22"/>
        <v/>
      </c>
    </row>
    <row r="1444" spans="1:1" x14ac:dyDescent="0.55000000000000004">
      <c r="A1444" t="str">
        <f t="shared" si="22"/>
        <v/>
      </c>
    </row>
    <row r="1445" spans="1:1" x14ac:dyDescent="0.55000000000000004">
      <c r="A1445" t="str">
        <f t="shared" si="22"/>
        <v/>
      </c>
    </row>
    <row r="1446" spans="1:1" x14ac:dyDescent="0.55000000000000004">
      <c r="A1446" t="str">
        <f t="shared" si="22"/>
        <v/>
      </c>
    </row>
    <row r="1447" spans="1:1" x14ac:dyDescent="0.55000000000000004">
      <c r="A1447" t="str">
        <f t="shared" si="22"/>
        <v/>
      </c>
    </row>
    <row r="1448" spans="1:1" x14ac:dyDescent="0.55000000000000004">
      <c r="A1448" t="str">
        <f t="shared" si="22"/>
        <v/>
      </c>
    </row>
    <row r="1449" spans="1:1" x14ac:dyDescent="0.55000000000000004">
      <c r="A1449" t="str">
        <f t="shared" si="22"/>
        <v/>
      </c>
    </row>
    <row r="1450" spans="1:1" x14ac:dyDescent="0.55000000000000004">
      <c r="A1450" t="str">
        <f t="shared" si="22"/>
        <v/>
      </c>
    </row>
    <row r="1451" spans="1:1" x14ac:dyDescent="0.55000000000000004">
      <c r="A1451" t="str">
        <f t="shared" si="22"/>
        <v/>
      </c>
    </row>
    <row r="1452" spans="1:1" x14ac:dyDescent="0.55000000000000004">
      <c r="A1452" t="str">
        <f t="shared" si="22"/>
        <v/>
      </c>
    </row>
    <row r="1453" spans="1:1" x14ac:dyDescent="0.55000000000000004">
      <c r="A1453" t="str">
        <f t="shared" si="22"/>
        <v/>
      </c>
    </row>
    <row r="1454" spans="1:1" x14ac:dyDescent="0.55000000000000004">
      <c r="A1454" t="str">
        <f t="shared" si="22"/>
        <v/>
      </c>
    </row>
    <row r="1455" spans="1:1" x14ac:dyDescent="0.55000000000000004">
      <c r="A1455" t="str">
        <f t="shared" si="22"/>
        <v/>
      </c>
    </row>
    <row r="1456" spans="1:1" x14ac:dyDescent="0.55000000000000004">
      <c r="A1456" t="str">
        <f t="shared" si="22"/>
        <v/>
      </c>
    </row>
    <row r="1457" spans="1:1" x14ac:dyDescent="0.55000000000000004">
      <c r="A1457" t="str">
        <f t="shared" si="22"/>
        <v/>
      </c>
    </row>
    <row r="1458" spans="1:1" x14ac:dyDescent="0.55000000000000004">
      <c r="A1458" t="str">
        <f t="shared" si="22"/>
        <v/>
      </c>
    </row>
    <row r="1459" spans="1:1" x14ac:dyDescent="0.55000000000000004">
      <c r="A1459" t="str">
        <f t="shared" si="22"/>
        <v/>
      </c>
    </row>
    <row r="1460" spans="1:1" x14ac:dyDescent="0.55000000000000004">
      <c r="A1460" t="str">
        <f t="shared" si="22"/>
        <v/>
      </c>
    </row>
    <row r="1461" spans="1:1" x14ac:dyDescent="0.55000000000000004">
      <c r="A1461" t="str">
        <f t="shared" si="22"/>
        <v/>
      </c>
    </row>
    <row r="1462" spans="1:1" x14ac:dyDescent="0.55000000000000004">
      <c r="A1462" t="str">
        <f t="shared" si="22"/>
        <v/>
      </c>
    </row>
    <row r="1463" spans="1:1" x14ac:dyDescent="0.55000000000000004">
      <c r="A1463" t="str">
        <f t="shared" si="22"/>
        <v/>
      </c>
    </row>
    <row r="1464" spans="1:1" x14ac:dyDescent="0.55000000000000004">
      <c r="A1464" t="str">
        <f t="shared" si="22"/>
        <v/>
      </c>
    </row>
    <row r="1465" spans="1:1" x14ac:dyDescent="0.55000000000000004">
      <c r="A1465" t="str">
        <f t="shared" si="22"/>
        <v/>
      </c>
    </row>
    <row r="1466" spans="1:1" x14ac:dyDescent="0.55000000000000004">
      <c r="A1466" t="str">
        <f t="shared" si="22"/>
        <v/>
      </c>
    </row>
    <row r="1467" spans="1:1" x14ac:dyDescent="0.55000000000000004">
      <c r="A1467" t="str">
        <f t="shared" si="22"/>
        <v/>
      </c>
    </row>
    <row r="1468" spans="1:1" x14ac:dyDescent="0.55000000000000004">
      <c r="A1468" t="str">
        <f t="shared" si="22"/>
        <v/>
      </c>
    </row>
    <row r="1469" spans="1:1" x14ac:dyDescent="0.55000000000000004">
      <c r="A1469" t="str">
        <f t="shared" si="22"/>
        <v/>
      </c>
    </row>
    <row r="1470" spans="1:1" x14ac:dyDescent="0.55000000000000004">
      <c r="A1470" t="str">
        <f t="shared" si="22"/>
        <v/>
      </c>
    </row>
    <row r="1471" spans="1:1" x14ac:dyDescent="0.55000000000000004">
      <c r="A1471" t="str">
        <f t="shared" si="22"/>
        <v/>
      </c>
    </row>
    <row r="1472" spans="1:1" x14ac:dyDescent="0.55000000000000004">
      <c r="A1472" t="str">
        <f t="shared" si="22"/>
        <v/>
      </c>
    </row>
    <row r="1473" spans="1:1" x14ac:dyDescent="0.55000000000000004">
      <c r="A1473" t="str">
        <f t="shared" si="22"/>
        <v/>
      </c>
    </row>
    <row r="1474" spans="1:1" x14ac:dyDescent="0.55000000000000004">
      <c r="A1474" t="str">
        <f t="shared" si="22"/>
        <v/>
      </c>
    </row>
    <row r="1475" spans="1:1" x14ac:dyDescent="0.55000000000000004">
      <c r="A1475" t="str">
        <f t="shared" ref="A1475:A1538" si="23">H1475&amp;I1475&amp;J1475</f>
        <v/>
      </c>
    </row>
    <row r="1476" spans="1:1" x14ac:dyDescent="0.55000000000000004">
      <c r="A1476" t="str">
        <f t="shared" si="23"/>
        <v/>
      </c>
    </row>
    <row r="1477" spans="1:1" x14ac:dyDescent="0.55000000000000004">
      <c r="A1477" t="str">
        <f t="shared" si="23"/>
        <v/>
      </c>
    </row>
    <row r="1478" spans="1:1" x14ac:dyDescent="0.55000000000000004">
      <c r="A1478" t="str">
        <f t="shared" si="23"/>
        <v/>
      </c>
    </row>
    <row r="1479" spans="1:1" x14ac:dyDescent="0.55000000000000004">
      <c r="A1479" t="str">
        <f t="shared" si="23"/>
        <v/>
      </c>
    </row>
    <row r="1480" spans="1:1" x14ac:dyDescent="0.55000000000000004">
      <c r="A1480" t="str">
        <f t="shared" si="23"/>
        <v/>
      </c>
    </row>
    <row r="1481" spans="1:1" x14ac:dyDescent="0.55000000000000004">
      <c r="A1481" t="str">
        <f t="shared" si="23"/>
        <v/>
      </c>
    </row>
    <row r="1482" spans="1:1" x14ac:dyDescent="0.55000000000000004">
      <c r="A1482" t="str">
        <f t="shared" si="23"/>
        <v/>
      </c>
    </row>
    <row r="1483" spans="1:1" x14ac:dyDescent="0.55000000000000004">
      <c r="A1483" t="str">
        <f t="shared" si="23"/>
        <v/>
      </c>
    </row>
    <row r="1484" spans="1:1" x14ac:dyDescent="0.55000000000000004">
      <c r="A1484" t="str">
        <f t="shared" si="23"/>
        <v/>
      </c>
    </row>
    <row r="1485" spans="1:1" x14ac:dyDescent="0.55000000000000004">
      <c r="A1485" t="str">
        <f t="shared" si="23"/>
        <v/>
      </c>
    </row>
    <row r="1486" spans="1:1" x14ac:dyDescent="0.55000000000000004">
      <c r="A1486" t="str">
        <f t="shared" si="23"/>
        <v/>
      </c>
    </row>
    <row r="1487" spans="1:1" x14ac:dyDescent="0.55000000000000004">
      <c r="A1487" t="str">
        <f t="shared" si="23"/>
        <v/>
      </c>
    </row>
    <row r="1488" spans="1:1" x14ac:dyDescent="0.55000000000000004">
      <c r="A1488" t="str">
        <f t="shared" si="23"/>
        <v/>
      </c>
    </row>
    <row r="1489" spans="1:1" x14ac:dyDescent="0.55000000000000004">
      <c r="A1489" t="str">
        <f t="shared" si="23"/>
        <v/>
      </c>
    </row>
    <row r="1490" spans="1:1" x14ac:dyDescent="0.55000000000000004">
      <c r="A1490" t="str">
        <f t="shared" si="23"/>
        <v/>
      </c>
    </row>
    <row r="1491" spans="1:1" x14ac:dyDescent="0.55000000000000004">
      <c r="A1491" t="str">
        <f t="shared" si="23"/>
        <v/>
      </c>
    </row>
    <row r="1492" spans="1:1" x14ac:dyDescent="0.55000000000000004">
      <c r="A1492" t="str">
        <f t="shared" si="23"/>
        <v/>
      </c>
    </row>
    <row r="1493" spans="1:1" x14ac:dyDescent="0.55000000000000004">
      <c r="A1493" t="str">
        <f t="shared" si="23"/>
        <v/>
      </c>
    </row>
    <row r="1494" spans="1:1" x14ac:dyDescent="0.55000000000000004">
      <c r="A1494" t="str">
        <f t="shared" si="23"/>
        <v/>
      </c>
    </row>
    <row r="1495" spans="1:1" x14ac:dyDescent="0.55000000000000004">
      <c r="A1495" t="str">
        <f t="shared" si="23"/>
        <v/>
      </c>
    </row>
    <row r="1496" spans="1:1" x14ac:dyDescent="0.55000000000000004">
      <c r="A1496" t="str">
        <f t="shared" si="23"/>
        <v/>
      </c>
    </row>
    <row r="1497" spans="1:1" x14ac:dyDescent="0.55000000000000004">
      <c r="A1497" t="str">
        <f t="shared" si="23"/>
        <v/>
      </c>
    </row>
    <row r="1498" spans="1:1" x14ac:dyDescent="0.55000000000000004">
      <c r="A1498" t="str">
        <f t="shared" si="23"/>
        <v/>
      </c>
    </row>
    <row r="1499" spans="1:1" x14ac:dyDescent="0.55000000000000004">
      <c r="A1499" t="str">
        <f t="shared" si="23"/>
        <v/>
      </c>
    </row>
    <row r="1500" spans="1:1" x14ac:dyDescent="0.55000000000000004">
      <c r="A1500" t="str">
        <f t="shared" si="23"/>
        <v/>
      </c>
    </row>
    <row r="1501" spans="1:1" x14ac:dyDescent="0.55000000000000004">
      <c r="A1501" t="str">
        <f t="shared" si="23"/>
        <v/>
      </c>
    </row>
    <row r="1502" spans="1:1" x14ac:dyDescent="0.55000000000000004">
      <c r="A1502" t="str">
        <f t="shared" si="23"/>
        <v/>
      </c>
    </row>
    <row r="1503" spans="1:1" x14ac:dyDescent="0.55000000000000004">
      <c r="A1503" t="str">
        <f t="shared" si="23"/>
        <v/>
      </c>
    </row>
    <row r="1504" spans="1:1" x14ac:dyDescent="0.55000000000000004">
      <c r="A1504" t="str">
        <f t="shared" si="23"/>
        <v/>
      </c>
    </row>
    <row r="1505" spans="1:1" x14ac:dyDescent="0.55000000000000004">
      <c r="A1505" t="str">
        <f t="shared" si="23"/>
        <v/>
      </c>
    </row>
    <row r="1506" spans="1:1" x14ac:dyDescent="0.55000000000000004">
      <c r="A1506" t="str">
        <f t="shared" si="23"/>
        <v/>
      </c>
    </row>
    <row r="1507" spans="1:1" x14ac:dyDescent="0.55000000000000004">
      <c r="A1507" t="str">
        <f t="shared" si="23"/>
        <v/>
      </c>
    </row>
    <row r="1508" spans="1:1" x14ac:dyDescent="0.55000000000000004">
      <c r="A1508" t="str">
        <f t="shared" si="23"/>
        <v/>
      </c>
    </row>
    <row r="1509" spans="1:1" x14ac:dyDescent="0.55000000000000004">
      <c r="A1509" t="str">
        <f t="shared" si="23"/>
        <v/>
      </c>
    </row>
    <row r="1510" spans="1:1" x14ac:dyDescent="0.55000000000000004">
      <c r="A1510" t="str">
        <f t="shared" si="23"/>
        <v/>
      </c>
    </row>
    <row r="1511" spans="1:1" x14ac:dyDescent="0.55000000000000004">
      <c r="A1511" t="str">
        <f t="shared" si="23"/>
        <v/>
      </c>
    </row>
    <row r="1512" spans="1:1" x14ac:dyDescent="0.55000000000000004">
      <c r="A1512" t="str">
        <f t="shared" si="23"/>
        <v/>
      </c>
    </row>
    <row r="1513" spans="1:1" x14ac:dyDescent="0.55000000000000004">
      <c r="A1513" t="str">
        <f t="shared" si="23"/>
        <v/>
      </c>
    </row>
    <row r="1514" spans="1:1" x14ac:dyDescent="0.55000000000000004">
      <c r="A1514" t="str">
        <f t="shared" si="23"/>
        <v/>
      </c>
    </row>
    <row r="1515" spans="1:1" x14ac:dyDescent="0.55000000000000004">
      <c r="A1515" t="str">
        <f t="shared" si="23"/>
        <v/>
      </c>
    </row>
    <row r="1516" spans="1:1" x14ac:dyDescent="0.55000000000000004">
      <c r="A1516" t="str">
        <f t="shared" si="23"/>
        <v/>
      </c>
    </row>
    <row r="1517" spans="1:1" x14ac:dyDescent="0.55000000000000004">
      <c r="A1517" t="str">
        <f t="shared" si="23"/>
        <v/>
      </c>
    </row>
    <row r="1518" spans="1:1" x14ac:dyDescent="0.55000000000000004">
      <c r="A1518" t="str">
        <f t="shared" si="23"/>
        <v/>
      </c>
    </row>
    <row r="1519" spans="1:1" x14ac:dyDescent="0.55000000000000004">
      <c r="A1519" t="str">
        <f t="shared" si="23"/>
        <v/>
      </c>
    </row>
    <row r="1520" spans="1:1" x14ac:dyDescent="0.55000000000000004">
      <c r="A1520" t="str">
        <f t="shared" si="23"/>
        <v/>
      </c>
    </row>
    <row r="1521" spans="1:1" x14ac:dyDescent="0.55000000000000004">
      <c r="A1521" t="str">
        <f t="shared" si="23"/>
        <v/>
      </c>
    </row>
    <row r="1522" spans="1:1" x14ac:dyDescent="0.55000000000000004">
      <c r="A1522" t="str">
        <f t="shared" si="23"/>
        <v/>
      </c>
    </row>
    <row r="1523" spans="1:1" x14ac:dyDescent="0.55000000000000004">
      <c r="A1523" t="str">
        <f t="shared" si="23"/>
        <v/>
      </c>
    </row>
    <row r="1524" spans="1:1" x14ac:dyDescent="0.55000000000000004">
      <c r="A1524" t="str">
        <f t="shared" si="23"/>
        <v/>
      </c>
    </row>
    <row r="1525" spans="1:1" x14ac:dyDescent="0.55000000000000004">
      <c r="A1525" t="str">
        <f t="shared" si="23"/>
        <v/>
      </c>
    </row>
    <row r="1526" spans="1:1" x14ac:dyDescent="0.55000000000000004">
      <c r="A1526" t="str">
        <f t="shared" si="23"/>
        <v/>
      </c>
    </row>
    <row r="1527" spans="1:1" x14ac:dyDescent="0.55000000000000004">
      <c r="A1527" t="str">
        <f t="shared" si="23"/>
        <v/>
      </c>
    </row>
    <row r="1528" spans="1:1" x14ac:dyDescent="0.55000000000000004">
      <c r="A1528" t="str">
        <f t="shared" si="23"/>
        <v/>
      </c>
    </row>
    <row r="1529" spans="1:1" x14ac:dyDescent="0.55000000000000004">
      <c r="A1529" t="str">
        <f t="shared" si="23"/>
        <v/>
      </c>
    </row>
    <row r="1530" spans="1:1" x14ac:dyDescent="0.55000000000000004">
      <c r="A1530" t="str">
        <f t="shared" si="23"/>
        <v/>
      </c>
    </row>
    <row r="1531" spans="1:1" x14ac:dyDescent="0.55000000000000004">
      <c r="A1531" t="str">
        <f t="shared" si="23"/>
        <v/>
      </c>
    </row>
    <row r="1532" spans="1:1" x14ac:dyDescent="0.55000000000000004">
      <c r="A1532" t="str">
        <f t="shared" si="23"/>
        <v/>
      </c>
    </row>
    <row r="1533" spans="1:1" x14ac:dyDescent="0.55000000000000004">
      <c r="A1533" t="str">
        <f t="shared" si="23"/>
        <v/>
      </c>
    </row>
    <row r="1534" spans="1:1" x14ac:dyDescent="0.55000000000000004">
      <c r="A1534" t="str">
        <f t="shared" si="23"/>
        <v/>
      </c>
    </row>
    <row r="1535" spans="1:1" x14ac:dyDescent="0.55000000000000004">
      <c r="A1535" t="str">
        <f t="shared" si="23"/>
        <v/>
      </c>
    </row>
    <row r="1536" spans="1:1" x14ac:dyDescent="0.55000000000000004">
      <c r="A1536" t="str">
        <f t="shared" si="23"/>
        <v/>
      </c>
    </row>
    <row r="1537" spans="1:1" x14ac:dyDescent="0.55000000000000004">
      <c r="A1537" t="str">
        <f t="shared" si="23"/>
        <v/>
      </c>
    </row>
    <row r="1538" spans="1:1" x14ac:dyDescent="0.55000000000000004">
      <c r="A1538" t="str">
        <f t="shared" si="23"/>
        <v/>
      </c>
    </row>
    <row r="1539" spans="1:1" x14ac:dyDescent="0.55000000000000004">
      <c r="A1539" t="str">
        <f t="shared" ref="A1539:A1602" si="24">H1539&amp;I1539&amp;J1539</f>
        <v/>
      </c>
    </row>
    <row r="1540" spans="1:1" x14ac:dyDescent="0.55000000000000004">
      <c r="A1540" t="str">
        <f t="shared" si="24"/>
        <v/>
      </c>
    </row>
    <row r="1541" spans="1:1" x14ac:dyDescent="0.55000000000000004">
      <c r="A1541" t="str">
        <f t="shared" si="24"/>
        <v/>
      </c>
    </row>
    <row r="1542" spans="1:1" x14ac:dyDescent="0.55000000000000004">
      <c r="A1542" t="str">
        <f t="shared" si="24"/>
        <v/>
      </c>
    </row>
    <row r="1543" spans="1:1" x14ac:dyDescent="0.55000000000000004">
      <c r="A1543" t="str">
        <f t="shared" si="24"/>
        <v/>
      </c>
    </row>
    <row r="1544" spans="1:1" x14ac:dyDescent="0.55000000000000004">
      <c r="A1544" t="str">
        <f t="shared" si="24"/>
        <v/>
      </c>
    </row>
    <row r="1545" spans="1:1" x14ac:dyDescent="0.55000000000000004">
      <c r="A1545" t="str">
        <f t="shared" si="24"/>
        <v/>
      </c>
    </row>
    <row r="1546" spans="1:1" x14ac:dyDescent="0.55000000000000004">
      <c r="A1546" t="str">
        <f t="shared" si="24"/>
        <v/>
      </c>
    </row>
    <row r="1547" spans="1:1" x14ac:dyDescent="0.55000000000000004">
      <c r="A1547" t="str">
        <f t="shared" si="24"/>
        <v/>
      </c>
    </row>
    <row r="1548" spans="1:1" x14ac:dyDescent="0.55000000000000004">
      <c r="A1548" t="str">
        <f t="shared" si="24"/>
        <v/>
      </c>
    </row>
    <row r="1549" spans="1:1" x14ac:dyDescent="0.55000000000000004">
      <c r="A1549" t="str">
        <f t="shared" si="24"/>
        <v/>
      </c>
    </row>
    <row r="1550" spans="1:1" x14ac:dyDescent="0.55000000000000004">
      <c r="A1550" t="str">
        <f t="shared" si="24"/>
        <v/>
      </c>
    </row>
    <row r="1551" spans="1:1" x14ac:dyDescent="0.55000000000000004">
      <c r="A1551" t="str">
        <f t="shared" si="24"/>
        <v/>
      </c>
    </row>
    <row r="1552" spans="1:1" x14ac:dyDescent="0.55000000000000004">
      <c r="A1552" t="str">
        <f t="shared" si="24"/>
        <v/>
      </c>
    </row>
    <row r="1553" spans="1:1" x14ac:dyDescent="0.55000000000000004">
      <c r="A1553" t="str">
        <f t="shared" si="24"/>
        <v/>
      </c>
    </row>
    <row r="1554" spans="1:1" x14ac:dyDescent="0.55000000000000004">
      <c r="A1554" t="str">
        <f t="shared" si="24"/>
        <v/>
      </c>
    </row>
    <row r="1555" spans="1:1" x14ac:dyDescent="0.55000000000000004">
      <c r="A1555" t="str">
        <f t="shared" si="24"/>
        <v/>
      </c>
    </row>
    <row r="1556" spans="1:1" x14ac:dyDescent="0.55000000000000004">
      <c r="A1556" t="str">
        <f t="shared" si="24"/>
        <v/>
      </c>
    </row>
    <row r="1557" spans="1:1" x14ac:dyDescent="0.55000000000000004">
      <c r="A1557" t="str">
        <f t="shared" si="24"/>
        <v/>
      </c>
    </row>
    <row r="1558" spans="1:1" x14ac:dyDescent="0.55000000000000004">
      <c r="A1558" t="str">
        <f t="shared" si="24"/>
        <v/>
      </c>
    </row>
    <row r="1559" spans="1:1" x14ac:dyDescent="0.55000000000000004">
      <c r="A1559" t="str">
        <f t="shared" si="24"/>
        <v/>
      </c>
    </row>
    <row r="1560" spans="1:1" x14ac:dyDescent="0.55000000000000004">
      <c r="A1560" t="str">
        <f t="shared" si="24"/>
        <v/>
      </c>
    </row>
    <row r="1561" spans="1:1" x14ac:dyDescent="0.55000000000000004">
      <c r="A1561" t="str">
        <f t="shared" si="24"/>
        <v/>
      </c>
    </row>
    <row r="1562" spans="1:1" x14ac:dyDescent="0.55000000000000004">
      <c r="A1562" t="str">
        <f t="shared" si="24"/>
        <v/>
      </c>
    </row>
    <row r="1563" spans="1:1" x14ac:dyDescent="0.55000000000000004">
      <c r="A1563" t="str">
        <f t="shared" si="24"/>
        <v/>
      </c>
    </row>
    <row r="1564" spans="1:1" x14ac:dyDescent="0.55000000000000004">
      <c r="A1564" t="str">
        <f t="shared" si="24"/>
        <v/>
      </c>
    </row>
    <row r="1565" spans="1:1" x14ac:dyDescent="0.55000000000000004">
      <c r="A1565" t="str">
        <f t="shared" si="24"/>
        <v/>
      </c>
    </row>
    <row r="1566" spans="1:1" x14ac:dyDescent="0.55000000000000004">
      <c r="A1566" t="str">
        <f t="shared" si="24"/>
        <v/>
      </c>
    </row>
    <row r="1567" spans="1:1" x14ac:dyDescent="0.55000000000000004">
      <c r="A1567" t="str">
        <f t="shared" si="24"/>
        <v/>
      </c>
    </row>
    <row r="1568" spans="1:1" x14ac:dyDescent="0.55000000000000004">
      <c r="A1568" t="str">
        <f t="shared" si="24"/>
        <v/>
      </c>
    </row>
    <row r="1569" spans="1:1" x14ac:dyDescent="0.55000000000000004">
      <c r="A1569" t="str">
        <f t="shared" si="24"/>
        <v/>
      </c>
    </row>
    <row r="1570" spans="1:1" x14ac:dyDescent="0.55000000000000004">
      <c r="A1570" t="str">
        <f t="shared" si="24"/>
        <v/>
      </c>
    </row>
    <row r="1571" spans="1:1" x14ac:dyDescent="0.55000000000000004">
      <c r="A1571" t="str">
        <f t="shared" si="24"/>
        <v/>
      </c>
    </row>
    <row r="1572" spans="1:1" x14ac:dyDescent="0.55000000000000004">
      <c r="A1572" t="str">
        <f t="shared" si="24"/>
        <v/>
      </c>
    </row>
    <row r="1573" spans="1:1" x14ac:dyDescent="0.55000000000000004">
      <c r="A1573" t="str">
        <f t="shared" si="24"/>
        <v/>
      </c>
    </row>
    <row r="1574" spans="1:1" x14ac:dyDescent="0.55000000000000004">
      <c r="A1574" t="str">
        <f t="shared" si="24"/>
        <v/>
      </c>
    </row>
    <row r="1575" spans="1:1" x14ac:dyDescent="0.55000000000000004">
      <c r="A1575" t="str">
        <f t="shared" si="24"/>
        <v/>
      </c>
    </row>
    <row r="1576" spans="1:1" x14ac:dyDescent="0.55000000000000004">
      <c r="A1576" t="str">
        <f t="shared" si="24"/>
        <v/>
      </c>
    </row>
    <row r="1577" spans="1:1" x14ac:dyDescent="0.55000000000000004">
      <c r="A1577" t="str">
        <f t="shared" si="24"/>
        <v/>
      </c>
    </row>
    <row r="1578" spans="1:1" x14ac:dyDescent="0.55000000000000004">
      <c r="A1578" t="str">
        <f t="shared" si="24"/>
        <v/>
      </c>
    </row>
    <row r="1579" spans="1:1" x14ac:dyDescent="0.55000000000000004">
      <c r="A1579" t="str">
        <f t="shared" si="24"/>
        <v/>
      </c>
    </row>
    <row r="1580" spans="1:1" x14ac:dyDescent="0.55000000000000004">
      <c r="A1580" t="str">
        <f t="shared" si="24"/>
        <v/>
      </c>
    </row>
    <row r="1581" spans="1:1" x14ac:dyDescent="0.55000000000000004">
      <c r="A1581" t="str">
        <f t="shared" si="24"/>
        <v/>
      </c>
    </row>
    <row r="1582" spans="1:1" x14ac:dyDescent="0.55000000000000004">
      <c r="A1582" t="str">
        <f t="shared" si="24"/>
        <v/>
      </c>
    </row>
    <row r="1583" spans="1:1" x14ac:dyDescent="0.55000000000000004">
      <c r="A1583" t="str">
        <f t="shared" si="24"/>
        <v/>
      </c>
    </row>
    <row r="1584" spans="1:1" x14ac:dyDescent="0.55000000000000004">
      <c r="A1584" t="str">
        <f t="shared" si="24"/>
        <v/>
      </c>
    </row>
    <row r="1585" spans="1:1" x14ac:dyDescent="0.55000000000000004">
      <c r="A1585" t="str">
        <f t="shared" si="24"/>
        <v/>
      </c>
    </row>
    <row r="1586" spans="1:1" x14ac:dyDescent="0.55000000000000004">
      <c r="A1586" t="str">
        <f t="shared" si="24"/>
        <v/>
      </c>
    </row>
    <row r="1587" spans="1:1" x14ac:dyDescent="0.55000000000000004">
      <c r="A1587" t="str">
        <f t="shared" si="24"/>
        <v/>
      </c>
    </row>
    <row r="1588" spans="1:1" x14ac:dyDescent="0.55000000000000004">
      <c r="A1588" t="str">
        <f t="shared" si="24"/>
        <v/>
      </c>
    </row>
    <row r="1589" spans="1:1" x14ac:dyDescent="0.55000000000000004">
      <c r="A1589" t="str">
        <f t="shared" si="24"/>
        <v/>
      </c>
    </row>
    <row r="1590" spans="1:1" x14ac:dyDescent="0.55000000000000004">
      <c r="A1590" t="str">
        <f t="shared" si="24"/>
        <v/>
      </c>
    </row>
    <row r="1591" spans="1:1" x14ac:dyDescent="0.55000000000000004">
      <c r="A1591" t="str">
        <f t="shared" si="24"/>
        <v/>
      </c>
    </row>
    <row r="1592" spans="1:1" x14ac:dyDescent="0.55000000000000004">
      <c r="A1592" t="str">
        <f t="shared" si="24"/>
        <v/>
      </c>
    </row>
    <row r="1593" spans="1:1" x14ac:dyDescent="0.55000000000000004">
      <c r="A1593" t="str">
        <f t="shared" si="24"/>
        <v/>
      </c>
    </row>
    <row r="1594" spans="1:1" x14ac:dyDescent="0.55000000000000004">
      <c r="A1594" t="str">
        <f t="shared" si="24"/>
        <v/>
      </c>
    </row>
    <row r="1595" spans="1:1" x14ac:dyDescent="0.55000000000000004">
      <c r="A1595" t="str">
        <f t="shared" si="24"/>
        <v/>
      </c>
    </row>
    <row r="1596" spans="1:1" x14ac:dyDescent="0.55000000000000004">
      <c r="A1596" t="str">
        <f t="shared" si="24"/>
        <v/>
      </c>
    </row>
    <row r="1597" spans="1:1" x14ac:dyDescent="0.55000000000000004">
      <c r="A1597" t="str">
        <f t="shared" si="24"/>
        <v/>
      </c>
    </row>
    <row r="1598" spans="1:1" x14ac:dyDescent="0.55000000000000004">
      <c r="A1598" t="str">
        <f t="shared" si="24"/>
        <v/>
      </c>
    </row>
    <row r="1599" spans="1:1" x14ac:dyDescent="0.55000000000000004">
      <c r="A1599" t="str">
        <f t="shared" si="24"/>
        <v/>
      </c>
    </row>
    <row r="1600" spans="1:1" x14ac:dyDescent="0.55000000000000004">
      <c r="A1600" t="str">
        <f t="shared" si="24"/>
        <v/>
      </c>
    </row>
    <row r="1601" spans="1:1" x14ac:dyDescent="0.55000000000000004">
      <c r="A1601" t="str">
        <f t="shared" si="24"/>
        <v/>
      </c>
    </row>
    <row r="1602" spans="1:1" x14ac:dyDescent="0.55000000000000004">
      <c r="A1602" t="str">
        <f t="shared" si="24"/>
        <v/>
      </c>
    </row>
    <row r="1603" spans="1:1" x14ac:dyDescent="0.55000000000000004">
      <c r="A1603" t="str">
        <f t="shared" ref="A1603:A1666" si="25">H1603&amp;I1603&amp;J1603</f>
        <v/>
      </c>
    </row>
    <row r="1604" spans="1:1" x14ac:dyDescent="0.55000000000000004">
      <c r="A1604" t="str">
        <f t="shared" si="25"/>
        <v/>
      </c>
    </row>
    <row r="1605" spans="1:1" x14ac:dyDescent="0.55000000000000004">
      <c r="A1605" t="str">
        <f t="shared" si="25"/>
        <v/>
      </c>
    </row>
    <row r="1606" spans="1:1" x14ac:dyDescent="0.55000000000000004">
      <c r="A1606" t="str">
        <f t="shared" si="25"/>
        <v/>
      </c>
    </row>
    <row r="1607" spans="1:1" x14ac:dyDescent="0.55000000000000004">
      <c r="A1607" t="str">
        <f t="shared" si="25"/>
        <v/>
      </c>
    </row>
    <row r="1608" spans="1:1" x14ac:dyDescent="0.55000000000000004">
      <c r="A1608" t="str">
        <f t="shared" si="25"/>
        <v/>
      </c>
    </row>
    <row r="1609" spans="1:1" x14ac:dyDescent="0.55000000000000004">
      <c r="A1609" t="str">
        <f t="shared" si="25"/>
        <v/>
      </c>
    </row>
    <row r="1610" spans="1:1" x14ac:dyDescent="0.55000000000000004">
      <c r="A1610" t="str">
        <f t="shared" si="25"/>
        <v/>
      </c>
    </row>
    <row r="1611" spans="1:1" x14ac:dyDescent="0.55000000000000004">
      <c r="A1611" t="str">
        <f t="shared" si="25"/>
        <v/>
      </c>
    </row>
    <row r="1612" spans="1:1" x14ac:dyDescent="0.55000000000000004">
      <c r="A1612" t="str">
        <f t="shared" si="25"/>
        <v/>
      </c>
    </row>
    <row r="1613" spans="1:1" x14ac:dyDescent="0.55000000000000004">
      <c r="A1613" t="str">
        <f t="shared" si="25"/>
        <v/>
      </c>
    </row>
    <row r="1614" spans="1:1" x14ac:dyDescent="0.55000000000000004">
      <c r="A1614" t="str">
        <f t="shared" si="25"/>
        <v/>
      </c>
    </row>
    <row r="1615" spans="1:1" x14ac:dyDescent="0.55000000000000004">
      <c r="A1615" t="str">
        <f t="shared" si="25"/>
        <v/>
      </c>
    </row>
    <row r="1616" spans="1:1" x14ac:dyDescent="0.55000000000000004">
      <c r="A1616" t="str">
        <f t="shared" si="25"/>
        <v/>
      </c>
    </row>
    <row r="1617" spans="1:1" x14ac:dyDescent="0.55000000000000004">
      <c r="A1617" t="str">
        <f t="shared" si="25"/>
        <v/>
      </c>
    </row>
    <row r="1618" spans="1:1" x14ac:dyDescent="0.55000000000000004">
      <c r="A1618" t="str">
        <f t="shared" si="25"/>
        <v/>
      </c>
    </row>
    <row r="1619" spans="1:1" x14ac:dyDescent="0.55000000000000004">
      <c r="A1619" t="str">
        <f t="shared" si="25"/>
        <v/>
      </c>
    </row>
    <row r="1620" spans="1:1" x14ac:dyDescent="0.55000000000000004">
      <c r="A1620" t="str">
        <f t="shared" si="25"/>
        <v/>
      </c>
    </row>
    <row r="1621" spans="1:1" x14ac:dyDescent="0.55000000000000004">
      <c r="A1621" t="str">
        <f t="shared" si="25"/>
        <v/>
      </c>
    </row>
    <row r="1622" spans="1:1" x14ac:dyDescent="0.55000000000000004">
      <c r="A1622" t="str">
        <f t="shared" si="25"/>
        <v/>
      </c>
    </row>
    <row r="1623" spans="1:1" x14ac:dyDescent="0.55000000000000004">
      <c r="A1623" t="str">
        <f t="shared" si="25"/>
        <v/>
      </c>
    </row>
    <row r="1624" spans="1:1" x14ac:dyDescent="0.55000000000000004">
      <c r="A1624" t="str">
        <f t="shared" si="25"/>
        <v/>
      </c>
    </row>
    <row r="1625" spans="1:1" x14ac:dyDescent="0.55000000000000004">
      <c r="A1625" t="str">
        <f t="shared" si="25"/>
        <v/>
      </c>
    </row>
    <row r="1626" spans="1:1" x14ac:dyDescent="0.55000000000000004">
      <c r="A1626" t="str">
        <f t="shared" si="25"/>
        <v/>
      </c>
    </row>
    <row r="1627" spans="1:1" x14ac:dyDescent="0.55000000000000004">
      <c r="A1627" t="str">
        <f t="shared" si="25"/>
        <v/>
      </c>
    </row>
    <row r="1628" spans="1:1" x14ac:dyDescent="0.55000000000000004">
      <c r="A1628" t="str">
        <f t="shared" si="25"/>
        <v/>
      </c>
    </row>
    <row r="1629" spans="1:1" x14ac:dyDescent="0.55000000000000004">
      <c r="A1629" t="str">
        <f t="shared" si="25"/>
        <v/>
      </c>
    </row>
    <row r="1630" spans="1:1" x14ac:dyDescent="0.55000000000000004">
      <c r="A1630" t="str">
        <f t="shared" si="25"/>
        <v/>
      </c>
    </row>
    <row r="1631" spans="1:1" x14ac:dyDescent="0.55000000000000004">
      <c r="A1631" t="str">
        <f t="shared" si="25"/>
        <v/>
      </c>
    </row>
    <row r="1632" spans="1:1" x14ac:dyDescent="0.55000000000000004">
      <c r="A1632" t="str">
        <f t="shared" si="25"/>
        <v/>
      </c>
    </row>
    <row r="1633" spans="1:1" x14ac:dyDescent="0.55000000000000004">
      <c r="A1633" t="str">
        <f t="shared" si="25"/>
        <v/>
      </c>
    </row>
    <row r="1634" spans="1:1" x14ac:dyDescent="0.55000000000000004">
      <c r="A1634" t="str">
        <f t="shared" si="25"/>
        <v/>
      </c>
    </row>
    <row r="1635" spans="1:1" x14ac:dyDescent="0.55000000000000004">
      <c r="A1635" t="str">
        <f t="shared" si="25"/>
        <v/>
      </c>
    </row>
    <row r="1636" spans="1:1" x14ac:dyDescent="0.55000000000000004">
      <c r="A1636" t="str">
        <f t="shared" si="25"/>
        <v/>
      </c>
    </row>
    <row r="1637" spans="1:1" x14ac:dyDescent="0.55000000000000004">
      <c r="A1637" t="str">
        <f t="shared" si="25"/>
        <v/>
      </c>
    </row>
    <row r="1638" spans="1:1" x14ac:dyDescent="0.55000000000000004">
      <c r="A1638" t="str">
        <f t="shared" si="25"/>
        <v/>
      </c>
    </row>
    <row r="1639" spans="1:1" x14ac:dyDescent="0.55000000000000004">
      <c r="A1639" t="str">
        <f t="shared" si="25"/>
        <v/>
      </c>
    </row>
    <row r="1640" spans="1:1" x14ac:dyDescent="0.55000000000000004">
      <c r="A1640" t="str">
        <f t="shared" si="25"/>
        <v/>
      </c>
    </row>
    <row r="1641" spans="1:1" x14ac:dyDescent="0.55000000000000004">
      <c r="A1641" t="str">
        <f t="shared" si="25"/>
        <v/>
      </c>
    </row>
    <row r="1642" spans="1:1" x14ac:dyDescent="0.55000000000000004">
      <c r="A1642" t="str">
        <f t="shared" si="25"/>
        <v/>
      </c>
    </row>
    <row r="1643" spans="1:1" x14ac:dyDescent="0.55000000000000004">
      <c r="A1643" t="str">
        <f t="shared" si="25"/>
        <v/>
      </c>
    </row>
    <row r="1644" spans="1:1" x14ac:dyDescent="0.55000000000000004">
      <c r="A1644" t="str">
        <f t="shared" si="25"/>
        <v/>
      </c>
    </row>
    <row r="1645" spans="1:1" x14ac:dyDescent="0.55000000000000004">
      <c r="A1645" t="str">
        <f t="shared" si="25"/>
        <v/>
      </c>
    </row>
    <row r="1646" spans="1:1" x14ac:dyDescent="0.55000000000000004">
      <c r="A1646" t="str">
        <f t="shared" si="25"/>
        <v/>
      </c>
    </row>
    <row r="1647" spans="1:1" x14ac:dyDescent="0.55000000000000004">
      <c r="A1647" t="str">
        <f t="shared" si="25"/>
        <v/>
      </c>
    </row>
    <row r="1648" spans="1:1" x14ac:dyDescent="0.55000000000000004">
      <c r="A1648" t="str">
        <f t="shared" si="25"/>
        <v/>
      </c>
    </row>
    <row r="1649" spans="1:1" x14ac:dyDescent="0.55000000000000004">
      <c r="A1649" t="str">
        <f t="shared" si="25"/>
        <v/>
      </c>
    </row>
    <row r="1650" spans="1:1" x14ac:dyDescent="0.55000000000000004">
      <c r="A1650" t="str">
        <f t="shared" si="25"/>
        <v/>
      </c>
    </row>
    <row r="1651" spans="1:1" x14ac:dyDescent="0.55000000000000004">
      <c r="A1651" t="str">
        <f t="shared" si="25"/>
        <v/>
      </c>
    </row>
    <row r="1652" spans="1:1" x14ac:dyDescent="0.55000000000000004">
      <c r="A1652" t="str">
        <f t="shared" si="25"/>
        <v/>
      </c>
    </row>
    <row r="1653" spans="1:1" x14ac:dyDescent="0.55000000000000004">
      <c r="A1653" t="str">
        <f t="shared" si="25"/>
        <v/>
      </c>
    </row>
    <row r="1654" spans="1:1" x14ac:dyDescent="0.55000000000000004">
      <c r="A1654" t="str">
        <f t="shared" si="25"/>
        <v/>
      </c>
    </row>
    <row r="1655" spans="1:1" x14ac:dyDescent="0.55000000000000004">
      <c r="A1655" t="str">
        <f t="shared" si="25"/>
        <v/>
      </c>
    </row>
    <row r="1656" spans="1:1" x14ac:dyDescent="0.55000000000000004">
      <c r="A1656" t="str">
        <f t="shared" si="25"/>
        <v/>
      </c>
    </row>
    <row r="1657" spans="1:1" x14ac:dyDescent="0.55000000000000004">
      <c r="A1657" t="str">
        <f t="shared" si="25"/>
        <v/>
      </c>
    </row>
    <row r="1658" spans="1:1" x14ac:dyDescent="0.55000000000000004">
      <c r="A1658" t="str">
        <f t="shared" si="25"/>
        <v/>
      </c>
    </row>
    <row r="1659" spans="1:1" x14ac:dyDescent="0.55000000000000004">
      <c r="A1659" t="str">
        <f t="shared" si="25"/>
        <v/>
      </c>
    </row>
    <row r="1660" spans="1:1" x14ac:dyDescent="0.55000000000000004">
      <c r="A1660" t="str">
        <f t="shared" si="25"/>
        <v/>
      </c>
    </row>
    <row r="1661" spans="1:1" x14ac:dyDescent="0.55000000000000004">
      <c r="A1661" t="str">
        <f t="shared" si="25"/>
        <v/>
      </c>
    </row>
    <row r="1662" spans="1:1" x14ac:dyDescent="0.55000000000000004">
      <c r="A1662" t="str">
        <f t="shared" si="25"/>
        <v/>
      </c>
    </row>
    <row r="1663" spans="1:1" x14ac:dyDescent="0.55000000000000004">
      <c r="A1663" t="str">
        <f t="shared" si="25"/>
        <v/>
      </c>
    </row>
    <row r="1664" spans="1:1" x14ac:dyDescent="0.55000000000000004">
      <c r="A1664" t="str">
        <f t="shared" si="25"/>
        <v/>
      </c>
    </row>
    <row r="1665" spans="1:1" x14ac:dyDescent="0.55000000000000004">
      <c r="A1665" t="str">
        <f t="shared" si="25"/>
        <v/>
      </c>
    </row>
    <row r="1666" spans="1:1" x14ac:dyDescent="0.55000000000000004">
      <c r="A1666" t="str">
        <f t="shared" si="25"/>
        <v/>
      </c>
    </row>
    <row r="1667" spans="1:1" x14ac:dyDescent="0.55000000000000004">
      <c r="A1667" t="str">
        <f t="shared" ref="A1667:A1730" si="26">H1667&amp;I1667&amp;J1667</f>
        <v/>
      </c>
    </row>
    <row r="1668" spans="1:1" x14ac:dyDescent="0.55000000000000004">
      <c r="A1668" t="str">
        <f t="shared" si="26"/>
        <v/>
      </c>
    </row>
    <row r="1669" spans="1:1" x14ac:dyDescent="0.55000000000000004">
      <c r="A1669" t="str">
        <f t="shared" si="26"/>
        <v/>
      </c>
    </row>
    <row r="1670" spans="1:1" x14ac:dyDescent="0.55000000000000004">
      <c r="A1670" t="str">
        <f t="shared" si="26"/>
        <v/>
      </c>
    </row>
    <row r="1671" spans="1:1" x14ac:dyDescent="0.55000000000000004">
      <c r="A1671" t="str">
        <f t="shared" si="26"/>
        <v/>
      </c>
    </row>
    <row r="1672" spans="1:1" x14ac:dyDescent="0.55000000000000004">
      <c r="A1672" t="str">
        <f t="shared" si="26"/>
        <v/>
      </c>
    </row>
    <row r="1673" spans="1:1" x14ac:dyDescent="0.55000000000000004">
      <c r="A1673" t="str">
        <f t="shared" si="26"/>
        <v/>
      </c>
    </row>
    <row r="1674" spans="1:1" x14ac:dyDescent="0.55000000000000004">
      <c r="A1674" t="str">
        <f t="shared" si="26"/>
        <v/>
      </c>
    </row>
    <row r="1675" spans="1:1" x14ac:dyDescent="0.55000000000000004">
      <c r="A1675" t="str">
        <f t="shared" si="26"/>
        <v/>
      </c>
    </row>
    <row r="1676" spans="1:1" x14ac:dyDescent="0.55000000000000004">
      <c r="A1676" t="str">
        <f t="shared" si="26"/>
        <v/>
      </c>
    </row>
    <row r="1677" spans="1:1" x14ac:dyDescent="0.55000000000000004">
      <c r="A1677" t="str">
        <f t="shared" si="26"/>
        <v/>
      </c>
    </row>
    <row r="1678" spans="1:1" x14ac:dyDescent="0.55000000000000004">
      <c r="A1678" t="str">
        <f t="shared" si="26"/>
        <v/>
      </c>
    </row>
    <row r="1679" spans="1:1" x14ac:dyDescent="0.55000000000000004">
      <c r="A1679" t="str">
        <f t="shared" si="26"/>
        <v/>
      </c>
    </row>
    <row r="1680" spans="1:1" x14ac:dyDescent="0.55000000000000004">
      <c r="A1680" t="str">
        <f t="shared" si="26"/>
        <v/>
      </c>
    </row>
    <row r="1681" spans="1:1" x14ac:dyDescent="0.55000000000000004">
      <c r="A1681" t="str">
        <f t="shared" si="26"/>
        <v/>
      </c>
    </row>
    <row r="1682" spans="1:1" x14ac:dyDescent="0.55000000000000004">
      <c r="A1682" t="str">
        <f t="shared" si="26"/>
        <v/>
      </c>
    </row>
    <row r="1683" spans="1:1" x14ac:dyDescent="0.55000000000000004">
      <c r="A1683" t="str">
        <f t="shared" si="26"/>
        <v/>
      </c>
    </row>
    <row r="1684" spans="1:1" x14ac:dyDescent="0.55000000000000004">
      <c r="A1684" t="str">
        <f t="shared" si="26"/>
        <v/>
      </c>
    </row>
    <row r="1685" spans="1:1" x14ac:dyDescent="0.55000000000000004">
      <c r="A1685" t="str">
        <f t="shared" si="26"/>
        <v/>
      </c>
    </row>
    <row r="1686" spans="1:1" x14ac:dyDescent="0.55000000000000004">
      <c r="A1686" t="str">
        <f t="shared" si="26"/>
        <v/>
      </c>
    </row>
    <row r="1687" spans="1:1" x14ac:dyDescent="0.55000000000000004">
      <c r="A1687" t="str">
        <f t="shared" si="26"/>
        <v/>
      </c>
    </row>
    <row r="1688" spans="1:1" x14ac:dyDescent="0.55000000000000004">
      <c r="A1688" t="str">
        <f t="shared" si="26"/>
        <v/>
      </c>
    </row>
    <row r="1689" spans="1:1" x14ac:dyDescent="0.55000000000000004">
      <c r="A1689" t="str">
        <f t="shared" si="26"/>
        <v/>
      </c>
    </row>
    <row r="1690" spans="1:1" x14ac:dyDescent="0.55000000000000004">
      <c r="A1690" t="str">
        <f t="shared" si="26"/>
        <v/>
      </c>
    </row>
    <row r="1691" spans="1:1" x14ac:dyDescent="0.55000000000000004">
      <c r="A1691" t="str">
        <f t="shared" si="26"/>
        <v/>
      </c>
    </row>
    <row r="1692" spans="1:1" x14ac:dyDescent="0.55000000000000004">
      <c r="A1692" t="str">
        <f t="shared" si="26"/>
        <v/>
      </c>
    </row>
    <row r="1693" spans="1:1" x14ac:dyDescent="0.55000000000000004">
      <c r="A1693" t="str">
        <f t="shared" si="26"/>
        <v/>
      </c>
    </row>
    <row r="1694" spans="1:1" x14ac:dyDescent="0.55000000000000004">
      <c r="A1694" t="str">
        <f t="shared" si="26"/>
        <v/>
      </c>
    </row>
    <row r="1695" spans="1:1" x14ac:dyDescent="0.55000000000000004">
      <c r="A1695" t="str">
        <f t="shared" si="26"/>
        <v/>
      </c>
    </row>
    <row r="1696" spans="1:1" x14ac:dyDescent="0.55000000000000004">
      <c r="A1696" t="str">
        <f t="shared" si="26"/>
        <v/>
      </c>
    </row>
    <row r="1697" spans="1:1" x14ac:dyDescent="0.55000000000000004">
      <c r="A1697" t="str">
        <f t="shared" si="26"/>
        <v/>
      </c>
    </row>
    <row r="1698" spans="1:1" x14ac:dyDescent="0.55000000000000004">
      <c r="A1698" t="str">
        <f t="shared" si="26"/>
        <v/>
      </c>
    </row>
    <row r="1699" spans="1:1" x14ac:dyDescent="0.55000000000000004">
      <c r="A1699" t="str">
        <f t="shared" si="26"/>
        <v/>
      </c>
    </row>
    <row r="1700" spans="1:1" x14ac:dyDescent="0.55000000000000004">
      <c r="A1700" t="str">
        <f t="shared" si="26"/>
        <v/>
      </c>
    </row>
    <row r="1701" spans="1:1" x14ac:dyDescent="0.55000000000000004">
      <c r="A1701" t="str">
        <f t="shared" si="26"/>
        <v/>
      </c>
    </row>
    <row r="1702" spans="1:1" x14ac:dyDescent="0.55000000000000004">
      <c r="A1702" t="str">
        <f t="shared" si="26"/>
        <v/>
      </c>
    </row>
    <row r="1703" spans="1:1" x14ac:dyDescent="0.55000000000000004">
      <c r="A1703" t="str">
        <f t="shared" si="26"/>
        <v/>
      </c>
    </row>
    <row r="1704" spans="1:1" x14ac:dyDescent="0.55000000000000004">
      <c r="A1704" t="str">
        <f t="shared" si="26"/>
        <v/>
      </c>
    </row>
    <row r="1705" spans="1:1" x14ac:dyDescent="0.55000000000000004">
      <c r="A1705" t="str">
        <f t="shared" si="26"/>
        <v/>
      </c>
    </row>
    <row r="1706" spans="1:1" x14ac:dyDescent="0.55000000000000004">
      <c r="A1706" t="str">
        <f t="shared" si="26"/>
        <v/>
      </c>
    </row>
    <row r="1707" spans="1:1" x14ac:dyDescent="0.55000000000000004">
      <c r="A1707" t="str">
        <f t="shared" si="26"/>
        <v/>
      </c>
    </row>
    <row r="1708" spans="1:1" x14ac:dyDescent="0.55000000000000004">
      <c r="A1708" t="str">
        <f t="shared" si="26"/>
        <v/>
      </c>
    </row>
    <row r="1709" spans="1:1" x14ac:dyDescent="0.55000000000000004">
      <c r="A1709" t="str">
        <f t="shared" si="26"/>
        <v/>
      </c>
    </row>
    <row r="1710" spans="1:1" x14ac:dyDescent="0.55000000000000004">
      <c r="A1710" t="str">
        <f t="shared" si="26"/>
        <v/>
      </c>
    </row>
    <row r="1711" spans="1:1" x14ac:dyDescent="0.55000000000000004">
      <c r="A1711" t="str">
        <f t="shared" si="26"/>
        <v/>
      </c>
    </row>
    <row r="1712" spans="1:1" x14ac:dyDescent="0.55000000000000004">
      <c r="A1712" t="str">
        <f t="shared" si="26"/>
        <v/>
      </c>
    </row>
    <row r="1713" spans="1:1" x14ac:dyDescent="0.55000000000000004">
      <c r="A1713" t="str">
        <f t="shared" si="26"/>
        <v/>
      </c>
    </row>
    <row r="1714" spans="1:1" x14ac:dyDescent="0.55000000000000004">
      <c r="A1714" t="str">
        <f t="shared" si="26"/>
        <v/>
      </c>
    </row>
    <row r="1715" spans="1:1" x14ac:dyDescent="0.55000000000000004">
      <c r="A1715" t="str">
        <f t="shared" si="26"/>
        <v/>
      </c>
    </row>
    <row r="1716" spans="1:1" x14ac:dyDescent="0.55000000000000004">
      <c r="A1716" t="str">
        <f t="shared" si="26"/>
        <v/>
      </c>
    </row>
    <row r="1717" spans="1:1" x14ac:dyDescent="0.55000000000000004">
      <c r="A1717" t="str">
        <f t="shared" si="26"/>
        <v/>
      </c>
    </row>
    <row r="1718" spans="1:1" x14ac:dyDescent="0.55000000000000004">
      <c r="A1718" t="str">
        <f t="shared" si="26"/>
        <v/>
      </c>
    </row>
    <row r="1719" spans="1:1" x14ac:dyDescent="0.55000000000000004">
      <c r="A1719" t="str">
        <f t="shared" si="26"/>
        <v/>
      </c>
    </row>
    <row r="1720" spans="1:1" x14ac:dyDescent="0.55000000000000004">
      <c r="A1720" t="str">
        <f t="shared" si="26"/>
        <v/>
      </c>
    </row>
    <row r="1721" spans="1:1" x14ac:dyDescent="0.55000000000000004">
      <c r="A1721" t="str">
        <f t="shared" si="26"/>
        <v/>
      </c>
    </row>
    <row r="1722" spans="1:1" x14ac:dyDescent="0.55000000000000004">
      <c r="A1722" t="str">
        <f t="shared" si="26"/>
        <v/>
      </c>
    </row>
    <row r="1723" spans="1:1" x14ac:dyDescent="0.55000000000000004">
      <c r="A1723" t="str">
        <f t="shared" si="26"/>
        <v/>
      </c>
    </row>
    <row r="1724" spans="1:1" x14ac:dyDescent="0.55000000000000004">
      <c r="A1724" t="str">
        <f t="shared" si="26"/>
        <v/>
      </c>
    </row>
    <row r="1725" spans="1:1" x14ac:dyDescent="0.55000000000000004">
      <c r="A1725" t="str">
        <f t="shared" si="26"/>
        <v/>
      </c>
    </row>
    <row r="1726" spans="1:1" x14ac:dyDescent="0.55000000000000004">
      <c r="A1726" t="str">
        <f t="shared" si="26"/>
        <v/>
      </c>
    </row>
    <row r="1727" spans="1:1" x14ac:dyDescent="0.55000000000000004">
      <c r="A1727" t="str">
        <f t="shared" si="26"/>
        <v/>
      </c>
    </row>
    <row r="1728" spans="1:1" x14ac:dyDescent="0.55000000000000004">
      <c r="A1728" t="str">
        <f t="shared" si="26"/>
        <v/>
      </c>
    </row>
    <row r="1729" spans="1:1" x14ac:dyDescent="0.55000000000000004">
      <c r="A1729" t="str">
        <f t="shared" si="26"/>
        <v/>
      </c>
    </row>
    <row r="1730" spans="1:1" x14ac:dyDescent="0.55000000000000004">
      <c r="A1730" t="str">
        <f t="shared" si="26"/>
        <v/>
      </c>
    </row>
    <row r="1731" spans="1:1" x14ac:dyDescent="0.55000000000000004">
      <c r="A1731" t="str">
        <f t="shared" ref="A1731:A1794" si="27">H1731&amp;I1731&amp;J1731</f>
        <v/>
      </c>
    </row>
    <row r="1732" spans="1:1" x14ac:dyDescent="0.55000000000000004">
      <c r="A1732" t="str">
        <f t="shared" si="27"/>
        <v/>
      </c>
    </row>
    <row r="1733" spans="1:1" x14ac:dyDescent="0.55000000000000004">
      <c r="A1733" t="str">
        <f t="shared" si="27"/>
        <v/>
      </c>
    </row>
    <row r="1734" spans="1:1" x14ac:dyDescent="0.55000000000000004">
      <c r="A1734" t="str">
        <f t="shared" si="27"/>
        <v/>
      </c>
    </row>
    <row r="1735" spans="1:1" x14ac:dyDescent="0.55000000000000004">
      <c r="A1735" t="str">
        <f t="shared" si="27"/>
        <v/>
      </c>
    </row>
    <row r="1736" spans="1:1" x14ac:dyDescent="0.55000000000000004">
      <c r="A1736" t="str">
        <f t="shared" si="27"/>
        <v/>
      </c>
    </row>
    <row r="1737" spans="1:1" x14ac:dyDescent="0.55000000000000004">
      <c r="A1737" t="str">
        <f t="shared" si="27"/>
        <v/>
      </c>
    </row>
    <row r="1738" spans="1:1" x14ac:dyDescent="0.55000000000000004">
      <c r="A1738" t="str">
        <f t="shared" si="27"/>
        <v/>
      </c>
    </row>
    <row r="1739" spans="1:1" x14ac:dyDescent="0.55000000000000004">
      <c r="A1739" t="str">
        <f t="shared" si="27"/>
        <v/>
      </c>
    </row>
    <row r="1740" spans="1:1" x14ac:dyDescent="0.55000000000000004">
      <c r="A1740" t="str">
        <f t="shared" si="27"/>
        <v/>
      </c>
    </row>
    <row r="1741" spans="1:1" x14ac:dyDescent="0.55000000000000004">
      <c r="A1741" t="str">
        <f t="shared" si="27"/>
        <v/>
      </c>
    </row>
    <row r="1742" spans="1:1" x14ac:dyDescent="0.55000000000000004">
      <c r="A1742" t="str">
        <f t="shared" si="27"/>
        <v/>
      </c>
    </row>
    <row r="1743" spans="1:1" x14ac:dyDescent="0.55000000000000004">
      <c r="A1743" t="str">
        <f t="shared" si="27"/>
        <v/>
      </c>
    </row>
    <row r="1744" spans="1:1" x14ac:dyDescent="0.55000000000000004">
      <c r="A1744" t="str">
        <f t="shared" si="27"/>
        <v/>
      </c>
    </row>
    <row r="1745" spans="1:1" x14ac:dyDescent="0.55000000000000004">
      <c r="A1745" t="str">
        <f t="shared" si="27"/>
        <v/>
      </c>
    </row>
    <row r="1746" spans="1:1" x14ac:dyDescent="0.55000000000000004">
      <c r="A1746" t="str">
        <f t="shared" si="27"/>
        <v/>
      </c>
    </row>
    <row r="1747" spans="1:1" x14ac:dyDescent="0.55000000000000004">
      <c r="A1747" t="str">
        <f t="shared" si="27"/>
        <v/>
      </c>
    </row>
    <row r="1748" spans="1:1" x14ac:dyDescent="0.55000000000000004">
      <c r="A1748" t="str">
        <f t="shared" si="27"/>
        <v/>
      </c>
    </row>
    <row r="1749" spans="1:1" x14ac:dyDescent="0.55000000000000004">
      <c r="A1749" t="str">
        <f t="shared" si="27"/>
        <v/>
      </c>
    </row>
    <row r="1750" spans="1:1" x14ac:dyDescent="0.55000000000000004">
      <c r="A1750" t="str">
        <f t="shared" si="27"/>
        <v/>
      </c>
    </row>
    <row r="1751" spans="1:1" x14ac:dyDescent="0.55000000000000004">
      <c r="A1751" t="str">
        <f t="shared" si="27"/>
        <v/>
      </c>
    </row>
    <row r="1752" spans="1:1" x14ac:dyDescent="0.55000000000000004">
      <c r="A1752" t="str">
        <f t="shared" si="27"/>
        <v/>
      </c>
    </row>
    <row r="1753" spans="1:1" x14ac:dyDescent="0.55000000000000004">
      <c r="A1753" t="str">
        <f t="shared" si="27"/>
        <v/>
      </c>
    </row>
    <row r="1754" spans="1:1" x14ac:dyDescent="0.55000000000000004">
      <c r="A1754" t="str">
        <f t="shared" si="27"/>
        <v/>
      </c>
    </row>
    <row r="1755" spans="1:1" x14ac:dyDescent="0.55000000000000004">
      <c r="A1755" t="str">
        <f t="shared" si="27"/>
        <v/>
      </c>
    </row>
    <row r="1756" spans="1:1" x14ac:dyDescent="0.55000000000000004">
      <c r="A1756" t="str">
        <f t="shared" si="27"/>
        <v/>
      </c>
    </row>
    <row r="1757" spans="1:1" x14ac:dyDescent="0.55000000000000004">
      <c r="A1757" t="str">
        <f t="shared" si="27"/>
        <v/>
      </c>
    </row>
    <row r="1758" spans="1:1" x14ac:dyDescent="0.55000000000000004">
      <c r="A1758" t="str">
        <f t="shared" si="27"/>
        <v/>
      </c>
    </row>
    <row r="1759" spans="1:1" x14ac:dyDescent="0.55000000000000004">
      <c r="A1759" t="str">
        <f t="shared" si="27"/>
        <v/>
      </c>
    </row>
    <row r="1760" spans="1:1" x14ac:dyDescent="0.55000000000000004">
      <c r="A1760" t="str">
        <f t="shared" si="27"/>
        <v/>
      </c>
    </row>
    <row r="1761" spans="1:1" x14ac:dyDescent="0.55000000000000004">
      <c r="A1761" t="str">
        <f t="shared" si="27"/>
        <v/>
      </c>
    </row>
    <row r="1762" spans="1:1" x14ac:dyDescent="0.55000000000000004">
      <c r="A1762" t="str">
        <f t="shared" si="27"/>
        <v/>
      </c>
    </row>
    <row r="1763" spans="1:1" x14ac:dyDescent="0.55000000000000004">
      <c r="A1763" t="str">
        <f t="shared" si="27"/>
        <v/>
      </c>
    </row>
    <row r="1764" spans="1:1" x14ac:dyDescent="0.55000000000000004">
      <c r="A1764" t="str">
        <f t="shared" si="27"/>
        <v/>
      </c>
    </row>
    <row r="1765" spans="1:1" x14ac:dyDescent="0.55000000000000004">
      <c r="A1765" t="str">
        <f t="shared" si="27"/>
        <v/>
      </c>
    </row>
    <row r="1766" spans="1:1" x14ac:dyDescent="0.55000000000000004">
      <c r="A1766" t="str">
        <f t="shared" si="27"/>
        <v/>
      </c>
    </row>
    <row r="1767" spans="1:1" x14ac:dyDescent="0.55000000000000004">
      <c r="A1767" t="str">
        <f t="shared" si="27"/>
        <v/>
      </c>
    </row>
    <row r="1768" spans="1:1" x14ac:dyDescent="0.55000000000000004">
      <c r="A1768" t="str">
        <f t="shared" si="27"/>
        <v/>
      </c>
    </row>
    <row r="1769" spans="1:1" x14ac:dyDescent="0.55000000000000004">
      <c r="A1769" t="str">
        <f t="shared" si="27"/>
        <v/>
      </c>
    </row>
    <row r="1770" spans="1:1" x14ac:dyDescent="0.55000000000000004">
      <c r="A1770" t="str">
        <f t="shared" si="27"/>
        <v/>
      </c>
    </row>
    <row r="1771" spans="1:1" x14ac:dyDescent="0.55000000000000004">
      <c r="A1771" t="str">
        <f t="shared" si="27"/>
        <v/>
      </c>
    </row>
    <row r="1772" spans="1:1" x14ac:dyDescent="0.55000000000000004">
      <c r="A1772" t="str">
        <f t="shared" si="27"/>
        <v/>
      </c>
    </row>
    <row r="1773" spans="1:1" x14ac:dyDescent="0.55000000000000004">
      <c r="A1773" t="str">
        <f t="shared" si="27"/>
        <v/>
      </c>
    </row>
    <row r="1774" spans="1:1" x14ac:dyDescent="0.55000000000000004">
      <c r="A1774" t="str">
        <f t="shared" si="27"/>
        <v/>
      </c>
    </row>
    <row r="1775" spans="1:1" x14ac:dyDescent="0.55000000000000004">
      <c r="A1775" t="str">
        <f t="shared" si="27"/>
        <v/>
      </c>
    </row>
    <row r="1776" spans="1:1" x14ac:dyDescent="0.55000000000000004">
      <c r="A1776" t="str">
        <f t="shared" si="27"/>
        <v/>
      </c>
    </row>
    <row r="1777" spans="1:1" x14ac:dyDescent="0.55000000000000004">
      <c r="A1777" t="str">
        <f t="shared" si="27"/>
        <v/>
      </c>
    </row>
    <row r="1778" spans="1:1" x14ac:dyDescent="0.55000000000000004">
      <c r="A1778" t="str">
        <f t="shared" si="27"/>
        <v/>
      </c>
    </row>
    <row r="1779" spans="1:1" x14ac:dyDescent="0.55000000000000004">
      <c r="A1779" t="str">
        <f t="shared" si="27"/>
        <v/>
      </c>
    </row>
    <row r="1780" spans="1:1" x14ac:dyDescent="0.55000000000000004">
      <c r="A1780" t="str">
        <f t="shared" si="27"/>
        <v/>
      </c>
    </row>
    <row r="1781" spans="1:1" x14ac:dyDescent="0.55000000000000004">
      <c r="A1781" t="str">
        <f t="shared" si="27"/>
        <v/>
      </c>
    </row>
    <row r="1782" spans="1:1" x14ac:dyDescent="0.55000000000000004">
      <c r="A1782" t="str">
        <f t="shared" si="27"/>
        <v/>
      </c>
    </row>
    <row r="1783" spans="1:1" x14ac:dyDescent="0.55000000000000004">
      <c r="A1783" t="str">
        <f t="shared" si="27"/>
        <v/>
      </c>
    </row>
    <row r="1784" spans="1:1" x14ac:dyDescent="0.55000000000000004">
      <c r="A1784" t="str">
        <f t="shared" si="27"/>
        <v/>
      </c>
    </row>
    <row r="1785" spans="1:1" x14ac:dyDescent="0.55000000000000004">
      <c r="A1785" t="str">
        <f t="shared" si="27"/>
        <v/>
      </c>
    </row>
    <row r="1786" spans="1:1" x14ac:dyDescent="0.55000000000000004">
      <c r="A1786" t="str">
        <f t="shared" si="27"/>
        <v/>
      </c>
    </row>
    <row r="1787" spans="1:1" x14ac:dyDescent="0.55000000000000004">
      <c r="A1787" t="str">
        <f t="shared" si="27"/>
        <v/>
      </c>
    </row>
    <row r="1788" spans="1:1" x14ac:dyDescent="0.55000000000000004">
      <c r="A1788" t="str">
        <f t="shared" si="27"/>
        <v/>
      </c>
    </row>
    <row r="1789" spans="1:1" x14ac:dyDescent="0.55000000000000004">
      <c r="A1789" t="str">
        <f t="shared" si="27"/>
        <v/>
      </c>
    </row>
    <row r="1790" spans="1:1" x14ac:dyDescent="0.55000000000000004">
      <c r="A1790" t="str">
        <f t="shared" si="27"/>
        <v/>
      </c>
    </row>
    <row r="1791" spans="1:1" x14ac:dyDescent="0.55000000000000004">
      <c r="A1791" t="str">
        <f t="shared" si="27"/>
        <v/>
      </c>
    </row>
    <row r="1792" spans="1:1" x14ac:dyDescent="0.55000000000000004">
      <c r="A1792" t="str">
        <f t="shared" si="27"/>
        <v/>
      </c>
    </row>
    <row r="1793" spans="1:1" x14ac:dyDescent="0.55000000000000004">
      <c r="A1793" t="str">
        <f t="shared" si="27"/>
        <v/>
      </c>
    </row>
    <row r="1794" spans="1:1" x14ac:dyDescent="0.55000000000000004">
      <c r="A1794" t="str">
        <f t="shared" si="27"/>
        <v/>
      </c>
    </row>
    <row r="1795" spans="1:1" x14ac:dyDescent="0.55000000000000004">
      <c r="A1795" t="str">
        <f t="shared" ref="A1795:A1858" si="28">H1795&amp;I1795&amp;J1795</f>
        <v/>
      </c>
    </row>
    <row r="1796" spans="1:1" x14ac:dyDescent="0.55000000000000004">
      <c r="A1796" t="str">
        <f t="shared" si="28"/>
        <v/>
      </c>
    </row>
    <row r="1797" spans="1:1" x14ac:dyDescent="0.55000000000000004">
      <c r="A1797" t="str">
        <f t="shared" si="28"/>
        <v/>
      </c>
    </row>
    <row r="1798" spans="1:1" x14ac:dyDescent="0.55000000000000004">
      <c r="A1798" t="str">
        <f t="shared" si="28"/>
        <v/>
      </c>
    </row>
    <row r="1799" spans="1:1" x14ac:dyDescent="0.55000000000000004">
      <c r="A1799" t="str">
        <f t="shared" si="28"/>
        <v/>
      </c>
    </row>
    <row r="1800" spans="1:1" x14ac:dyDescent="0.55000000000000004">
      <c r="A1800" t="str">
        <f t="shared" si="28"/>
        <v/>
      </c>
    </row>
    <row r="1801" spans="1:1" x14ac:dyDescent="0.55000000000000004">
      <c r="A1801" t="str">
        <f t="shared" si="28"/>
        <v/>
      </c>
    </row>
    <row r="1802" spans="1:1" x14ac:dyDescent="0.55000000000000004">
      <c r="A1802" t="str">
        <f t="shared" si="28"/>
        <v/>
      </c>
    </row>
    <row r="1803" spans="1:1" x14ac:dyDescent="0.55000000000000004">
      <c r="A1803" t="str">
        <f t="shared" si="28"/>
        <v/>
      </c>
    </row>
    <row r="1804" spans="1:1" x14ac:dyDescent="0.55000000000000004">
      <c r="A1804" t="str">
        <f t="shared" si="28"/>
        <v/>
      </c>
    </row>
    <row r="1805" spans="1:1" x14ac:dyDescent="0.55000000000000004">
      <c r="A1805" t="str">
        <f t="shared" si="28"/>
        <v/>
      </c>
    </row>
    <row r="1806" spans="1:1" x14ac:dyDescent="0.55000000000000004">
      <c r="A1806" t="str">
        <f t="shared" si="28"/>
        <v/>
      </c>
    </row>
    <row r="1807" spans="1:1" x14ac:dyDescent="0.55000000000000004">
      <c r="A1807" t="str">
        <f t="shared" si="28"/>
        <v/>
      </c>
    </row>
    <row r="1808" spans="1:1" x14ac:dyDescent="0.55000000000000004">
      <c r="A1808" t="str">
        <f t="shared" si="28"/>
        <v/>
      </c>
    </row>
    <row r="1809" spans="1:1" x14ac:dyDescent="0.55000000000000004">
      <c r="A1809" t="str">
        <f t="shared" si="28"/>
        <v/>
      </c>
    </row>
    <row r="1810" spans="1:1" x14ac:dyDescent="0.55000000000000004">
      <c r="A1810" t="str">
        <f t="shared" si="28"/>
        <v/>
      </c>
    </row>
    <row r="1811" spans="1:1" x14ac:dyDescent="0.55000000000000004">
      <c r="A1811" t="str">
        <f t="shared" si="28"/>
        <v/>
      </c>
    </row>
    <row r="1812" spans="1:1" x14ac:dyDescent="0.55000000000000004">
      <c r="A1812" t="str">
        <f t="shared" si="28"/>
        <v/>
      </c>
    </row>
    <row r="1813" spans="1:1" x14ac:dyDescent="0.55000000000000004">
      <c r="A1813" t="str">
        <f t="shared" si="28"/>
        <v/>
      </c>
    </row>
    <row r="1814" spans="1:1" x14ac:dyDescent="0.55000000000000004">
      <c r="A1814" t="str">
        <f t="shared" si="28"/>
        <v/>
      </c>
    </row>
    <row r="1815" spans="1:1" x14ac:dyDescent="0.55000000000000004">
      <c r="A1815" t="str">
        <f t="shared" si="28"/>
        <v/>
      </c>
    </row>
    <row r="1816" spans="1:1" x14ac:dyDescent="0.55000000000000004">
      <c r="A1816" t="str">
        <f t="shared" si="28"/>
        <v/>
      </c>
    </row>
    <row r="1817" spans="1:1" x14ac:dyDescent="0.55000000000000004">
      <c r="A1817" t="str">
        <f t="shared" si="28"/>
        <v/>
      </c>
    </row>
    <row r="1818" spans="1:1" x14ac:dyDescent="0.55000000000000004">
      <c r="A1818" t="str">
        <f t="shared" si="28"/>
        <v/>
      </c>
    </row>
    <row r="1819" spans="1:1" x14ac:dyDescent="0.55000000000000004">
      <c r="A1819" t="str">
        <f t="shared" si="28"/>
        <v/>
      </c>
    </row>
    <row r="1820" spans="1:1" x14ac:dyDescent="0.55000000000000004">
      <c r="A1820" t="str">
        <f t="shared" si="28"/>
        <v/>
      </c>
    </row>
    <row r="1821" spans="1:1" x14ac:dyDescent="0.55000000000000004">
      <c r="A1821" t="str">
        <f t="shared" si="28"/>
        <v/>
      </c>
    </row>
    <row r="1822" spans="1:1" x14ac:dyDescent="0.55000000000000004">
      <c r="A1822" t="str">
        <f t="shared" si="28"/>
        <v/>
      </c>
    </row>
    <row r="1823" spans="1:1" x14ac:dyDescent="0.55000000000000004">
      <c r="A1823" t="str">
        <f t="shared" si="28"/>
        <v/>
      </c>
    </row>
    <row r="1824" spans="1:1" x14ac:dyDescent="0.55000000000000004">
      <c r="A1824" t="str">
        <f t="shared" si="28"/>
        <v/>
      </c>
    </row>
    <row r="1825" spans="1:1" x14ac:dyDescent="0.55000000000000004">
      <c r="A1825" t="str">
        <f t="shared" si="28"/>
        <v/>
      </c>
    </row>
    <row r="1826" spans="1:1" x14ac:dyDescent="0.55000000000000004">
      <c r="A1826" t="str">
        <f t="shared" si="28"/>
        <v/>
      </c>
    </row>
    <row r="1827" spans="1:1" x14ac:dyDescent="0.55000000000000004">
      <c r="A1827" t="str">
        <f t="shared" si="28"/>
        <v/>
      </c>
    </row>
    <row r="1828" spans="1:1" x14ac:dyDescent="0.55000000000000004">
      <c r="A1828" t="str">
        <f t="shared" si="28"/>
        <v/>
      </c>
    </row>
    <row r="1829" spans="1:1" x14ac:dyDescent="0.55000000000000004">
      <c r="A1829" t="str">
        <f t="shared" si="28"/>
        <v/>
      </c>
    </row>
    <row r="1830" spans="1:1" x14ac:dyDescent="0.55000000000000004">
      <c r="A1830" t="str">
        <f t="shared" si="28"/>
        <v/>
      </c>
    </row>
    <row r="1831" spans="1:1" x14ac:dyDescent="0.55000000000000004">
      <c r="A1831" t="str">
        <f t="shared" si="28"/>
        <v/>
      </c>
    </row>
    <row r="1832" spans="1:1" x14ac:dyDescent="0.55000000000000004">
      <c r="A1832" t="str">
        <f t="shared" si="28"/>
        <v/>
      </c>
    </row>
    <row r="1833" spans="1:1" x14ac:dyDescent="0.55000000000000004">
      <c r="A1833" t="str">
        <f t="shared" si="28"/>
        <v/>
      </c>
    </row>
    <row r="1834" spans="1:1" x14ac:dyDescent="0.55000000000000004">
      <c r="A1834" t="str">
        <f t="shared" si="28"/>
        <v/>
      </c>
    </row>
    <row r="1835" spans="1:1" x14ac:dyDescent="0.55000000000000004">
      <c r="A1835" t="str">
        <f t="shared" si="28"/>
        <v/>
      </c>
    </row>
    <row r="1836" spans="1:1" x14ac:dyDescent="0.55000000000000004">
      <c r="A1836" t="str">
        <f t="shared" si="28"/>
        <v/>
      </c>
    </row>
    <row r="1837" spans="1:1" x14ac:dyDescent="0.55000000000000004">
      <c r="A1837" t="str">
        <f t="shared" si="28"/>
        <v/>
      </c>
    </row>
    <row r="1838" spans="1:1" x14ac:dyDescent="0.55000000000000004">
      <c r="A1838" t="str">
        <f t="shared" si="28"/>
        <v/>
      </c>
    </row>
    <row r="1839" spans="1:1" x14ac:dyDescent="0.55000000000000004">
      <c r="A1839" t="str">
        <f t="shared" si="28"/>
        <v/>
      </c>
    </row>
    <row r="1840" spans="1:1" x14ac:dyDescent="0.55000000000000004">
      <c r="A1840" t="str">
        <f t="shared" si="28"/>
        <v/>
      </c>
    </row>
    <row r="1841" spans="1:1" x14ac:dyDescent="0.55000000000000004">
      <c r="A1841" t="str">
        <f t="shared" si="28"/>
        <v/>
      </c>
    </row>
    <row r="1842" spans="1:1" x14ac:dyDescent="0.55000000000000004">
      <c r="A1842" t="str">
        <f t="shared" si="28"/>
        <v/>
      </c>
    </row>
    <row r="1843" spans="1:1" x14ac:dyDescent="0.55000000000000004">
      <c r="A1843" t="str">
        <f t="shared" si="28"/>
        <v/>
      </c>
    </row>
    <row r="1844" spans="1:1" x14ac:dyDescent="0.55000000000000004">
      <c r="A1844" t="str">
        <f t="shared" si="28"/>
        <v/>
      </c>
    </row>
    <row r="1845" spans="1:1" x14ac:dyDescent="0.55000000000000004">
      <c r="A1845" t="str">
        <f t="shared" si="28"/>
        <v/>
      </c>
    </row>
    <row r="1846" spans="1:1" x14ac:dyDescent="0.55000000000000004">
      <c r="A1846" t="str">
        <f t="shared" si="28"/>
        <v/>
      </c>
    </row>
    <row r="1847" spans="1:1" x14ac:dyDescent="0.55000000000000004">
      <c r="A1847" t="str">
        <f t="shared" si="28"/>
        <v/>
      </c>
    </row>
    <row r="1848" spans="1:1" x14ac:dyDescent="0.55000000000000004">
      <c r="A1848" t="str">
        <f t="shared" si="28"/>
        <v/>
      </c>
    </row>
    <row r="1849" spans="1:1" x14ac:dyDescent="0.55000000000000004">
      <c r="A1849" t="str">
        <f t="shared" si="28"/>
        <v/>
      </c>
    </row>
    <row r="1850" spans="1:1" x14ac:dyDescent="0.55000000000000004">
      <c r="A1850" t="str">
        <f t="shared" si="28"/>
        <v/>
      </c>
    </row>
    <row r="1851" spans="1:1" x14ac:dyDescent="0.55000000000000004">
      <c r="A1851" t="str">
        <f t="shared" si="28"/>
        <v/>
      </c>
    </row>
    <row r="1852" spans="1:1" x14ac:dyDescent="0.55000000000000004">
      <c r="A1852" t="str">
        <f t="shared" si="28"/>
        <v/>
      </c>
    </row>
    <row r="1853" spans="1:1" x14ac:dyDescent="0.55000000000000004">
      <c r="A1853" t="str">
        <f t="shared" si="28"/>
        <v/>
      </c>
    </row>
    <row r="1854" spans="1:1" x14ac:dyDescent="0.55000000000000004">
      <c r="A1854" t="str">
        <f t="shared" si="28"/>
        <v/>
      </c>
    </row>
    <row r="1855" spans="1:1" x14ac:dyDescent="0.55000000000000004">
      <c r="A1855" t="str">
        <f t="shared" si="28"/>
        <v/>
      </c>
    </row>
    <row r="1856" spans="1:1" x14ac:dyDescent="0.55000000000000004">
      <c r="A1856" t="str">
        <f t="shared" si="28"/>
        <v/>
      </c>
    </row>
    <row r="1857" spans="1:1" x14ac:dyDescent="0.55000000000000004">
      <c r="A1857" t="str">
        <f t="shared" si="28"/>
        <v/>
      </c>
    </row>
    <row r="1858" spans="1:1" x14ac:dyDescent="0.55000000000000004">
      <c r="A1858" t="str">
        <f t="shared" si="28"/>
        <v/>
      </c>
    </row>
    <row r="1859" spans="1:1" x14ac:dyDescent="0.55000000000000004">
      <c r="A1859" t="str">
        <f t="shared" ref="A1859:A1922" si="29">H1859&amp;I1859&amp;J1859</f>
        <v/>
      </c>
    </row>
    <row r="1860" spans="1:1" x14ac:dyDescent="0.55000000000000004">
      <c r="A1860" t="str">
        <f t="shared" si="29"/>
        <v/>
      </c>
    </row>
    <row r="1861" spans="1:1" x14ac:dyDescent="0.55000000000000004">
      <c r="A1861" t="str">
        <f t="shared" si="29"/>
        <v/>
      </c>
    </row>
    <row r="1862" spans="1:1" x14ac:dyDescent="0.55000000000000004">
      <c r="A1862" t="str">
        <f t="shared" si="29"/>
        <v/>
      </c>
    </row>
    <row r="1863" spans="1:1" x14ac:dyDescent="0.55000000000000004">
      <c r="A1863" t="str">
        <f t="shared" si="29"/>
        <v/>
      </c>
    </row>
    <row r="1864" spans="1:1" x14ac:dyDescent="0.55000000000000004">
      <c r="A1864" t="str">
        <f t="shared" si="29"/>
        <v/>
      </c>
    </row>
    <row r="1865" spans="1:1" x14ac:dyDescent="0.55000000000000004">
      <c r="A1865" t="str">
        <f t="shared" si="29"/>
        <v/>
      </c>
    </row>
    <row r="1866" spans="1:1" x14ac:dyDescent="0.55000000000000004">
      <c r="A1866" t="str">
        <f t="shared" si="29"/>
        <v/>
      </c>
    </row>
    <row r="1867" spans="1:1" x14ac:dyDescent="0.55000000000000004">
      <c r="A1867" t="str">
        <f t="shared" si="29"/>
        <v/>
      </c>
    </row>
    <row r="1868" spans="1:1" x14ac:dyDescent="0.55000000000000004">
      <c r="A1868" t="str">
        <f t="shared" si="29"/>
        <v/>
      </c>
    </row>
    <row r="1869" spans="1:1" x14ac:dyDescent="0.55000000000000004">
      <c r="A1869" t="str">
        <f t="shared" si="29"/>
        <v/>
      </c>
    </row>
    <row r="1870" spans="1:1" x14ac:dyDescent="0.55000000000000004">
      <c r="A1870" t="str">
        <f t="shared" si="29"/>
        <v/>
      </c>
    </row>
    <row r="1871" spans="1:1" x14ac:dyDescent="0.55000000000000004">
      <c r="A1871" t="str">
        <f t="shared" si="29"/>
        <v/>
      </c>
    </row>
    <row r="1872" spans="1:1" x14ac:dyDescent="0.55000000000000004">
      <c r="A1872" t="str">
        <f t="shared" si="29"/>
        <v/>
      </c>
    </row>
    <row r="1873" spans="1:1" x14ac:dyDescent="0.55000000000000004">
      <c r="A1873" t="str">
        <f t="shared" si="29"/>
        <v/>
      </c>
    </row>
    <row r="1874" spans="1:1" x14ac:dyDescent="0.55000000000000004">
      <c r="A1874" t="str">
        <f t="shared" si="29"/>
        <v/>
      </c>
    </row>
    <row r="1875" spans="1:1" x14ac:dyDescent="0.55000000000000004">
      <c r="A1875" t="str">
        <f t="shared" si="29"/>
        <v/>
      </c>
    </row>
    <row r="1876" spans="1:1" x14ac:dyDescent="0.55000000000000004">
      <c r="A1876" t="str">
        <f t="shared" si="29"/>
        <v/>
      </c>
    </row>
    <row r="1877" spans="1:1" x14ac:dyDescent="0.55000000000000004">
      <c r="A1877" t="str">
        <f t="shared" si="29"/>
        <v/>
      </c>
    </row>
    <row r="1878" spans="1:1" x14ac:dyDescent="0.55000000000000004">
      <c r="A1878" t="str">
        <f t="shared" si="29"/>
        <v/>
      </c>
    </row>
    <row r="1879" spans="1:1" x14ac:dyDescent="0.55000000000000004">
      <c r="A1879" t="str">
        <f t="shared" si="29"/>
        <v/>
      </c>
    </row>
    <row r="1880" spans="1:1" x14ac:dyDescent="0.55000000000000004">
      <c r="A1880" t="str">
        <f t="shared" si="29"/>
        <v/>
      </c>
    </row>
    <row r="1881" spans="1:1" x14ac:dyDescent="0.55000000000000004">
      <c r="A1881" t="str">
        <f t="shared" si="29"/>
        <v/>
      </c>
    </row>
    <row r="1882" spans="1:1" x14ac:dyDescent="0.55000000000000004">
      <c r="A1882" t="str">
        <f t="shared" si="29"/>
        <v/>
      </c>
    </row>
    <row r="1883" spans="1:1" x14ac:dyDescent="0.55000000000000004">
      <c r="A1883" t="str">
        <f t="shared" si="29"/>
        <v/>
      </c>
    </row>
    <row r="1884" spans="1:1" x14ac:dyDescent="0.55000000000000004">
      <c r="A1884" t="str">
        <f t="shared" si="29"/>
        <v/>
      </c>
    </row>
    <row r="1885" spans="1:1" x14ac:dyDescent="0.55000000000000004">
      <c r="A1885" t="str">
        <f t="shared" si="29"/>
        <v/>
      </c>
    </row>
    <row r="1886" spans="1:1" x14ac:dyDescent="0.55000000000000004">
      <c r="A1886" t="str">
        <f t="shared" si="29"/>
        <v/>
      </c>
    </row>
    <row r="1887" spans="1:1" x14ac:dyDescent="0.55000000000000004">
      <c r="A1887" t="str">
        <f t="shared" si="29"/>
        <v/>
      </c>
    </row>
    <row r="1888" spans="1:1" x14ac:dyDescent="0.55000000000000004">
      <c r="A1888" t="str">
        <f t="shared" si="29"/>
        <v/>
      </c>
    </row>
    <row r="1889" spans="1:1" x14ac:dyDescent="0.55000000000000004">
      <c r="A1889" t="str">
        <f t="shared" si="29"/>
        <v/>
      </c>
    </row>
    <row r="1890" spans="1:1" x14ac:dyDescent="0.55000000000000004">
      <c r="A1890" t="str">
        <f t="shared" si="29"/>
        <v/>
      </c>
    </row>
    <row r="1891" spans="1:1" x14ac:dyDescent="0.55000000000000004">
      <c r="A1891" t="str">
        <f t="shared" si="29"/>
        <v/>
      </c>
    </row>
    <row r="1892" spans="1:1" x14ac:dyDescent="0.55000000000000004">
      <c r="A1892" t="str">
        <f t="shared" si="29"/>
        <v/>
      </c>
    </row>
    <row r="1893" spans="1:1" x14ac:dyDescent="0.55000000000000004">
      <c r="A1893" t="str">
        <f t="shared" si="29"/>
        <v/>
      </c>
    </row>
    <row r="1894" spans="1:1" x14ac:dyDescent="0.55000000000000004">
      <c r="A1894" t="str">
        <f t="shared" si="29"/>
        <v/>
      </c>
    </row>
    <row r="1895" spans="1:1" x14ac:dyDescent="0.55000000000000004">
      <c r="A1895" t="str">
        <f t="shared" si="29"/>
        <v/>
      </c>
    </row>
    <row r="1896" spans="1:1" x14ac:dyDescent="0.55000000000000004">
      <c r="A1896" t="str">
        <f t="shared" si="29"/>
        <v/>
      </c>
    </row>
    <row r="1897" spans="1:1" x14ac:dyDescent="0.55000000000000004">
      <c r="A1897" t="str">
        <f t="shared" si="29"/>
        <v/>
      </c>
    </row>
    <row r="1898" spans="1:1" x14ac:dyDescent="0.55000000000000004">
      <c r="A1898" t="str">
        <f t="shared" si="29"/>
        <v/>
      </c>
    </row>
    <row r="1899" spans="1:1" x14ac:dyDescent="0.55000000000000004">
      <c r="A1899" t="str">
        <f t="shared" si="29"/>
        <v/>
      </c>
    </row>
    <row r="1900" spans="1:1" x14ac:dyDescent="0.55000000000000004">
      <c r="A1900" t="str">
        <f t="shared" si="29"/>
        <v/>
      </c>
    </row>
    <row r="1901" spans="1:1" x14ac:dyDescent="0.55000000000000004">
      <c r="A1901" t="str">
        <f t="shared" si="29"/>
        <v/>
      </c>
    </row>
    <row r="1902" spans="1:1" x14ac:dyDescent="0.55000000000000004">
      <c r="A1902" t="str">
        <f t="shared" si="29"/>
        <v/>
      </c>
    </row>
    <row r="1903" spans="1:1" x14ac:dyDescent="0.55000000000000004">
      <c r="A1903" t="str">
        <f t="shared" si="29"/>
        <v/>
      </c>
    </row>
    <row r="1904" spans="1:1" x14ac:dyDescent="0.55000000000000004">
      <c r="A1904" t="str">
        <f t="shared" si="29"/>
        <v/>
      </c>
    </row>
    <row r="1905" spans="1:1" x14ac:dyDescent="0.55000000000000004">
      <c r="A1905" t="str">
        <f t="shared" si="29"/>
        <v/>
      </c>
    </row>
    <row r="1906" spans="1:1" x14ac:dyDescent="0.55000000000000004">
      <c r="A1906" t="str">
        <f t="shared" si="29"/>
        <v/>
      </c>
    </row>
    <row r="1907" spans="1:1" x14ac:dyDescent="0.55000000000000004">
      <c r="A1907" t="str">
        <f t="shared" si="29"/>
        <v/>
      </c>
    </row>
    <row r="1908" spans="1:1" x14ac:dyDescent="0.55000000000000004">
      <c r="A1908" t="str">
        <f t="shared" si="29"/>
        <v/>
      </c>
    </row>
    <row r="1909" spans="1:1" x14ac:dyDescent="0.55000000000000004">
      <c r="A1909" t="str">
        <f t="shared" si="29"/>
        <v/>
      </c>
    </row>
    <row r="1910" spans="1:1" x14ac:dyDescent="0.55000000000000004">
      <c r="A1910" t="str">
        <f t="shared" si="29"/>
        <v/>
      </c>
    </row>
    <row r="1911" spans="1:1" x14ac:dyDescent="0.55000000000000004">
      <c r="A1911" t="str">
        <f t="shared" si="29"/>
        <v/>
      </c>
    </row>
    <row r="1912" spans="1:1" x14ac:dyDescent="0.55000000000000004">
      <c r="A1912" t="str">
        <f t="shared" si="29"/>
        <v/>
      </c>
    </row>
    <row r="1913" spans="1:1" x14ac:dyDescent="0.55000000000000004">
      <c r="A1913" t="str">
        <f t="shared" si="29"/>
        <v/>
      </c>
    </row>
    <row r="1914" spans="1:1" x14ac:dyDescent="0.55000000000000004">
      <c r="A1914" t="str">
        <f t="shared" si="29"/>
        <v/>
      </c>
    </row>
    <row r="1915" spans="1:1" x14ac:dyDescent="0.55000000000000004">
      <c r="A1915" t="str">
        <f t="shared" si="29"/>
        <v/>
      </c>
    </row>
    <row r="1916" spans="1:1" x14ac:dyDescent="0.55000000000000004">
      <c r="A1916" t="str">
        <f t="shared" si="29"/>
        <v/>
      </c>
    </row>
    <row r="1917" spans="1:1" x14ac:dyDescent="0.55000000000000004">
      <c r="A1917" t="str">
        <f t="shared" si="29"/>
        <v/>
      </c>
    </row>
    <row r="1918" spans="1:1" x14ac:dyDescent="0.55000000000000004">
      <c r="A1918" t="str">
        <f t="shared" si="29"/>
        <v/>
      </c>
    </row>
    <row r="1919" spans="1:1" x14ac:dyDescent="0.55000000000000004">
      <c r="A1919" t="str">
        <f t="shared" si="29"/>
        <v/>
      </c>
    </row>
    <row r="1920" spans="1:1" x14ac:dyDescent="0.55000000000000004">
      <c r="A1920" t="str">
        <f t="shared" si="29"/>
        <v/>
      </c>
    </row>
    <row r="1921" spans="1:1" x14ac:dyDescent="0.55000000000000004">
      <c r="A1921" t="str">
        <f t="shared" si="29"/>
        <v/>
      </c>
    </row>
    <row r="1922" spans="1:1" x14ac:dyDescent="0.55000000000000004">
      <c r="A1922" t="str">
        <f t="shared" si="29"/>
        <v/>
      </c>
    </row>
    <row r="1923" spans="1:1" x14ac:dyDescent="0.55000000000000004">
      <c r="A1923" t="str">
        <f t="shared" ref="A1923:A1986" si="30">H1923&amp;I1923&amp;J1923</f>
        <v/>
      </c>
    </row>
    <row r="1924" spans="1:1" x14ac:dyDescent="0.55000000000000004">
      <c r="A1924" t="str">
        <f t="shared" si="30"/>
        <v/>
      </c>
    </row>
    <row r="1925" spans="1:1" x14ac:dyDescent="0.55000000000000004">
      <c r="A1925" t="str">
        <f t="shared" si="30"/>
        <v/>
      </c>
    </row>
    <row r="1926" spans="1:1" x14ac:dyDescent="0.55000000000000004">
      <c r="A1926" t="str">
        <f t="shared" si="30"/>
        <v/>
      </c>
    </row>
    <row r="1927" spans="1:1" x14ac:dyDescent="0.55000000000000004">
      <c r="A1927" t="str">
        <f t="shared" si="30"/>
        <v/>
      </c>
    </row>
    <row r="1928" spans="1:1" x14ac:dyDescent="0.55000000000000004">
      <c r="A1928" t="str">
        <f t="shared" si="30"/>
        <v/>
      </c>
    </row>
    <row r="1929" spans="1:1" x14ac:dyDescent="0.55000000000000004">
      <c r="A1929" t="str">
        <f t="shared" si="30"/>
        <v/>
      </c>
    </row>
    <row r="1930" spans="1:1" x14ac:dyDescent="0.55000000000000004">
      <c r="A1930" t="str">
        <f t="shared" si="30"/>
        <v/>
      </c>
    </row>
    <row r="1931" spans="1:1" x14ac:dyDescent="0.55000000000000004">
      <c r="A1931" t="str">
        <f t="shared" si="30"/>
        <v/>
      </c>
    </row>
    <row r="1932" spans="1:1" x14ac:dyDescent="0.55000000000000004">
      <c r="A1932" t="str">
        <f t="shared" si="30"/>
        <v/>
      </c>
    </row>
    <row r="1933" spans="1:1" x14ac:dyDescent="0.55000000000000004">
      <c r="A1933" t="str">
        <f t="shared" si="30"/>
        <v/>
      </c>
    </row>
    <row r="1934" spans="1:1" x14ac:dyDescent="0.55000000000000004">
      <c r="A1934" t="str">
        <f t="shared" si="30"/>
        <v/>
      </c>
    </row>
    <row r="1935" spans="1:1" x14ac:dyDescent="0.55000000000000004">
      <c r="A1935" t="str">
        <f t="shared" si="30"/>
        <v/>
      </c>
    </row>
    <row r="1936" spans="1:1" x14ac:dyDescent="0.55000000000000004">
      <c r="A1936" t="str">
        <f t="shared" si="30"/>
        <v/>
      </c>
    </row>
    <row r="1937" spans="1:1" x14ac:dyDescent="0.55000000000000004">
      <c r="A1937" t="str">
        <f t="shared" si="30"/>
        <v/>
      </c>
    </row>
    <row r="1938" spans="1:1" x14ac:dyDescent="0.55000000000000004">
      <c r="A1938" t="str">
        <f t="shared" si="30"/>
        <v/>
      </c>
    </row>
    <row r="1939" spans="1:1" x14ac:dyDescent="0.55000000000000004">
      <c r="A1939" t="str">
        <f t="shared" si="30"/>
        <v/>
      </c>
    </row>
    <row r="1940" spans="1:1" x14ac:dyDescent="0.55000000000000004">
      <c r="A1940" t="str">
        <f t="shared" si="30"/>
        <v/>
      </c>
    </row>
    <row r="1941" spans="1:1" x14ac:dyDescent="0.55000000000000004">
      <c r="A1941" t="str">
        <f t="shared" si="30"/>
        <v/>
      </c>
    </row>
    <row r="1942" spans="1:1" x14ac:dyDescent="0.55000000000000004">
      <c r="A1942" t="str">
        <f t="shared" si="30"/>
        <v/>
      </c>
    </row>
    <row r="1943" spans="1:1" x14ac:dyDescent="0.55000000000000004">
      <c r="A1943" t="str">
        <f t="shared" si="30"/>
        <v/>
      </c>
    </row>
    <row r="1944" spans="1:1" x14ac:dyDescent="0.55000000000000004">
      <c r="A1944" t="str">
        <f t="shared" si="30"/>
        <v/>
      </c>
    </row>
    <row r="1945" spans="1:1" x14ac:dyDescent="0.55000000000000004">
      <c r="A1945" t="str">
        <f t="shared" si="30"/>
        <v/>
      </c>
    </row>
    <row r="1946" spans="1:1" x14ac:dyDescent="0.55000000000000004">
      <c r="A1946" t="str">
        <f t="shared" si="30"/>
        <v/>
      </c>
    </row>
    <row r="1947" spans="1:1" x14ac:dyDescent="0.55000000000000004">
      <c r="A1947" t="str">
        <f t="shared" si="30"/>
        <v/>
      </c>
    </row>
    <row r="1948" spans="1:1" x14ac:dyDescent="0.55000000000000004">
      <c r="A1948" t="str">
        <f t="shared" si="30"/>
        <v/>
      </c>
    </row>
    <row r="1949" spans="1:1" x14ac:dyDescent="0.55000000000000004">
      <c r="A1949" t="str">
        <f t="shared" si="30"/>
        <v/>
      </c>
    </row>
    <row r="1950" spans="1:1" x14ac:dyDescent="0.55000000000000004">
      <c r="A1950" t="str">
        <f t="shared" si="30"/>
        <v/>
      </c>
    </row>
    <row r="1951" spans="1:1" x14ac:dyDescent="0.55000000000000004">
      <c r="A1951" t="str">
        <f t="shared" si="30"/>
        <v/>
      </c>
    </row>
    <row r="1952" spans="1:1" x14ac:dyDescent="0.55000000000000004">
      <c r="A1952" t="str">
        <f t="shared" si="30"/>
        <v/>
      </c>
    </row>
    <row r="1953" spans="1:1" x14ac:dyDescent="0.55000000000000004">
      <c r="A1953" t="str">
        <f t="shared" si="30"/>
        <v/>
      </c>
    </row>
    <row r="1954" spans="1:1" x14ac:dyDescent="0.55000000000000004">
      <c r="A1954" t="str">
        <f t="shared" si="30"/>
        <v/>
      </c>
    </row>
    <row r="1955" spans="1:1" x14ac:dyDescent="0.55000000000000004">
      <c r="A1955" t="str">
        <f t="shared" si="30"/>
        <v/>
      </c>
    </row>
    <row r="1956" spans="1:1" x14ac:dyDescent="0.55000000000000004">
      <c r="A1956" t="str">
        <f t="shared" si="30"/>
        <v/>
      </c>
    </row>
    <row r="1957" spans="1:1" x14ac:dyDescent="0.55000000000000004">
      <c r="A1957" t="str">
        <f t="shared" si="30"/>
        <v/>
      </c>
    </row>
    <row r="1958" spans="1:1" x14ac:dyDescent="0.55000000000000004">
      <c r="A1958" t="str">
        <f t="shared" si="30"/>
        <v/>
      </c>
    </row>
    <row r="1959" spans="1:1" x14ac:dyDescent="0.55000000000000004">
      <c r="A1959" t="str">
        <f t="shared" si="30"/>
        <v/>
      </c>
    </row>
    <row r="1960" spans="1:1" x14ac:dyDescent="0.55000000000000004">
      <c r="A1960" t="str">
        <f t="shared" si="30"/>
        <v/>
      </c>
    </row>
    <row r="1961" spans="1:1" x14ac:dyDescent="0.55000000000000004">
      <c r="A1961" t="str">
        <f t="shared" si="30"/>
        <v/>
      </c>
    </row>
    <row r="1962" spans="1:1" x14ac:dyDescent="0.55000000000000004">
      <c r="A1962" t="str">
        <f t="shared" si="30"/>
        <v/>
      </c>
    </row>
    <row r="1963" spans="1:1" x14ac:dyDescent="0.55000000000000004">
      <c r="A1963" t="str">
        <f t="shared" si="30"/>
        <v/>
      </c>
    </row>
    <row r="1964" spans="1:1" x14ac:dyDescent="0.55000000000000004">
      <c r="A1964" t="str">
        <f t="shared" si="30"/>
        <v/>
      </c>
    </row>
    <row r="1965" spans="1:1" x14ac:dyDescent="0.55000000000000004">
      <c r="A1965" t="str">
        <f t="shared" si="30"/>
        <v/>
      </c>
    </row>
    <row r="1966" spans="1:1" x14ac:dyDescent="0.55000000000000004">
      <c r="A1966" t="str">
        <f t="shared" si="30"/>
        <v/>
      </c>
    </row>
    <row r="1967" spans="1:1" x14ac:dyDescent="0.55000000000000004">
      <c r="A1967" t="str">
        <f t="shared" si="30"/>
        <v/>
      </c>
    </row>
    <row r="1968" spans="1:1" x14ac:dyDescent="0.55000000000000004">
      <c r="A1968" t="str">
        <f t="shared" si="30"/>
        <v/>
      </c>
    </row>
    <row r="1969" spans="1:1" x14ac:dyDescent="0.55000000000000004">
      <c r="A1969" t="str">
        <f t="shared" si="30"/>
        <v/>
      </c>
    </row>
    <row r="1970" spans="1:1" x14ac:dyDescent="0.55000000000000004">
      <c r="A1970" t="str">
        <f t="shared" si="30"/>
        <v/>
      </c>
    </row>
    <row r="1971" spans="1:1" x14ac:dyDescent="0.55000000000000004">
      <c r="A1971" t="str">
        <f t="shared" si="30"/>
        <v/>
      </c>
    </row>
    <row r="1972" spans="1:1" x14ac:dyDescent="0.55000000000000004">
      <c r="A1972" t="str">
        <f t="shared" si="30"/>
        <v/>
      </c>
    </row>
    <row r="1973" spans="1:1" x14ac:dyDescent="0.55000000000000004">
      <c r="A1973" t="str">
        <f t="shared" si="30"/>
        <v/>
      </c>
    </row>
    <row r="1974" spans="1:1" x14ac:dyDescent="0.55000000000000004">
      <c r="A1974" t="str">
        <f t="shared" si="30"/>
        <v/>
      </c>
    </row>
    <row r="1975" spans="1:1" x14ac:dyDescent="0.55000000000000004">
      <c r="A1975" t="str">
        <f t="shared" si="30"/>
        <v/>
      </c>
    </row>
    <row r="1976" spans="1:1" x14ac:dyDescent="0.55000000000000004">
      <c r="A1976" t="str">
        <f t="shared" si="30"/>
        <v/>
      </c>
    </row>
    <row r="1977" spans="1:1" x14ac:dyDescent="0.55000000000000004">
      <c r="A1977" t="str">
        <f t="shared" si="30"/>
        <v/>
      </c>
    </row>
    <row r="1978" spans="1:1" x14ac:dyDescent="0.55000000000000004">
      <c r="A1978" t="str">
        <f t="shared" si="30"/>
        <v/>
      </c>
    </row>
    <row r="1979" spans="1:1" x14ac:dyDescent="0.55000000000000004">
      <c r="A1979" t="str">
        <f t="shared" si="30"/>
        <v/>
      </c>
    </row>
    <row r="1980" spans="1:1" x14ac:dyDescent="0.55000000000000004">
      <c r="A1980" t="str">
        <f t="shared" si="30"/>
        <v/>
      </c>
    </row>
    <row r="1981" spans="1:1" x14ac:dyDescent="0.55000000000000004">
      <c r="A1981" t="str">
        <f t="shared" si="30"/>
        <v/>
      </c>
    </row>
    <row r="1982" spans="1:1" x14ac:dyDescent="0.55000000000000004">
      <c r="A1982" t="str">
        <f t="shared" si="30"/>
        <v/>
      </c>
    </row>
    <row r="1983" spans="1:1" x14ac:dyDescent="0.55000000000000004">
      <c r="A1983" t="str">
        <f t="shared" si="30"/>
        <v/>
      </c>
    </row>
    <row r="1984" spans="1:1" x14ac:dyDescent="0.55000000000000004">
      <c r="A1984" t="str">
        <f t="shared" si="30"/>
        <v/>
      </c>
    </row>
    <row r="1985" spans="1:1" x14ac:dyDescent="0.55000000000000004">
      <c r="A1985" t="str">
        <f t="shared" si="30"/>
        <v/>
      </c>
    </row>
    <row r="1986" spans="1:1" x14ac:dyDescent="0.55000000000000004">
      <c r="A1986" t="str">
        <f t="shared" si="30"/>
        <v/>
      </c>
    </row>
    <row r="1987" spans="1:1" x14ac:dyDescent="0.55000000000000004">
      <c r="A1987" t="str">
        <f t="shared" ref="A1987:A2050" si="31">H1987&amp;I1987&amp;J1987</f>
        <v/>
      </c>
    </row>
    <row r="1988" spans="1:1" x14ac:dyDescent="0.55000000000000004">
      <c r="A1988" t="str">
        <f t="shared" si="31"/>
        <v/>
      </c>
    </row>
    <row r="1989" spans="1:1" x14ac:dyDescent="0.55000000000000004">
      <c r="A1989" t="str">
        <f t="shared" si="31"/>
        <v/>
      </c>
    </row>
    <row r="1990" spans="1:1" x14ac:dyDescent="0.55000000000000004">
      <c r="A1990" t="str">
        <f t="shared" si="31"/>
        <v/>
      </c>
    </row>
    <row r="1991" spans="1:1" x14ac:dyDescent="0.55000000000000004">
      <c r="A1991" t="str">
        <f t="shared" si="31"/>
        <v/>
      </c>
    </row>
    <row r="1992" spans="1:1" x14ac:dyDescent="0.55000000000000004">
      <c r="A1992" t="str">
        <f t="shared" si="31"/>
        <v/>
      </c>
    </row>
    <row r="1993" spans="1:1" x14ac:dyDescent="0.55000000000000004">
      <c r="A1993" t="str">
        <f t="shared" si="31"/>
        <v/>
      </c>
    </row>
    <row r="1994" spans="1:1" x14ac:dyDescent="0.55000000000000004">
      <c r="A1994" t="str">
        <f t="shared" si="31"/>
        <v/>
      </c>
    </row>
    <row r="1995" spans="1:1" x14ac:dyDescent="0.55000000000000004">
      <c r="A1995" t="str">
        <f t="shared" si="31"/>
        <v/>
      </c>
    </row>
    <row r="1996" spans="1:1" x14ac:dyDescent="0.55000000000000004">
      <c r="A1996" t="str">
        <f t="shared" si="31"/>
        <v/>
      </c>
    </row>
    <row r="1997" spans="1:1" x14ac:dyDescent="0.55000000000000004">
      <c r="A1997" t="str">
        <f t="shared" si="31"/>
        <v/>
      </c>
    </row>
    <row r="1998" spans="1:1" x14ac:dyDescent="0.55000000000000004">
      <c r="A1998" t="str">
        <f t="shared" si="31"/>
        <v/>
      </c>
    </row>
    <row r="1999" spans="1:1" x14ac:dyDescent="0.55000000000000004">
      <c r="A1999" t="str">
        <f t="shared" si="31"/>
        <v/>
      </c>
    </row>
    <row r="2000" spans="1:1" x14ac:dyDescent="0.55000000000000004">
      <c r="A2000" t="str">
        <f t="shared" si="31"/>
        <v/>
      </c>
    </row>
    <row r="2001" spans="1:1" x14ac:dyDescent="0.55000000000000004">
      <c r="A2001" t="str">
        <f t="shared" si="31"/>
        <v/>
      </c>
    </row>
    <row r="2002" spans="1:1" x14ac:dyDescent="0.55000000000000004">
      <c r="A2002" t="str">
        <f t="shared" si="31"/>
        <v/>
      </c>
    </row>
    <row r="2003" spans="1:1" x14ac:dyDescent="0.55000000000000004">
      <c r="A2003" t="str">
        <f t="shared" si="31"/>
        <v/>
      </c>
    </row>
    <row r="2004" spans="1:1" x14ac:dyDescent="0.55000000000000004">
      <c r="A2004" t="str">
        <f t="shared" si="31"/>
        <v/>
      </c>
    </row>
    <row r="2005" spans="1:1" x14ac:dyDescent="0.55000000000000004">
      <c r="A2005" t="str">
        <f t="shared" si="31"/>
        <v/>
      </c>
    </row>
    <row r="2006" spans="1:1" x14ac:dyDescent="0.55000000000000004">
      <c r="A2006" t="str">
        <f t="shared" si="31"/>
        <v/>
      </c>
    </row>
    <row r="2007" spans="1:1" x14ac:dyDescent="0.55000000000000004">
      <c r="A2007" t="str">
        <f t="shared" si="31"/>
        <v/>
      </c>
    </row>
    <row r="2008" spans="1:1" x14ac:dyDescent="0.55000000000000004">
      <c r="A2008" t="str">
        <f t="shared" si="31"/>
        <v/>
      </c>
    </row>
    <row r="2009" spans="1:1" x14ac:dyDescent="0.55000000000000004">
      <c r="A2009" t="str">
        <f t="shared" si="31"/>
        <v/>
      </c>
    </row>
    <row r="2010" spans="1:1" x14ac:dyDescent="0.55000000000000004">
      <c r="A2010" t="str">
        <f t="shared" si="31"/>
        <v/>
      </c>
    </row>
    <row r="2011" spans="1:1" x14ac:dyDescent="0.55000000000000004">
      <c r="A2011" t="str">
        <f t="shared" si="31"/>
        <v/>
      </c>
    </row>
    <row r="2012" spans="1:1" x14ac:dyDescent="0.55000000000000004">
      <c r="A2012" t="str">
        <f t="shared" si="31"/>
        <v/>
      </c>
    </row>
    <row r="2013" spans="1:1" x14ac:dyDescent="0.55000000000000004">
      <c r="A2013" t="str">
        <f t="shared" si="31"/>
        <v/>
      </c>
    </row>
    <row r="2014" spans="1:1" x14ac:dyDescent="0.55000000000000004">
      <c r="A2014" t="str">
        <f t="shared" si="31"/>
        <v/>
      </c>
    </row>
    <row r="2015" spans="1:1" x14ac:dyDescent="0.55000000000000004">
      <c r="A2015" t="str">
        <f t="shared" si="31"/>
        <v/>
      </c>
    </row>
    <row r="2016" spans="1:1" x14ac:dyDescent="0.55000000000000004">
      <c r="A2016" t="str">
        <f t="shared" si="31"/>
        <v/>
      </c>
    </row>
    <row r="2017" spans="1:1" x14ac:dyDescent="0.55000000000000004">
      <c r="A2017" t="str">
        <f t="shared" si="31"/>
        <v/>
      </c>
    </row>
    <row r="2018" spans="1:1" x14ac:dyDescent="0.55000000000000004">
      <c r="A2018" t="str">
        <f t="shared" si="31"/>
        <v/>
      </c>
    </row>
    <row r="2019" spans="1:1" x14ac:dyDescent="0.55000000000000004">
      <c r="A2019" t="str">
        <f t="shared" si="31"/>
        <v/>
      </c>
    </row>
    <row r="2020" spans="1:1" x14ac:dyDescent="0.55000000000000004">
      <c r="A2020" t="str">
        <f t="shared" si="31"/>
        <v/>
      </c>
    </row>
    <row r="2021" spans="1:1" x14ac:dyDescent="0.55000000000000004">
      <c r="A2021" t="str">
        <f t="shared" si="31"/>
        <v/>
      </c>
    </row>
    <row r="2022" spans="1:1" x14ac:dyDescent="0.55000000000000004">
      <c r="A2022" t="str">
        <f t="shared" si="31"/>
        <v/>
      </c>
    </row>
    <row r="2023" spans="1:1" x14ac:dyDescent="0.55000000000000004">
      <c r="A2023" t="str">
        <f t="shared" si="31"/>
        <v/>
      </c>
    </row>
    <row r="2024" spans="1:1" x14ac:dyDescent="0.55000000000000004">
      <c r="A2024" t="str">
        <f t="shared" si="31"/>
        <v/>
      </c>
    </row>
    <row r="2025" spans="1:1" x14ac:dyDescent="0.55000000000000004">
      <c r="A2025" t="str">
        <f t="shared" si="31"/>
        <v/>
      </c>
    </row>
    <row r="2026" spans="1:1" x14ac:dyDescent="0.55000000000000004">
      <c r="A2026" t="str">
        <f t="shared" si="31"/>
        <v/>
      </c>
    </row>
    <row r="2027" spans="1:1" x14ac:dyDescent="0.55000000000000004">
      <c r="A2027" t="str">
        <f t="shared" si="31"/>
        <v/>
      </c>
    </row>
    <row r="2028" spans="1:1" x14ac:dyDescent="0.55000000000000004">
      <c r="A2028" t="str">
        <f t="shared" si="31"/>
        <v/>
      </c>
    </row>
    <row r="2029" spans="1:1" x14ac:dyDescent="0.55000000000000004">
      <c r="A2029" t="str">
        <f t="shared" si="31"/>
        <v/>
      </c>
    </row>
    <row r="2030" spans="1:1" x14ac:dyDescent="0.55000000000000004">
      <c r="A2030" t="str">
        <f t="shared" si="31"/>
        <v/>
      </c>
    </row>
    <row r="2031" spans="1:1" x14ac:dyDescent="0.55000000000000004">
      <c r="A2031" t="str">
        <f t="shared" si="31"/>
        <v/>
      </c>
    </row>
    <row r="2032" spans="1:1" x14ac:dyDescent="0.55000000000000004">
      <c r="A2032" t="str">
        <f t="shared" si="31"/>
        <v/>
      </c>
    </row>
    <row r="2033" spans="1:1" x14ac:dyDescent="0.55000000000000004">
      <c r="A2033" t="str">
        <f t="shared" si="31"/>
        <v/>
      </c>
    </row>
    <row r="2034" spans="1:1" x14ac:dyDescent="0.55000000000000004">
      <c r="A2034" t="str">
        <f t="shared" si="31"/>
        <v/>
      </c>
    </row>
    <row r="2035" spans="1:1" x14ac:dyDescent="0.55000000000000004">
      <c r="A2035" t="str">
        <f t="shared" si="31"/>
        <v/>
      </c>
    </row>
    <row r="2036" spans="1:1" x14ac:dyDescent="0.55000000000000004">
      <c r="A2036" t="str">
        <f t="shared" si="31"/>
        <v/>
      </c>
    </row>
    <row r="2037" spans="1:1" x14ac:dyDescent="0.55000000000000004">
      <c r="A2037" t="str">
        <f t="shared" si="31"/>
        <v/>
      </c>
    </row>
    <row r="2038" spans="1:1" x14ac:dyDescent="0.55000000000000004">
      <c r="A2038" t="str">
        <f t="shared" si="31"/>
        <v/>
      </c>
    </row>
    <row r="2039" spans="1:1" x14ac:dyDescent="0.55000000000000004">
      <c r="A2039" t="str">
        <f t="shared" si="31"/>
        <v/>
      </c>
    </row>
    <row r="2040" spans="1:1" x14ac:dyDescent="0.55000000000000004">
      <c r="A2040" t="str">
        <f t="shared" si="31"/>
        <v/>
      </c>
    </row>
    <row r="2041" spans="1:1" x14ac:dyDescent="0.55000000000000004">
      <c r="A2041" t="str">
        <f t="shared" si="31"/>
        <v/>
      </c>
    </row>
    <row r="2042" spans="1:1" x14ac:dyDescent="0.55000000000000004">
      <c r="A2042" t="str">
        <f t="shared" si="31"/>
        <v/>
      </c>
    </row>
    <row r="2043" spans="1:1" x14ac:dyDescent="0.55000000000000004">
      <c r="A2043" t="str">
        <f t="shared" si="31"/>
        <v/>
      </c>
    </row>
    <row r="2044" spans="1:1" x14ac:dyDescent="0.55000000000000004">
      <c r="A2044" t="str">
        <f t="shared" si="31"/>
        <v/>
      </c>
    </row>
    <row r="2045" spans="1:1" x14ac:dyDescent="0.55000000000000004">
      <c r="A2045" t="str">
        <f t="shared" si="31"/>
        <v/>
      </c>
    </row>
    <row r="2046" spans="1:1" x14ac:dyDescent="0.55000000000000004">
      <c r="A2046" t="str">
        <f t="shared" si="31"/>
        <v/>
      </c>
    </row>
    <row r="2047" spans="1:1" x14ac:dyDescent="0.55000000000000004">
      <c r="A2047" t="str">
        <f t="shared" si="31"/>
        <v/>
      </c>
    </row>
    <row r="2048" spans="1:1" x14ac:dyDescent="0.55000000000000004">
      <c r="A2048" t="str">
        <f t="shared" si="31"/>
        <v/>
      </c>
    </row>
    <row r="2049" spans="1:1" x14ac:dyDescent="0.55000000000000004">
      <c r="A2049" t="str">
        <f t="shared" si="31"/>
        <v/>
      </c>
    </row>
    <row r="2050" spans="1:1" x14ac:dyDescent="0.55000000000000004">
      <c r="A2050" t="str">
        <f t="shared" si="31"/>
        <v/>
      </c>
    </row>
    <row r="2051" spans="1:1" x14ac:dyDescent="0.55000000000000004">
      <c r="A2051" t="str">
        <f t="shared" ref="A2051:A2114" si="32">H2051&amp;I2051&amp;J2051</f>
        <v/>
      </c>
    </row>
    <row r="2052" spans="1:1" x14ac:dyDescent="0.55000000000000004">
      <c r="A2052" t="str">
        <f t="shared" si="32"/>
        <v/>
      </c>
    </row>
    <row r="2053" spans="1:1" x14ac:dyDescent="0.55000000000000004">
      <c r="A2053" t="str">
        <f t="shared" si="32"/>
        <v/>
      </c>
    </row>
    <row r="2054" spans="1:1" x14ac:dyDescent="0.55000000000000004">
      <c r="A2054" t="str">
        <f t="shared" si="32"/>
        <v/>
      </c>
    </row>
    <row r="2055" spans="1:1" x14ac:dyDescent="0.55000000000000004">
      <c r="A2055" t="str">
        <f t="shared" si="32"/>
        <v/>
      </c>
    </row>
    <row r="2056" spans="1:1" x14ac:dyDescent="0.55000000000000004">
      <c r="A2056" t="str">
        <f t="shared" si="32"/>
        <v/>
      </c>
    </row>
    <row r="2057" spans="1:1" x14ac:dyDescent="0.55000000000000004">
      <c r="A2057" t="str">
        <f t="shared" si="32"/>
        <v/>
      </c>
    </row>
    <row r="2058" spans="1:1" x14ac:dyDescent="0.55000000000000004">
      <c r="A2058" t="str">
        <f t="shared" si="32"/>
        <v/>
      </c>
    </row>
    <row r="2059" spans="1:1" x14ac:dyDescent="0.55000000000000004">
      <c r="A2059" t="str">
        <f t="shared" si="32"/>
        <v/>
      </c>
    </row>
    <row r="2060" spans="1:1" x14ac:dyDescent="0.55000000000000004">
      <c r="A2060" t="str">
        <f t="shared" si="32"/>
        <v/>
      </c>
    </row>
    <row r="2061" spans="1:1" x14ac:dyDescent="0.55000000000000004">
      <c r="A2061" t="str">
        <f t="shared" si="32"/>
        <v/>
      </c>
    </row>
    <row r="2062" spans="1:1" x14ac:dyDescent="0.55000000000000004">
      <c r="A2062" t="str">
        <f t="shared" si="32"/>
        <v/>
      </c>
    </row>
    <row r="2063" spans="1:1" x14ac:dyDescent="0.55000000000000004">
      <c r="A2063" t="str">
        <f t="shared" si="32"/>
        <v/>
      </c>
    </row>
    <row r="2064" spans="1:1" x14ac:dyDescent="0.55000000000000004">
      <c r="A2064" t="str">
        <f t="shared" si="32"/>
        <v/>
      </c>
    </row>
    <row r="2065" spans="1:1" x14ac:dyDescent="0.55000000000000004">
      <c r="A2065" t="str">
        <f t="shared" si="32"/>
        <v/>
      </c>
    </row>
    <row r="2066" spans="1:1" x14ac:dyDescent="0.55000000000000004">
      <c r="A2066" t="str">
        <f t="shared" si="32"/>
        <v/>
      </c>
    </row>
    <row r="2067" spans="1:1" x14ac:dyDescent="0.55000000000000004">
      <c r="A2067" t="str">
        <f t="shared" si="32"/>
        <v/>
      </c>
    </row>
    <row r="2068" spans="1:1" x14ac:dyDescent="0.55000000000000004">
      <c r="A2068" t="str">
        <f t="shared" si="32"/>
        <v/>
      </c>
    </row>
    <row r="2069" spans="1:1" x14ac:dyDescent="0.55000000000000004">
      <c r="A2069" t="str">
        <f t="shared" si="32"/>
        <v/>
      </c>
    </row>
    <row r="2070" spans="1:1" x14ac:dyDescent="0.55000000000000004">
      <c r="A2070" t="str">
        <f t="shared" si="32"/>
        <v/>
      </c>
    </row>
    <row r="2071" spans="1:1" x14ac:dyDescent="0.55000000000000004">
      <c r="A2071" t="str">
        <f t="shared" si="32"/>
        <v/>
      </c>
    </row>
    <row r="2072" spans="1:1" x14ac:dyDescent="0.55000000000000004">
      <c r="A2072" t="str">
        <f t="shared" si="32"/>
        <v/>
      </c>
    </row>
    <row r="2073" spans="1:1" x14ac:dyDescent="0.55000000000000004">
      <c r="A2073" t="str">
        <f t="shared" si="32"/>
        <v/>
      </c>
    </row>
    <row r="2074" spans="1:1" x14ac:dyDescent="0.55000000000000004">
      <c r="A2074" t="str">
        <f t="shared" si="32"/>
        <v/>
      </c>
    </row>
    <row r="2075" spans="1:1" x14ac:dyDescent="0.55000000000000004">
      <c r="A2075" t="str">
        <f t="shared" si="32"/>
        <v/>
      </c>
    </row>
    <row r="2076" spans="1:1" x14ac:dyDescent="0.55000000000000004">
      <c r="A2076" t="str">
        <f t="shared" si="32"/>
        <v/>
      </c>
    </row>
    <row r="2077" spans="1:1" x14ac:dyDescent="0.55000000000000004">
      <c r="A2077" t="str">
        <f t="shared" si="32"/>
        <v/>
      </c>
    </row>
    <row r="2078" spans="1:1" x14ac:dyDescent="0.55000000000000004">
      <c r="A2078" t="str">
        <f t="shared" si="32"/>
        <v/>
      </c>
    </row>
    <row r="2079" spans="1:1" x14ac:dyDescent="0.55000000000000004">
      <c r="A2079" t="str">
        <f t="shared" si="32"/>
        <v/>
      </c>
    </row>
    <row r="2080" spans="1:1" x14ac:dyDescent="0.55000000000000004">
      <c r="A2080" t="str">
        <f t="shared" si="32"/>
        <v/>
      </c>
    </row>
    <row r="2081" spans="1:1" x14ac:dyDescent="0.55000000000000004">
      <c r="A2081" t="str">
        <f t="shared" si="32"/>
        <v/>
      </c>
    </row>
    <row r="2082" spans="1:1" x14ac:dyDescent="0.55000000000000004">
      <c r="A2082" t="str">
        <f t="shared" si="32"/>
        <v/>
      </c>
    </row>
    <row r="2083" spans="1:1" x14ac:dyDescent="0.55000000000000004">
      <c r="A2083" t="str">
        <f t="shared" si="32"/>
        <v/>
      </c>
    </row>
    <row r="2084" spans="1:1" x14ac:dyDescent="0.55000000000000004">
      <c r="A2084" t="str">
        <f t="shared" si="32"/>
        <v/>
      </c>
    </row>
    <row r="2085" spans="1:1" x14ac:dyDescent="0.55000000000000004">
      <c r="A2085" t="str">
        <f t="shared" si="32"/>
        <v/>
      </c>
    </row>
    <row r="2086" spans="1:1" x14ac:dyDescent="0.55000000000000004">
      <c r="A2086" t="str">
        <f t="shared" si="32"/>
        <v/>
      </c>
    </row>
    <row r="2087" spans="1:1" x14ac:dyDescent="0.55000000000000004">
      <c r="A2087" t="str">
        <f t="shared" si="32"/>
        <v/>
      </c>
    </row>
    <row r="2088" spans="1:1" x14ac:dyDescent="0.55000000000000004">
      <c r="A2088" t="str">
        <f t="shared" si="32"/>
        <v/>
      </c>
    </row>
    <row r="2089" spans="1:1" x14ac:dyDescent="0.55000000000000004">
      <c r="A2089" t="str">
        <f t="shared" si="32"/>
        <v/>
      </c>
    </row>
    <row r="2090" spans="1:1" x14ac:dyDescent="0.55000000000000004">
      <c r="A2090" t="str">
        <f t="shared" si="32"/>
        <v/>
      </c>
    </row>
    <row r="2091" spans="1:1" x14ac:dyDescent="0.55000000000000004">
      <c r="A2091" t="str">
        <f t="shared" si="32"/>
        <v/>
      </c>
    </row>
    <row r="2092" spans="1:1" x14ac:dyDescent="0.55000000000000004">
      <c r="A2092" t="str">
        <f t="shared" si="32"/>
        <v/>
      </c>
    </row>
    <row r="2093" spans="1:1" x14ac:dyDescent="0.55000000000000004">
      <c r="A2093" t="str">
        <f t="shared" si="32"/>
        <v/>
      </c>
    </row>
    <row r="2094" spans="1:1" x14ac:dyDescent="0.55000000000000004">
      <c r="A2094" t="str">
        <f t="shared" si="32"/>
        <v/>
      </c>
    </row>
    <row r="2095" spans="1:1" x14ac:dyDescent="0.55000000000000004">
      <c r="A2095" t="str">
        <f t="shared" si="32"/>
        <v/>
      </c>
    </row>
    <row r="2096" spans="1:1" x14ac:dyDescent="0.55000000000000004">
      <c r="A2096" t="str">
        <f t="shared" si="32"/>
        <v/>
      </c>
    </row>
    <row r="2097" spans="1:1" x14ac:dyDescent="0.55000000000000004">
      <c r="A2097" t="str">
        <f t="shared" si="32"/>
        <v/>
      </c>
    </row>
    <row r="2098" spans="1:1" x14ac:dyDescent="0.55000000000000004">
      <c r="A2098" t="str">
        <f t="shared" si="32"/>
        <v/>
      </c>
    </row>
    <row r="2099" spans="1:1" x14ac:dyDescent="0.55000000000000004">
      <c r="A2099" t="str">
        <f t="shared" si="32"/>
        <v/>
      </c>
    </row>
    <row r="2100" spans="1:1" x14ac:dyDescent="0.55000000000000004">
      <c r="A2100" t="str">
        <f t="shared" si="32"/>
        <v/>
      </c>
    </row>
    <row r="2101" spans="1:1" x14ac:dyDescent="0.55000000000000004">
      <c r="A2101" t="str">
        <f t="shared" si="32"/>
        <v/>
      </c>
    </row>
    <row r="2102" spans="1:1" x14ac:dyDescent="0.55000000000000004">
      <c r="A2102" t="str">
        <f t="shared" si="32"/>
        <v/>
      </c>
    </row>
    <row r="2103" spans="1:1" x14ac:dyDescent="0.55000000000000004">
      <c r="A2103" t="str">
        <f t="shared" si="32"/>
        <v/>
      </c>
    </row>
    <row r="2104" spans="1:1" x14ac:dyDescent="0.55000000000000004">
      <c r="A2104" t="str">
        <f t="shared" si="32"/>
        <v/>
      </c>
    </row>
    <row r="2105" spans="1:1" x14ac:dyDescent="0.55000000000000004">
      <c r="A2105" t="str">
        <f t="shared" si="32"/>
        <v/>
      </c>
    </row>
    <row r="2106" spans="1:1" x14ac:dyDescent="0.55000000000000004">
      <c r="A2106" t="str">
        <f t="shared" si="32"/>
        <v/>
      </c>
    </row>
    <row r="2107" spans="1:1" x14ac:dyDescent="0.55000000000000004">
      <c r="A2107" t="str">
        <f t="shared" si="32"/>
        <v/>
      </c>
    </row>
    <row r="2108" spans="1:1" x14ac:dyDescent="0.55000000000000004">
      <c r="A2108" t="str">
        <f t="shared" si="32"/>
        <v/>
      </c>
    </row>
    <row r="2109" spans="1:1" x14ac:dyDescent="0.55000000000000004">
      <c r="A2109" t="str">
        <f t="shared" si="32"/>
        <v/>
      </c>
    </row>
    <row r="2110" spans="1:1" x14ac:dyDescent="0.55000000000000004">
      <c r="A2110" t="str">
        <f t="shared" si="32"/>
        <v/>
      </c>
    </row>
    <row r="2111" spans="1:1" x14ac:dyDescent="0.55000000000000004">
      <c r="A2111" t="str">
        <f t="shared" si="32"/>
        <v/>
      </c>
    </row>
    <row r="2112" spans="1:1" x14ac:dyDescent="0.55000000000000004">
      <c r="A2112" t="str">
        <f t="shared" si="32"/>
        <v/>
      </c>
    </row>
    <row r="2113" spans="1:1" x14ac:dyDescent="0.55000000000000004">
      <c r="A2113" t="str">
        <f t="shared" si="32"/>
        <v/>
      </c>
    </row>
    <row r="2114" spans="1:1" x14ac:dyDescent="0.55000000000000004">
      <c r="A2114" t="str">
        <f t="shared" si="32"/>
        <v/>
      </c>
    </row>
    <row r="2115" spans="1:1" x14ac:dyDescent="0.55000000000000004">
      <c r="A2115" t="str">
        <f t="shared" ref="A2115:A2178" si="33">H2115&amp;I2115&amp;J2115</f>
        <v/>
      </c>
    </row>
    <row r="2116" spans="1:1" x14ac:dyDescent="0.55000000000000004">
      <c r="A2116" t="str">
        <f t="shared" si="33"/>
        <v/>
      </c>
    </row>
    <row r="2117" spans="1:1" x14ac:dyDescent="0.55000000000000004">
      <c r="A2117" t="str">
        <f t="shared" si="33"/>
        <v/>
      </c>
    </row>
    <row r="2118" spans="1:1" x14ac:dyDescent="0.55000000000000004">
      <c r="A2118" t="str">
        <f t="shared" si="33"/>
        <v/>
      </c>
    </row>
    <row r="2119" spans="1:1" x14ac:dyDescent="0.55000000000000004">
      <c r="A2119" t="str">
        <f t="shared" si="33"/>
        <v/>
      </c>
    </row>
    <row r="2120" spans="1:1" x14ac:dyDescent="0.55000000000000004">
      <c r="A2120" t="str">
        <f t="shared" si="33"/>
        <v/>
      </c>
    </row>
    <row r="2121" spans="1:1" x14ac:dyDescent="0.55000000000000004">
      <c r="A2121" t="str">
        <f t="shared" si="33"/>
        <v/>
      </c>
    </row>
    <row r="2122" spans="1:1" x14ac:dyDescent="0.55000000000000004">
      <c r="A2122" t="str">
        <f t="shared" si="33"/>
        <v/>
      </c>
    </row>
    <row r="2123" spans="1:1" x14ac:dyDescent="0.55000000000000004">
      <c r="A2123" t="str">
        <f t="shared" si="33"/>
        <v/>
      </c>
    </row>
    <row r="2124" spans="1:1" x14ac:dyDescent="0.55000000000000004">
      <c r="A2124" t="str">
        <f t="shared" si="33"/>
        <v/>
      </c>
    </row>
    <row r="2125" spans="1:1" x14ac:dyDescent="0.55000000000000004">
      <c r="A2125" t="str">
        <f t="shared" si="33"/>
        <v/>
      </c>
    </row>
    <row r="2126" spans="1:1" x14ac:dyDescent="0.55000000000000004">
      <c r="A2126" t="str">
        <f t="shared" si="33"/>
        <v/>
      </c>
    </row>
    <row r="2127" spans="1:1" x14ac:dyDescent="0.55000000000000004">
      <c r="A2127" t="str">
        <f t="shared" si="33"/>
        <v/>
      </c>
    </row>
    <row r="2128" spans="1:1" x14ac:dyDescent="0.55000000000000004">
      <c r="A2128" t="str">
        <f t="shared" si="33"/>
        <v/>
      </c>
    </row>
    <row r="2129" spans="1:1" x14ac:dyDescent="0.55000000000000004">
      <c r="A2129" t="str">
        <f t="shared" si="33"/>
        <v/>
      </c>
    </row>
    <row r="2130" spans="1:1" x14ac:dyDescent="0.55000000000000004">
      <c r="A2130" t="str">
        <f t="shared" si="33"/>
        <v/>
      </c>
    </row>
    <row r="2131" spans="1:1" x14ac:dyDescent="0.55000000000000004">
      <c r="A2131" t="str">
        <f t="shared" si="33"/>
        <v/>
      </c>
    </row>
    <row r="2132" spans="1:1" x14ac:dyDescent="0.55000000000000004">
      <c r="A2132" t="str">
        <f t="shared" si="33"/>
        <v/>
      </c>
    </row>
    <row r="2133" spans="1:1" x14ac:dyDescent="0.55000000000000004">
      <c r="A2133" t="str">
        <f t="shared" si="33"/>
        <v/>
      </c>
    </row>
    <row r="2134" spans="1:1" x14ac:dyDescent="0.55000000000000004">
      <c r="A2134" t="str">
        <f t="shared" si="33"/>
        <v/>
      </c>
    </row>
    <row r="2135" spans="1:1" x14ac:dyDescent="0.55000000000000004">
      <c r="A2135" t="str">
        <f t="shared" si="33"/>
        <v/>
      </c>
    </row>
    <row r="2136" spans="1:1" x14ac:dyDescent="0.55000000000000004">
      <c r="A2136" t="str">
        <f t="shared" si="33"/>
        <v/>
      </c>
    </row>
    <row r="2137" spans="1:1" x14ac:dyDescent="0.55000000000000004">
      <c r="A2137" t="str">
        <f t="shared" si="33"/>
        <v/>
      </c>
    </row>
    <row r="2138" spans="1:1" x14ac:dyDescent="0.55000000000000004">
      <c r="A2138" t="str">
        <f t="shared" si="33"/>
        <v/>
      </c>
    </row>
    <row r="2139" spans="1:1" x14ac:dyDescent="0.55000000000000004">
      <c r="A2139" t="str">
        <f t="shared" si="33"/>
        <v/>
      </c>
    </row>
    <row r="2140" spans="1:1" x14ac:dyDescent="0.55000000000000004">
      <c r="A2140" t="str">
        <f t="shared" si="33"/>
        <v/>
      </c>
    </row>
    <row r="2141" spans="1:1" x14ac:dyDescent="0.55000000000000004">
      <c r="A2141" t="str">
        <f t="shared" si="33"/>
        <v/>
      </c>
    </row>
    <row r="2142" spans="1:1" x14ac:dyDescent="0.55000000000000004">
      <c r="A2142" t="str">
        <f t="shared" si="33"/>
        <v/>
      </c>
    </row>
    <row r="2143" spans="1:1" x14ac:dyDescent="0.55000000000000004">
      <c r="A2143" t="str">
        <f t="shared" si="33"/>
        <v/>
      </c>
    </row>
    <row r="2144" spans="1:1" x14ac:dyDescent="0.55000000000000004">
      <c r="A2144" t="str">
        <f t="shared" si="33"/>
        <v/>
      </c>
    </row>
    <row r="2145" spans="1:1" x14ac:dyDescent="0.55000000000000004">
      <c r="A2145" t="str">
        <f t="shared" si="33"/>
        <v/>
      </c>
    </row>
    <row r="2146" spans="1:1" x14ac:dyDescent="0.55000000000000004">
      <c r="A2146" t="str">
        <f t="shared" si="33"/>
        <v/>
      </c>
    </row>
    <row r="2147" spans="1:1" x14ac:dyDescent="0.55000000000000004">
      <c r="A2147" t="str">
        <f t="shared" si="33"/>
        <v/>
      </c>
    </row>
    <row r="2148" spans="1:1" x14ac:dyDescent="0.55000000000000004">
      <c r="A2148" t="str">
        <f t="shared" si="33"/>
        <v/>
      </c>
    </row>
    <row r="2149" spans="1:1" x14ac:dyDescent="0.55000000000000004">
      <c r="A2149" t="str">
        <f t="shared" si="33"/>
        <v/>
      </c>
    </row>
    <row r="2150" spans="1:1" x14ac:dyDescent="0.55000000000000004">
      <c r="A2150" t="str">
        <f t="shared" si="33"/>
        <v/>
      </c>
    </row>
    <row r="2151" spans="1:1" x14ac:dyDescent="0.55000000000000004">
      <c r="A2151" t="str">
        <f t="shared" si="33"/>
        <v/>
      </c>
    </row>
    <row r="2152" spans="1:1" x14ac:dyDescent="0.55000000000000004">
      <c r="A2152" t="str">
        <f t="shared" si="33"/>
        <v/>
      </c>
    </row>
    <row r="2153" spans="1:1" x14ac:dyDescent="0.55000000000000004">
      <c r="A2153" t="str">
        <f t="shared" si="33"/>
        <v/>
      </c>
    </row>
    <row r="2154" spans="1:1" x14ac:dyDescent="0.55000000000000004">
      <c r="A2154" t="str">
        <f t="shared" si="33"/>
        <v/>
      </c>
    </row>
    <row r="2155" spans="1:1" x14ac:dyDescent="0.55000000000000004">
      <c r="A2155" t="str">
        <f t="shared" si="33"/>
        <v/>
      </c>
    </row>
    <row r="2156" spans="1:1" x14ac:dyDescent="0.55000000000000004">
      <c r="A2156" t="str">
        <f t="shared" si="33"/>
        <v/>
      </c>
    </row>
    <row r="2157" spans="1:1" x14ac:dyDescent="0.55000000000000004">
      <c r="A2157" t="str">
        <f t="shared" si="33"/>
        <v/>
      </c>
    </row>
    <row r="2158" spans="1:1" x14ac:dyDescent="0.55000000000000004">
      <c r="A2158" t="str">
        <f t="shared" si="33"/>
        <v/>
      </c>
    </row>
    <row r="2159" spans="1:1" x14ac:dyDescent="0.55000000000000004">
      <c r="A2159" t="str">
        <f t="shared" si="33"/>
        <v/>
      </c>
    </row>
    <row r="2160" spans="1:1" x14ac:dyDescent="0.55000000000000004">
      <c r="A2160" t="str">
        <f t="shared" si="33"/>
        <v/>
      </c>
    </row>
    <row r="2161" spans="1:1" x14ac:dyDescent="0.55000000000000004">
      <c r="A2161" t="str">
        <f t="shared" si="33"/>
        <v/>
      </c>
    </row>
    <row r="2162" spans="1:1" x14ac:dyDescent="0.55000000000000004">
      <c r="A2162" t="str">
        <f t="shared" si="33"/>
        <v/>
      </c>
    </row>
    <row r="2163" spans="1:1" x14ac:dyDescent="0.55000000000000004">
      <c r="A2163" t="str">
        <f t="shared" si="33"/>
        <v/>
      </c>
    </row>
    <row r="2164" spans="1:1" x14ac:dyDescent="0.55000000000000004">
      <c r="A2164" t="str">
        <f t="shared" si="33"/>
        <v/>
      </c>
    </row>
    <row r="2165" spans="1:1" x14ac:dyDescent="0.55000000000000004">
      <c r="A2165" t="str">
        <f t="shared" si="33"/>
        <v/>
      </c>
    </row>
    <row r="2166" spans="1:1" x14ac:dyDescent="0.55000000000000004">
      <c r="A2166" t="str">
        <f t="shared" si="33"/>
        <v/>
      </c>
    </row>
    <row r="2167" spans="1:1" x14ac:dyDescent="0.55000000000000004">
      <c r="A2167" t="str">
        <f t="shared" si="33"/>
        <v/>
      </c>
    </row>
    <row r="2168" spans="1:1" x14ac:dyDescent="0.55000000000000004">
      <c r="A2168" t="str">
        <f t="shared" si="33"/>
        <v/>
      </c>
    </row>
    <row r="2169" spans="1:1" x14ac:dyDescent="0.55000000000000004">
      <c r="A2169" t="str">
        <f t="shared" si="33"/>
        <v/>
      </c>
    </row>
    <row r="2170" spans="1:1" x14ac:dyDescent="0.55000000000000004">
      <c r="A2170" t="str">
        <f t="shared" si="33"/>
        <v/>
      </c>
    </row>
    <row r="2171" spans="1:1" x14ac:dyDescent="0.55000000000000004">
      <c r="A2171" t="str">
        <f t="shared" si="33"/>
        <v/>
      </c>
    </row>
    <row r="2172" spans="1:1" x14ac:dyDescent="0.55000000000000004">
      <c r="A2172" t="str">
        <f t="shared" si="33"/>
        <v/>
      </c>
    </row>
    <row r="2173" spans="1:1" x14ac:dyDescent="0.55000000000000004">
      <c r="A2173" t="str">
        <f t="shared" si="33"/>
        <v/>
      </c>
    </row>
    <row r="2174" spans="1:1" x14ac:dyDescent="0.55000000000000004">
      <c r="A2174" t="str">
        <f t="shared" si="33"/>
        <v/>
      </c>
    </row>
    <row r="2175" spans="1:1" x14ac:dyDescent="0.55000000000000004">
      <c r="A2175" t="str">
        <f t="shared" si="33"/>
        <v/>
      </c>
    </row>
    <row r="2176" spans="1:1" x14ac:dyDescent="0.55000000000000004">
      <c r="A2176" t="str">
        <f t="shared" si="33"/>
        <v/>
      </c>
    </row>
    <row r="2177" spans="1:1" x14ac:dyDescent="0.55000000000000004">
      <c r="A2177" t="str">
        <f t="shared" si="33"/>
        <v/>
      </c>
    </row>
    <row r="2178" spans="1:1" x14ac:dyDescent="0.55000000000000004">
      <c r="A2178" t="str">
        <f t="shared" si="33"/>
        <v/>
      </c>
    </row>
    <row r="2179" spans="1:1" x14ac:dyDescent="0.55000000000000004">
      <c r="A2179" t="str">
        <f t="shared" ref="A2179:A2242" si="34">H2179&amp;I2179&amp;J2179</f>
        <v/>
      </c>
    </row>
    <row r="2180" spans="1:1" x14ac:dyDescent="0.55000000000000004">
      <c r="A2180" t="str">
        <f t="shared" si="34"/>
        <v/>
      </c>
    </row>
    <row r="2181" spans="1:1" x14ac:dyDescent="0.55000000000000004">
      <c r="A2181" t="str">
        <f t="shared" si="34"/>
        <v/>
      </c>
    </row>
    <row r="2182" spans="1:1" x14ac:dyDescent="0.55000000000000004">
      <c r="A2182" t="str">
        <f t="shared" si="34"/>
        <v/>
      </c>
    </row>
    <row r="2183" spans="1:1" x14ac:dyDescent="0.55000000000000004">
      <c r="A2183" t="str">
        <f t="shared" si="34"/>
        <v/>
      </c>
    </row>
    <row r="2184" spans="1:1" x14ac:dyDescent="0.55000000000000004">
      <c r="A2184" t="str">
        <f t="shared" si="34"/>
        <v/>
      </c>
    </row>
    <row r="2185" spans="1:1" x14ac:dyDescent="0.55000000000000004">
      <c r="A2185" t="str">
        <f t="shared" si="34"/>
        <v/>
      </c>
    </row>
    <row r="2186" spans="1:1" x14ac:dyDescent="0.55000000000000004">
      <c r="A2186" t="str">
        <f t="shared" si="34"/>
        <v/>
      </c>
    </row>
    <row r="2187" spans="1:1" x14ac:dyDescent="0.55000000000000004">
      <c r="A2187" t="str">
        <f t="shared" si="34"/>
        <v/>
      </c>
    </row>
    <row r="2188" spans="1:1" x14ac:dyDescent="0.55000000000000004">
      <c r="A2188" t="str">
        <f t="shared" si="34"/>
        <v/>
      </c>
    </row>
    <row r="2189" spans="1:1" x14ac:dyDescent="0.55000000000000004">
      <c r="A2189" t="str">
        <f t="shared" si="34"/>
        <v/>
      </c>
    </row>
    <row r="2190" spans="1:1" x14ac:dyDescent="0.55000000000000004">
      <c r="A2190" t="str">
        <f t="shared" si="34"/>
        <v/>
      </c>
    </row>
    <row r="2191" spans="1:1" x14ac:dyDescent="0.55000000000000004">
      <c r="A2191" t="str">
        <f t="shared" si="34"/>
        <v/>
      </c>
    </row>
    <row r="2192" spans="1:1" x14ac:dyDescent="0.55000000000000004">
      <c r="A2192" t="str">
        <f t="shared" si="34"/>
        <v/>
      </c>
    </row>
    <row r="2193" spans="1:1" x14ac:dyDescent="0.55000000000000004">
      <c r="A2193" t="str">
        <f t="shared" si="34"/>
        <v/>
      </c>
    </row>
    <row r="2194" spans="1:1" x14ac:dyDescent="0.55000000000000004">
      <c r="A2194" t="str">
        <f t="shared" si="34"/>
        <v/>
      </c>
    </row>
    <row r="2195" spans="1:1" x14ac:dyDescent="0.55000000000000004">
      <c r="A2195" t="str">
        <f t="shared" si="34"/>
        <v/>
      </c>
    </row>
    <row r="2196" spans="1:1" x14ac:dyDescent="0.55000000000000004">
      <c r="A2196" t="str">
        <f t="shared" si="34"/>
        <v/>
      </c>
    </row>
    <row r="2197" spans="1:1" x14ac:dyDescent="0.55000000000000004">
      <c r="A2197" t="str">
        <f t="shared" si="34"/>
        <v/>
      </c>
    </row>
    <row r="2198" spans="1:1" x14ac:dyDescent="0.55000000000000004">
      <c r="A2198" t="str">
        <f t="shared" si="34"/>
        <v/>
      </c>
    </row>
    <row r="2199" spans="1:1" x14ac:dyDescent="0.55000000000000004">
      <c r="A2199" t="str">
        <f t="shared" si="34"/>
        <v/>
      </c>
    </row>
    <row r="2200" spans="1:1" x14ac:dyDescent="0.55000000000000004">
      <c r="A2200" t="str">
        <f t="shared" si="34"/>
        <v/>
      </c>
    </row>
    <row r="2201" spans="1:1" x14ac:dyDescent="0.55000000000000004">
      <c r="A2201" t="str">
        <f t="shared" si="34"/>
        <v/>
      </c>
    </row>
    <row r="2202" spans="1:1" x14ac:dyDescent="0.55000000000000004">
      <c r="A2202" t="str">
        <f t="shared" si="34"/>
        <v/>
      </c>
    </row>
    <row r="2203" spans="1:1" x14ac:dyDescent="0.55000000000000004">
      <c r="A2203" t="str">
        <f t="shared" si="34"/>
        <v/>
      </c>
    </row>
    <row r="2204" spans="1:1" x14ac:dyDescent="0.55000000000000004">
      <c r="A2204" t="str">
        <f t="shared" si="34"/>
        <v/>
      </c>
    </row>
    <row r="2205" spans="1:1" x14ac:dyDescent="0.55000000000000004">
      <c r="A2205" t="str">
        <f t="shared" si="34"/>
        <v/>
      </c>
    </row>
    <row r="2206" spans="1:1" x14ac:dyDescent="0.55000000000000004">
      <c r="A2206" t="str">
        <f t="shared" si="34"/>
        <v/>
      </c>
    </row>
    <row r="2207" spans="1:1" x14ac:dyDescent="0.55000000000000004">
      <c r="A2207" t="str">
        <f t="shared" si="34"/>
        <v/>
      </c>
    </row>
    <row r="2208" spans="1:1" x14ac:dyDescent="0.55000000000000004">
      <c r="A2208" t="str">
        <f t="shared" si="34"/>
        <v/>
      </c>
    </row>
    <row r="2209" spans="1:1" x14ac:dyDescent="0.55000000000000004">
      <c r="A2209" t="str">
        <f t="shared" si="34"/>
        <v/>
      </c>
    </row>
    <row r="2210" spans="1:1" x14ac:dyDescent="0.55000000000000004">
      <c r="A2210" t="str">
        <f t="shared" si="34"/>
        <v/>
      </c>
    </row>
    <row r="2211" spans="1:1" x14ac:dyDescent="0.55000000000000004">
      <c r="A2211" t="str">
        <f t="shared" si="34"/>
        <v/>
      </c>
    </row>
    <row r="2212" spans="1:1" x14ac:dyDescent="0.55000000000000004">
      <c r="A2212" t="str">
        <f t="shared" si="34"/>
        <v/>
      </c>
    </row>
    <row r="2213" spans="1:1" x14ac:dyDescent="0.55000000000000004">
      <c r="A2213" t="str">
        <f t="shared" si="34"/>
        <v/>
      </c>
    </row>
    <row r="2214" spans="1:1" x14ac:dyDescent="0.55000000000000004">
      <c r="A2214" t="str">
        <f t="shared" si="34"/>
        <v/>
      </c>
    </row>
    <row r="2215" spans="1:1" x14ac:dyDescent="0.55000000000000004">
      <c r="A2215" t="str">
        <f t="shared" si="34"/>
        <v/>
      </c>
    </row>
    <row r="2216" spans="1:1" x14ac:dyDescent="0.55000000000000004">
      <c r="A2216" t="str">
        <f t="shared" si="34"/>
        <v/>
      </c>
    </row>
    <row r="2217" spans="1:1" x14ac:dyDescent="0.55000000000000004">
      <c r="A2217" t="str">
        <f t="shared" si="34"/>
        <v/>
      </c>
    </row>
    <row r="2218" spans="1:1" x14ac:dyDescent="0.55000000000000004">
      <c r="A2218" t="str">
        <f t="shared" si="34"/>
        <v/>
      </c>
    </row>
    <row r="2219" spans="1:1" x14ac:dyDescent="0.55000000000000004">
      <c r="A2219" t="str">
        <f t="shared" si="34"/>
        <v/>
      </c>
    </row>
    <row r="2220" spans="1:1" x14ac:dyDescent="0.55000000000000004">
      <c r="A2220" t="str">
        <f t="shared" si="34"/>
        <v/>
      </c>
    </row>
    <row r="2221" spans="1:1" x14ac:dyDescent="0.55000000000000004">
      <c r="A2221" t="str">
        <f t="shared" si="34"/>
        <v/>
      </c>
    </row>
    <row r="2222" spans="1:1" x14ac:dyDescent="0.55000000000000004">
      <c r="A2222" t="str">
        <f t="shared" si="34"/>
        <v/>
      </c>
    </row>
    <row r="2223" spans="1:1" x14ac:dyDescent="0.55000000000000004">
      <c r="A2223" t="str">
        <f t="shared" si="34"/>
        <v/>
      </c>
    </row>
    <row r="2224" spans="1:1" x14ac:dyDescent="0.55000000000000004">
      <c r="A2224" t="str">
        <f t="shared" si="34"/>
        <v/>
      </c>
    </row>
    <row r="2225" spans="1:1" x14ac:dyDescent="0.55000000000000004">
      <c r="A2225" t="str">
        <f t="shared" si="34"/>
        <v/>
      </c>
    </row>
    <row r="2226" spans="1:1" x14ac:dyDescent="0.55000000000000004">
      <c r="A2226" t="str">
        <f t="shared" si="34"/>
        <v/>
      </c>
    </row>
    <row r="2227" spans="1:1" x14ac:dyDescent="0.55000000000000004">
      <c r="A2227" t="str">
        <f t="shared" si="34"/>
        <v/>
      </c>
    </row>
    <row r="2228" spans="1:1" x14ac:dyDescent="0.55000000000000004">
      <c r="A2228" t="str">
        <f t="shared" si="34"/>
        <v/>
      </c>
    </row>
    <row r="2229" spans="1:1" x14ac:dyDescent="0.55000000000000004">
      <c r="A2229" t="str">
        <f t="shared" si="34"/>
        <v/>
      </c>
    </row>
    <row r="2230" spans="1:1" x14ac:dyDescent="0.55000000000000004">
      <c r="A2230" t="str">
        <f t="shared" si="34"/>
        <v/>
      </c>
    </row>
    <row r="2231" spans="1:1" x14ac:dyDescent="0.55000000000000004">
      <c r="A2231" t="str">
        <f t="shared" si="34"/>
        <v/>
      </c>
    </row>
    <row r="2232" spans="1:1" x14ac:dyDescent="0.55000000000000004">
      <c r="A2232" t="str">
        <f t="shared" si="34"/>
        <v/>
      </c>
    </row>
    <row r="2233" spans="1:1" x14ac:dyDescent="0.55000000000000004">
      <c r="A2233" t="str">
        <f t="shared" si="34"/>
        <v/>
      </c>
    </row>
    <row r="2234" spans="1:1" x14ac:dyDescent="0.55000000000000004">
      <c r="A2234" t="str">
        <f t="shared" si="34"/>
        <v/>
      </c>
    </row>
    <row r="2235" spans="1:1" x14ac:dyDescent="0.55000000000000004">
      <c r="A2235" t="str">
        <f t="shared" si="34"/>
        <v/>
      </c>
    </row>
    <row r="2236" spans="1:1" x14ac:dyDescent="0.55000000000000004">
      <c r="A2236" t="str">
        <f t="shared" si="34"/>
        <v/>
      </c>
    </row>
    <row r="2237" spans="1:1" x14ac:dyDescent="0.55000000000000004">
      <c r="A2237" t="str">
        <f t="shared" si="34"/>
        <v/>
      </c>
    </row>
    <row r="2238" spans="1:1" x14ac:dyDescent="0.55000000000000004">
      <c r="A2238" t="str">
        <f t="shared" si="34"/>
        <v/>
      </c>
    </row>
    <row r="2239" spans="1:1" x14ac:dyDescent="0.55000000000000004">
      <c r="A2239" t="str">
        <f t="shared" si="34"/>
        <v/>
      </c>
    </row>
    <row r="2240" spans="1:1" x14ac:dyDescent="0.55000000000000004">
      <c r="A2240" t="str">
        <f t="shared" si="34"/>
        <v/>
      </c>
    </row>
    <row r="2241" spans="1:1" x14ac:dyDescent="0.55000000000000004">
      <c r="A2241" t="str">
        <f t="shared" si="34"/>
        <v/>
      </c>
    </row>
    <row r="2242" spans="1:1" x14ac:dyDescent="0.55000000000000004">
      <c r="A2242" t="str">
        <f t="shared" si="34"/>
        <v/>
      </c>
    </row>
    <row r="2243" spans="1:1" x14ac:dyDescent="0.55000000000000004">
      <c r="A2243" t="str">
        <f t="shared" ref="A2243:A2306" si="35">H2243&amp;I2243&amp;J2243</f>
        <v/>
      </c>
    </row>
    <row r="2244" spans="1:1" x14ac:dyDescent="0.55000000000000004">
      <c r="A2244" t="str">
        <f t="shared" si="35"/>
        <v/>
      </c>
    </row>
    <row r="2245" spans="1:1" x14ac:dyDescent="0.55000000000000004">
      <c r="A2245" t="str">
        <f t="shared" si="35"/>
        <v/>
      </c>
    </row>
    <row r="2246" spans="1:1" x14ac:dyDescent="0.55000000000000004">
      <c r="A2246" t="str">
        <f t="shared" si="35"/>
        <v/>
      </c>
    </row>
    <row r="2247" spans="1:1" x14ac:dyDescent="0.55000000000000004">
      <c r="A2247" t="str">
        <f t="shared" si="35"/>
        <v/>
      </c>
    </row>
    <row r="2248" spans="1:1" x14ac:dyDescent="0.55000000000000004">
      <c r="A2248" t="str">
        <f t="shared" si="35"/>
        <v/>
      </c>
    </row>
    <row r="2249" spans="1:1" x14ac:dyDescent="0.55000000000000004">
      <c r="A2249" t="str">
        <f t="shared" si="35"/>
        <v/>
      </c>
    </row>
    <row r="2250" spans="1:1" x14ac:dyDescent="0.55000000000000004">
      <c r="A2250" t="str">
        <f t="shared" si="35"/>
        <v/>
      </c>
    </row>
    <row r="2251" spans="1:1" x14ac:dyDescent="0.55000000000000004">
      <c r="A2251" t="str">
        <f t="shared" si="35"/>
        <v/>
      </c>
    </row>
    <row r="2252" spans="1:1" x14ac:dyDescent="0.55000000000000004">
      <c r="A2252" t="str">
        <f t="shared" si="35"/>
        <v/>
      </c>
    </row>
    <row r="2253" spans="1:1" x14ac:dyDescent="0.55000000000000004">
      <c r="A2253" t="str">
        <f t="shared" si="35"/>
        <v/>
      </c>
    </row>
    <row r="2254" spans="1:1" x14ac:dyDescent="0.55000000000000004">
      <c r="A2254" t="str">
        <f t="shared" si="35"/>
        <v/>
      </c>
    </row>
    <row r="2255" spans="1:1" x14ac:dyDescent="0.55000000000000004">
      <c r="A2255" t="str">
        <f t="shared" si="35"/>
        <v/>
      </c>
    </row>
    <row r="2256" spans="1:1" x14ac:dyDescent="0.55000000000000004">
      <c r="A2256" t="str">
        <f t="shared" si="35"/>
        <v/>
      </c>
    </row>
    <row r="2257" spans="1:1" x14ac:dyDescent="0.55000000000000004">
      <c r="A2257" t="str">
        <f t="shared" si="35"/>
        <v/>
      </c>
    </row>
    <row r="2258" spans="1:1" x14ac:dyDescent="0.55000000000000004">
      <c r="A2258" t="str">
        <f t="shared" si="35"/>
        <v/>
      </c>
    </row>
    <row r="2259" spans="1:1" x14ac:dyDescent="0.55000000000000004">
      <c r="A2259" t="str">
        <f t="shared" si="35"/>
        <v/>
      </c>
    </row>
    <row r="2260" spans="1:1" x14ac:dyDescent="0.55000000000000004">
      <c r="A2260" t="str">
        <f t="shared" si="35"/>
        <v/>
      </c>
    </row>
    <row r="2261" spans="1:1" x14ac:dyDescent="0.55000000000000004">
      <c r="A2261" t="str">
        <f t="shared" si="35"/>
        <v/>
      </c>
    </row>
    <row r="2262" spans="1:1" x14ac:dyDescent="0.55000000000000004">
      <c r="A2262" t="str">
        <f t="shared" si="35"/>
        <v/>
      </c>
    </row>
    <row r="2263" spans="1:1" x14ac:dyDescent="0.55000000000000004">
      <c r="A2263" t="str">
        <f t="shared" si="35"/>
        <v/>
      </c>
    </row>
    <row r="2264" spans="1:1" x14ac:dyDescent="0.55000000000000004">
      <c r="A2264" t="str">
        <f t="shared" si="35"/>
        <v/>
      </c>
    </row>
    <row r="2265" spans="1:1" x14ac:dyDescent="0.55000000000000004">
      <c r="A2265" t="str">
        <f t="shared" si="35"/>
        <v/>
      </c>
    </row>
    <row r="2266" spans="1:1" x14ac:dyDescent="0.55000000000000004">
      <c r="A2266" t="str">
        <f t="shared" si="35"/>
        <v/>
      </c>
    </row>
    <row r="2267" spans="1:1" x14ac:dyDescent="0.55000000000000004">
      <c r="A2267" t="str">
        <f t="shared" si="35"/>
        <v/>
      </c>
    </row>
    <row r="2268" spans="1:1" x14ac:dyDescent="0.55000000000000004">
      <c r="A2268" t="str">
        <f t="shared" si="35"/>
        <v/>
      </c>
    </row>
    <row r="2269" spans="1:1" x14ac:dyDescent="0.55000000000000004">
      <c r="A2269" t="str">
        <f t="shared" si="35"/>
        <v/>
      </c>
    </row>
    <row r="2270" spans="1:1" x14ac:dyDescent="0.55000000000000004">
      <c r="A2270" t="str">
        <f t="shared" si="35"/>
        <v/>
      </c>
    </row>
    <row r="2271" spans="1:1" x14ac:dyDescent="0.55000000000000004">
      <c r="A2271" t="str">
        <f t="shared" si="35"/>
        <v/>
      </c>
    </row>
    <row r="2272" spans="1:1" x14ac:dyDescent="0.55000000000000004">
      <c r="A2272" t="str">
        <f t="shared" si="35"/>
        <v/>
      </c>
    </row>
    <row r="2273" spans="1:1" x14ac:dyDescent="0.55000000000000004">
      <c r="A2273" t="str">
        <f t="shared" si="35"/>
        <v/>
      </c>
    </row>
    <row r="2274" spans="1:1" x14ac:dyDescent="0.55000000000000004">
      <c r="A2274" t="str">
        <f t="shared" si="35"/>
        <v/>
      </c>
    </row>
    <row r="2275" spans="1:1" x14ac:dyDescent="0.55000000000000004">
      <c r="A2275" t="str">
        <f t="shared" si="35"/>
        <v/>
      </c>
    </row>
    <row r="2276" spans="1:1" x14ac:dyDescent="0.55000000000000004">
      <c r="A2276" t="str">
        <f t="shared" si="35"/>
        <v/>
      </c>
    </row>
    <row r="2277" spans="1:1" x14ac:dyDescent="0.55000000000000004">
      <c r="A2277" t="str">
        <f t="shared" si="35"/>
        <v/>
      </c>
    </row>
    <row r="2278" spans="1:1" x14ac:dyDescent="0.55000000000000004">
      <c r="A2278" t="str">
        <f t="shared" si="35"/>
        <v/>
      </c>
    </row>
    <row r="2279" spans="1:1" x14ac:dyDescent="0.55000000000000004">
      <c r="A2279" t="str">
        <f t="shared" si="35"/>
        <v/>
      </c>
    </row>
    <row r="2280" spans="1:1" x14ac:dyDescent="0.55000000000000004">
      <c r="A2280" t="str">
        <f t="shared" si="35"/>
        <v/>
      </c>
    </row>
    <row r="2281" spans="1:1" x14ac:dyDescent="0.55000000000000004">
      <c r="A2281" t="str">
        <f t="shared" si="35"/>
        <v/>
      </c>
    </row>
    <row r="2282" spans="1:1" x14ac:dyDescent="0.55000000000000004">
      <c r="A2282" t="str">
        <f t="shared" si="35"/>
        <v/>
      </c>
    </row>
    <row r="2283" spans="1:1" x14ac:dyDescent="0.55000000000000004">
      <c r="A2283" t="str">
        <f t="shared" si="35"/>
        <v/>
      </c>
    </row>
    <row r="2284" spans="1:1" x14ac:dyDescent="0.55000000000000004">
      <c r="A2284" t="str">
        <f t="shared" si="35"/>
        <v/>
      </c>
    </row>
    <row r="2285" spans="1:1" x14ac:dyDescent="0.55000000000000004">
      <c r="A2285" t="str">
        <f t="shared" si="35"/>
        <v/>
      </c>
    </row>
    <row r="2286" spans="1:1" x14ac:dyDescent="0.55000000000000004">
      <c r="A2286" t="str">
        <f t="shared" si="35"/>
        <v/>
      </c>
    </row>
    <row r="2287" spans="1:1" x14ac:dyDescent="0.55000000000000004">
      <c r="A2287" t="str">
        <f t="shared" si="35"/>
        <v/>
      </c>
    </row>
    <row r="2288" spans="1:1" x14ac:dyDescent="0.55000000000000004">
      <c r="A2288" t="str">
        <f t="shared" si="35"/>
        <v/>
      </c>
    </row>
    <row r="2289" spans="1:1" x14ac:dyDescent="0.55000000000000004">
      <c r="A2289" t="str">
        <f t="shared" si="35"/>
        <v/>
      </c>
    </row>
    <row r="2290" spans="1:1" x14ac:dyDescent="0.55000000000000004">
      <c r="A2290" t="str">
        <f t="shared" si="35"/>
        <v/>
      </c>
    </row>
    <row r="2291" spans="1:1" x14ac:dyDescent="0.55000000000000004">
      <c r="A2291" t="str">
        <f t="shared" si="35"/>
        <v/>
      </c>
    </row>
    <row r="2292" spans="1:1" x14ac:dyDescent="0.55000000000000004">
      <c r="A2292" t="str">
        <f t="shared" si="35"/>
        <v/>
      </c>
    </row>
    <row r="2293" spans="1:1" x14ac:dyDescent="0.55000000000000004">
      <c r="A2293" t="str">
        <f t="shared" si="35"/>
        <v/>
      </c>
    </row>
    <row r="2294" spans="1:1" x14ac:dyDescent="0.55000000000000004">
      <c r="A2294" t="str">
        <f t="shared" si="35"/>
        <v/>
      </c>
    </row>
    <row r="2295" spans="1:1" x14ac:dyDescent="0.55000000000000004">
      <c r="A2295" t="str">
        <f t="shared" si="35"/>
        <v/>
      </c>
    </row>
    <row r="2296" spans="1:1" x14ac:dyDescent="0.55000000000000004">
      <c r="A2296" t="str">
        <f t="shared" si="35"/>
        <v/>
      </c>
    </row>
    <row r="2297" spans="1:1" x14ac:dyDescent="0.55000000000000004">
      <c r="A2297" t="str">
        <f t="shared" si="35"/>
        <v/>
      </c>
    </row>
    <row r="2298" spans="1:1" x14ac:dyDescent="0.55000000000000004">
      <c r="A2298" t="str">
        <f t="shared" si="35"/>
        <v/>
      </c>
    </row>
    <row r="2299" spans="1:1" x14ac:dyDescent="0.55000000000000004">
      <c r="A2299" t="str">
        <f t="shared" si="35"/>
        <v/>
      </c>
    </row>
    <row r="2300" spans="1:1" x14ac:dyDescent="0.55000000000000004">
      <c r="A2300" t="str">
        <f t="shared" si="35"/>
        <v/>
      </c>
    </row>
    <row r="2301" spans="1:1" x14ac:dyDescent="0.55000000000000004">
      <c r="A2301" t="str">
        <f t="shared" si="35"/>
        <v/>
      </c>
    </row>
    <row r="2302" spans="1:1" x14ac:dyDescent="0.55000000000000004">
      <c r="A2302" t="str">
        <f t="shared" si="35"/>
        <v/>
      </c>
    </row>
    <row r="2303" spans="1:1" x14ac:dyDescent="0.55000000000000004">
      <c r="A2303" t="str">
        <f t="shared" si="35"/>
        <v/>
      </c>
    </row>
    <row r="2304" spans="1:1" x14ac:dyDescent="0.55000000000000004">
      <c r="A2304" t="str">
        <f t="shared" si="35"/>
        <v/>
      </c>
    </row>
    <row r="2305" spans="1:1" x14ac:dyDescent="0.55000000000000004">
      <c r="A2305" t="str">
        <f t="shared" si="35"/>
        <v/>
      </c>
    </row>
    <row r="2306" spans="1:1" x14ac:dyDescent="0.55000000000000004">
      <c r="A2306" t="str">
        <f t="shared" si="35"/>
        <v/>
      </c>
    </row>
    <row r="2307" spans="1:1" x14ac:dyDescent="0.55000000000000004">
      <c r="A2307" t="str">
        <f t="shared" ref="A2307:A2370" si="36">H2307&amp;I2307&amp;J2307</f>
        <v/>
      </c>
    </row>
    <row r="2308" spans="1:1" x14ac:dyDescent="0.55000000000000004">
      <c r="A2308" t="str">
        <f t="shared" si="36"/>
        <v/>
      </c>
    </row>
    <row r="2309" spans="1:1" x14ac:dyDescent="0.55000000000000004">
      <c r="A2309" t="str">
        <f t="shared" si="36"/>
        <v/>
      </c>
    </row>
    <row r="2310" spans="1:1" x14ac:dyDescent="0.55000000000000004">
      <c r="A2310" t="str">
        <f t="shared" si="36"/>
        <v/>
      </c>
    </row>
    <row r="2311" spans="1:1" x14ac:dyDescent="0.55000000000000004">
      <c r="A2311" t="str">
        <f t="shared" si="36"/>
        <v/>
      </c>
    </row>
    <row r="2312" spans="1:1" x14ac:dyDescent="0.55000000000000004">
      <c r="A2312" t="str">
        <f t="shared" si="36"/>
        <v/>
      </c>
    </row>
    <row r="2313" spans="1:1" x14ac:dyDescent="0.55000000000000004">
      <c r="A2313" t="str">
        <f t="shared" si="36"/>
        <v/>
      </c>
    </row>
    <row r="2314" spans="1:1" x14ac:dyDescent="0.55000000000000004">
      <c r="A2314" t="str">
        <f t="shared" si="36"/>
        <v/>
      </c>
    </row>
    <row r="2315" spans="1:1" x14ac:dyDescent="0.55000000000000004">
      <c r="A2315" t="str">
        <f t="shared" si="36"/>
        <v/>
      </c>
    </row>
    <row r="2316" spans="1:1" x14ac:dyDescent="0.55000000000000004">
      <c r="A2316" t="str">
        <f t="shared" si="36"/>
        <v/>
      </c>
    </row>
    <row r="2317" spans="1:1" x14ac:dyDescent="0.55000000000000004">
      <c r="A2317" t="str">
        <f t="shared" si="36"/>
        <v/>
      </c>
    </row>
    <row r="2318" spans="1:1" x14ac:dyDescent="0.55000000000000004">
      <c r="A2318" t="str">
        <f t="shared" si="36"/>
        <v/>
      </c>
    </row>
    <row r="2319" spans="1:1" x14ac:dyDescent="0.55000000000000004">
      <c r="A2319" t="str">
        <f t="shared" si="36"/>
        <v/>
      </c>
    </row>
    <row r="2320" spans="1:1" x14ac:dyDescent="0.55000000000000004">
      <c r="A2320" t="str">
        <f t="shared" si="36"/>
        <v/>
      </c>
    </row>
    <row r="2321" spans="1:1" x14ac:dyDescent="0.55000000000000004">
      <c r="A2321" t="str">
        <f t="shared" si="36"/>
        <v/>
      </c>
    </row>
    <row r="2322" spans="1:1" x14ac:dyDescent="0.55000000000000004">
      <c r="A2322" t="str">
        <f t="shared" si="36"/>
        <v/>
      </c>
    </row>
    <row r="2323" spans="1:1" x14ac:dyDescent="0.55000000000000004">
      <c r="A2323" t="str">
        <f t="shared" si="36"/>
        <v/>
      </c>
    </row>
    <row r="2324" spans="1:1" x14ac:dyDescent="0.55000000000000004">
      <c r="A2324" t="str">
        <f t="shared" si="36"/>
        <v/>
      </c>
    </row>
    <row r="2325" spans="1:1" x14ac:dyDescent="0.55000000000000004">
      <c r="A2325" t="str">
        <f t="shared" si="36"/>
        <v/>
      </c>
    </row>
    <row r="2326" spans="1:1" x14ac:dyDescent="0.55000000000000004">
      <c r="A2326" t="str">
        <f t="shared" si="36"/>
        <v/>
      </c>
    </row>
    <row r="2327" spans="1:1" x14ac:dyDescent="0.55000000000000004">
      <c r="A2327" t="str">
        <f t="shared" si="36"/>
        <v/>
      </c>
    </row>
    <row r="2328" spans="1:1" x14ac:dyDescent="0.55000000000000004">
      <c r="A2328" t="str">
        <f t="shared" si="36"/>
        <v/>
      </c>
    </row>
    <row r="2329" spans="1:1" x14ac:dyDescent="0.55000000000000004">
      <c r="A2329" t="str">
        <f t="shared" si="36"/>
        <v/>
      </c>
    </row>
    <row r="2330" spans="1:1" x14ac:dyDescent="0.55000000000000004">
      <c r="A2330" t="str">
        <f t="shared" si="36"/>
        <v/>
      </c>
    </row>
    <row r="2331" spans="1:1" x14ac:dyDescent="0.55000000000000004">
      <c r="A2331" t="str">
        <f t="shared" si="36"/>
        <v/>
      </c>
    </row>
    <row r="2332" spans="1:1" x14ac:dyDescent="0.55000000000000004">
      <c r="A2332" t="str">
        <f t="shared" si="36"/>
        <v/>
      </c>
    </row>
    <row r="2333" spans="1:1" x14ac:dyDescent="0.55000000000000004">
      <c r="A2333" t="str">
        <f t="shared" si="36"/>
        <v/>
      </c>
    </row>
    <row r="2334" spans="1:1" x14ac:dyDescent="0.55000000000000004">
      <c r="A2334" t="str">
        <f t="shared" si="36"/>
        <v/>
      </c>
    </row>
    <row r="2335" spans="1:1" x14ac:dyDescent="0.55000000000000004">
      <c r="A2335" t="str">
        <f t="shared" si="36"/>
        <v/>
      </c>
    </row>
    <row r="2336" spans="1:1" x14ac:dyDescent="0.55000000000000004">
      <c r="A2336" t="str">
        <f t="shared" si="36"/>
        <v/>
      </c>
    </row>
    <row r="2337" spans="1:1" x14ac:dyDescent="0.55000000000000004">
      <c r="A2337" t="str">
        <f t="shared" si="36"/>
        <v/>
      </c>
    </row>
    <row r="2338" spans="1:1" x14ac:dyDescent="0.55000000000000004">
      <c r="A2338" t="str">
        <f t="shared" si="36"/>
        <v/>
      </c>
    </row>
    <row r="2339" spans="1:1" x14ac:dyDescent="0.55000000000000004">
      <c r="A2339" t="str">
        <f t="shared" si="36"/>
        <v/>
      </c>
    </row>
    <row r="2340" spans="1:1" x14ac:dyDescent="0.55000000000000004">
      <c r="A2340" t="str">
        <f t="shared" si="36"/>
        <v/>
      </c>
    </row>
    <row r="2341" spans="1:1" x14ac:dyDescent="0.55000000000000004">
      <c r="A2341" t="str">
        <f t="shared" si="36"/>
        <v/>
      </c>
    </row>
    <row r="2342" spans="1:1" x14ac:dyDescent="0.55000000000000004">
      <c r="A2342" t="str">
        <f t="shared" si="36"/>
        <v/>
      </c>
    </row>
    <row r="2343" spans="1:1" x14ac:dyDescent="0.55000000000000004">
      <c r="A2343" t="str">
        <f t="shared" si="36"/>
        <v/>
      </c>
    </row>
    <row r="2344" spans="1:1" x14ac:dyDescent="0.55000000000000004">
      <c r="A2344" t="str">
        <f t="shared" si="36"/>
        <v/>
      </c>
    </row>
    <row r="2345" spans="1:1" x14ac:dyDescent="0.55000000000000004">
      <c r="A2345" t="str">
        <f t="shared" si="36"/>
        <v/>
      </c>
    </row>
    <row r="2346" spans="1:1" x14ac:dyDescent="0.55000000000000004">
      <c r="A2346" t="str">
        <f t="shared" si="36"/>
        <v/>
      </c>
    </row>
    <row r="2347" spans="1:1" x14ac:dyDescent="0.55000000000000004">
      <c r="A2347" t="str">
        <f t="shared" si="36"/>
        <v/>
      </c>
    </row>
    <row r="2348" spans="1:1" x14ac:dyDescent="0.55000000000000004">
      <c r="A2348" t="str">
        <f t="shared" si="36"/>
        <v/>
      </c>
    </row>
    <row r="2349" spans="1:1" x14ac:dyDescent="0.55000000000000004">
      <c r="A2349" t="str">
        <f t="shared" si="36"/>
        <v/>
      </c>
    </row>
    <row r="2350" spans="1:1" x14ac:dyDescent="0.55000000000000004">
      <c r="A2350" t="str">
        <f t="shared" si="36"/>
        <v/>
      </c>
    </row>
    <row r="2351" spans="1:1" x14ac:dyDescent="0.55000000000000004">
      <c r="A2351" t="str">
        <f t="shared" si="36"/>
        <v/>
      </c>
    </row>
    <row r="2352" spans="1:1" x14ac:dyDescent="0.55000000000000004">
      <c r="A2352" t="str">
        <f t="shared" si="36"/>
        <v/>
      </c>
    </row>
    <row r="2353" spans="1:1" x14ac:dyDescent="0.55000000000000004">
      <c r="A2353" t="str">
        <f t="shared" si="36"/>
        <v/>
      </c>
    </row>
    <row r="2354" spans="1:1" x14ac:dyDescent="0.55000000000000004">
      <c r="A2354" t="str">
        <f t="shared" si="36"/>
        <v/>
      </c>
    </row>
    <row r="2355" spans="1:1" x14ac:dyDescent="0.55000000000000004">
      <c r="A2355" t="str">
        <f t="shared" si="36"/>
        <v/>
      </c>
    </row>
    <row r="2356" spans="1:1" x14ac:dyDescent="0.55000000000000004">
      <c r="A2356" t="str">
        <f t="shared" si="36"/>
        <v/>
      </c>
    </row>
    <row r="2357" spans="1:1" x14ac:dyDescent="0.55000000000000004">
      <c r="A2357" t="str">
        <f t="shared" si="36"/>
        <v/>
      </c>
    </row>
    <row r="2358" spans="1:1" x14ac:dyDescent="0.55000000000000004">
      <c r="A2358" t="str">
        <f t="shared" si="36"/>
        <v/>
      </c>
    </row>
    <row r="2359" spans="1:1" x14ac:dyDescent="0.55000000000000004">
      <c r="A2359" t="str">
        <f t="shared" si="36"/>
        <v/>
      </c>
    </row>
    <row r="2360" spans="1:1" x14ac:dyDescent="0.55000000000000004">
      <c r="A2360" t="str">
        <f t="shared" si="36"/>
        <v/>
      </c>
    </row>
    <row r="2361" spans="1:1" x14ac:dyDescent="0.55000000000000004">
      <c r="A2361" t="str">
        <f t="shared" si="36"/>
        <v/>
      </c>
    </row>
    <row r="2362" spans="1:1" x14ac:dyDescent="0.55000000000000004">
      <c r="A2362" t="str">
        <f t="shared" si="36"/>
        <v/>
      </c>
    </row>
    <row r="2363" spans="1:1" x14ac:dyDescent="0.55000000000000004">
      <c r="A2363" t="str">
        <f t="shared" si="36"/>
        <v/>
      </c>
    </row>
    <row r="2364" spans="1:1" x14ac:dyDescent="0.55000000000000004">
      <c r="A2364" t="str">
        <f t="shared" si="36"/>
        <v/>
      </c>
    </row>
    <row r="2365" spans="1:1" x14ac:dyDescent="0.55000000000000004">
      <c r="A2365" t="str">
        <f t="shared" si="36"/>
        <v/>
      </c>
    </row>
    <row r="2366" spans="1:1" x14ac:dyDescent="0.55000000000000004">
      <c r="A2366" t="str">
        <f t="shared" si="36"/>
        <v/>
      </c>
    </row>
    <row r="2367" spans="1:1" x14ac:dyDescent="0.55000000000000004">
      <c r="A2367" t="str">
        <f t="shared" si="36"/>
        <v/>
      </c>
    </row>
    <row r="2368" spans="1:1" x14ac:dyDescent="0.55000000000000004">
      <c r="A2368" t="str">
        <f t="shared" si="36"/>
        <v/>
      </c>
    </row>
    <row r="2369" spans="1:1" x14ac:dyDescent="0.55000000000000004">
      <c r="A2369" t="str">
        <f t="shared" si="36"/>
        <v/>
      </c>
    </row>
    <row r="2370" spans="1:1" x14ac:dyDescent="0.55000000000000004">
      <c r="A2370" t="str">
        <f t="shared" si="36"/>
        <v/>
      </c>
    </row>
    <row r="2371" spans="1:1" x14ac:dyDescent="0.55000000000000004">
      <c r="A2371" t="str">
        <f t="shared" ref="A2371:A2434" si="37">H2371&amp;I2371&amp;J2371</f>
        <v/>
      </c>
    </row>
    <row r="2372" spans="1:1" x14ac:dyDescent="0.55000000000000004">
      <c r="A2372" t="str">
        <f t="shared" si="37"/>
        <v/>
      </c>
    </row>
    <row r="2373" spans="1:1" x14ac:dyDescent="0.55000000000000004">
      <c r="A2373" t="str">
        <f t="shared" si="37"/>
        <v/>
      </c>
    </row>
    <row r="2374" spans="1:1" x14ac:dyDescent="0.55000000000000004">
      <c r="A2374" t="str">
        <f t="shared" si="37"/>
        <v/>
      </c>
    </row>
    <row r="2375" spans="1:1" x14ac:dyDescent="0.55000000000000004">
      <c r="A2375" t="str">
        <f t="shared" si="37"/>
        <v/>
      </c>
    </row>
    <row r="2376" spans="1:1" x14ac:dyDescent="0.55000000000000004">
      <c r="A2376" t="str">
        <f t="shared" si="37"/>
        <v/>
      </c>
    </row>
    <row r="2377" spans="1:1" x14ac:dyDescent="0.55000000000000004">
      <c r="A2377" t="str">
        <f t="shared" si="37"/>
        <v/>
      </c>
    </row>
    <row r="2378" spans="1:1" x14ac:dyDescent="0.55000000000000004">
      <c r="A2378" t="str">
        <f t="shared" si="37"/>
        <v/>
      </c>
    </row>
    <row r="2379" spans="1:1" x14ac:dyDescent="0.55000000000000004">
      <c r="A2379" t="str">
        <f t="shared" si="37"/>
        <v/>
      </c>
    </row>
    <row r="2380" spans="1:1" x14ac:dyDescent="0.55000000000000004">
      <c r="A2380" t="str">
        <f t="shared" si="37"/>
        <v/>
      </c>
    </row>
    <row r="2381" spans="1:1" x14ac:dyDescent="0.55000000000000004">
      <c r="A2381" t="str">
        <f t="shared" si="37"/>
        <v/>
      </c>
    </row>
    <row r="2382" spans="1:1" x14ac:dyDescent="0.55000000000000004">
      <c r="A2382" t="str">
        <f t="shared" si="37"/>
        <v/>
      </c>
    </row>
    <row r="2383" spans="1:1" x14ac:dyDescent="0.55000000000000004">
      <c r="A2383" t="str">
        <f t="shared" si="37"/>
        <v/>
      </c>
    </row>
    <row r="2384" spans="1:1" x14ac:dyDescent="0.55000000000000004">
      <c r="A2384" t="str">
        <f t="shared" si="37"/>
        <v/>
      </c>
    </row>
    <row r="2385" spans="1:1" x14ac:dyDescent="0.55000000000000004">
      <c r="A2385" t="str">
        <f t="shared" si="37"/>
        <v/>
      </c>
    </row>
    <row r="2386" spans="1:1" x14ac:dyDescent="0.55000000000000004">
      <c r="A2386" t="str">
        <f t="shared" si="37"/>
        <v/>
      </c>
    </row>
    <row r="2387" spans="1:1" x14ac:dyDescent="0.55000000000000004">
      <c r="A2387" t="str">
        <f t="shared" si="37"/>
        <v/>
      </c>
    </row>
    <row r="2388" spans="1:1" x14ac:dyDescent="0.55000000000000004">
      <c r="A2388" t="str">
        <f t="shared" si="37"/>
        <v/>
      </c>
    </row>
    <row r="2389" spans="1:1" x14ac:dyDescent="0.55000000000000004">
      <c r="A2389" t="str">
        <f t="shared" si="37"/>
        <v/>
      </c>
    </row>
    <row r="2390" spans="1:1" x14ac:dyDescent="0.55000000000000004">
      <c r="A2390" t="str">
        <f t="shared" si="37"/>
        <v/>
      </c>
    </row>
    <row r="2391" spans="1:1" x14ac:dyDescent="0.55000000000000004">
      <c r="A2391" t="str">
        <f t="shared" si="37"/>
        <v/>
      </c>
    </row>
    <row r="2392" spans="1:1" x14ac:dyDescent="0.55000000000000004">
      <c r="A2392" t="str">
        <f t="shared" si="37"/>
        <v/>
      </c>
    </row>
    <row r="2393" spans="1:1" x14ac:dyDescent="0.55000000000000004">
      <c r="A2393" t="str">
        <f t="shared" si="37"/>
        <v/>
      </c>
    </row>
    <row r="2394" spans="1:1" x14ac:dyDescent="0.55000000000000004">
      <c r="A2394" t="str">
        <f t="shared" si="37"/>
        <v/>
      </c>
    </row>
    <row r="2395" spans="1:1" x14ac:dyDescent="0.55000000000000004">
      <c r="A2395" t="str">
        <f t="shared" si="37"/>
        <v/>
      </c>
    </row>
    <row r="2396" spans="1:1" x14ac:dyDescent="0.55000000000000004">
      <c r="A2396" t="str">
        <f t="shared" si="37"/>
        <v/>
      </c>
    </row>
    <row r="2397" spans="1:1" x14ac:dyDescent="0.55000000000000004">
      <c r="A2397" t="str">
        <f t="shared" si="37"/>
        <v/>
      </c>
    </row>
    <row r="2398" spans="1:1" x14ac:dyDescent="0.55000000000000004">
      <c r="A2398" t="str">
        <f t="shared" si="37"/>
        <v/>
      </c>
    </row>
    <row r="2399" spans="1:1" x14ac:dyDescent="0.55000000000000004">
      <c r="A2399" t="str">
        <f t="shared" si="37"/>
        <v/>
      </c>
    </row>
    <row r="2400" spans="1:1" x14ac:dyDescent="0.55000000000000004">
      <c r="A2400" t="str">
        <f t="shared" si="37"/>
        <v/>
      </c>
    </row>
    <row r="2401" spans="1:1" x14ac:dyDescent="0.55000000000000004">
      <c r="A2401" t="str">
        <f t="shared" si="37"/>
        <v/>
      </c>
    </row>
    <row r="2402" spans="1:1" x14ac:dyDescent="0.55000000000000004">
      <c r="A2402" t="str">
        <f t="shared" si="37"/>
        <v/>
      </c>
    </row>
    <row r="2403" spans="1:1" x14ac:dyDescent="0.55000000000000004">
      <c r="A2403" t="str">
        <f t="shared" si="37"/>
        <v/>
      </c>
    </row>
    <row r="2404" spans="1:1" x14ac:dyDescent="0.55000000000000004">
      <c r="A2404" t="str">
        <f t="shared" si="37"/>
        <v/>
      </c>
    </row>
    <row r="2405" spans="1:1" x14ac:dyDescent="0.55000000000000004">
      <c r="A2405" t="str">
        <f t="shared" si="37"/>
        <v/>
      </c>
    </row>
    <row r="2406" spans="1:1" x14ac:dyDescent="0.55000000000000004">
      <c r="A2406" t="str">
        <f t="shared" si="37"/>
        <v/>
      </c>
    </row>
    <row r="2407" spans="1:1" x14ac:dyDescent="0.55000000000000004">
      <c r="A2407" t="str">
        <f t="shared" si="37"/>
        <v/>
      </c>
    </row>
    <row r="2408" spans="1:1" x14ac:dyDescent="0.55000000000000004">
      <c r="A2408" t="str">
        <f t="shared" si="37"/>
        <v/>
      </c>
    </row>
    <row r="2409" spans="1:1" x14ac:dyDescent="0.55000000000000004">
      <c r="A2409" t="str">
        <f t="shared" si="37"/>
        <v/>
      </c>
    </row>
    <row r="2410" spans="1:1" x14ac:dyDescent="0.55000000000000004">
      <c r="A2410" t="str">
        <f t="shared" si="37"/>
        <v/>
      </c>
    </row>
    <row r="2411" spans="1:1" x14ac:dyDescent="0.55000000000000004">
      <c r="A2411" t="str">
        <f t="shared" si="37"/>
        <v/>
      </c>
    </row>
    <row r="2412" spans="1:1" x14ac:dyDescent="0.55000000000000004">
      <c r="A2412" t="str">
        <f t="shared" si="37"/>
        <v/>
      </c>
    </row>
    <row r="2413" spans="1:1" x14ac:dyDescent="0.55000000000000004">
      <c r="A2413" t="str">
        <f t="shared" si="37"/>
        <v/>
      </c>
    </row>
    <row r="2414" spans="1:1" x14ac:dyDescent="0.55000000000000004">
      <c r="A2414" t="str">
        <f t="shared" si="37"/>
        <v/>
      </c>
    </row>
    <row r="2415" spans="1:1" x14ac:dyDescent="0.55000000000000004">
      <c r="A2415" t="str">
        <f t="shared" si="37"/>
        <v/>
      </c>
    </row>
    <row r="2416" spans="1:1" x14ac:dyDescent="0.55000000000000004">
      <c r="A2416" t="str">
        <f t="shared" si="37"/>
        <v/>
      </c>
    </row>
    <row r="2417" spans="1:1" x14ac:dyDescent="0.55000000000000004">
      <c r="A2417" t="str">
        <f t="shared" si="37"/>
        <v/>
      </c>
    </row>
    <row r="2418" spans="1:1" x14ac:dyDescent="0.55000000000000004">
      <c r="A2418" t="str">
        <f t="shared" si="37"/>
        <v/>
      </c>
    </row>
    <row r="2419" spans="1:1" x14ac:dyDescent="0.55000000000000004">
      <c r="A2419" t="str">
        <f t="shared" si="37"/>
        <v/>
      </c>
    </row>
    <row r="2420" spans="1:1" x14ac:dyDescent="0.55000000000000004">
      <c r="A2420" t="str">
        <f t="shared" si="37"/>
        <v/>
      </c>
    </row>
    <row r="2421" spans="1:1" x14ac:dyDescent="0.55000000000000004">
      <c r="A2421" t="str">
        <f t="shared" si="37"/>
        <v/>
      </c>
    </row>
    <row r="2422" spans="1:1" x14ac:dyDescent="0.55000000000000004">
      <c r="A2422" t="str">
        <f t="shared" si="37"/>
        <v/>
      </c>
    </row>
    <row r="2423" spans="1:1" x14ac:dyDescent="0.55000000000000004">
      <c r="A2423" t="str">
        <f t="shared" si="37"/>
        <v/>
      </c>
    </row>
    <row r="2424" spans="1:1" x14ac:dyDescent="0.55000000000000004">
      <c r="A2424" t="str">
        <f t="shared" si="37"/>
        <v/>
      </c>
    </row>
    <row r="2425" spans="1:1" x14ac:dyDescent="0.55000000000000004">
      <c r="A2425" t="str">
        <f t="shared" si="37"/>
        <v/>
      </c>
    </row>
    <row r="2426" spans="1:1" x14ac:dyDescent="0.55000000000000004">
      <c r="A2426" t="str">
        <f t="shared" si="37"/>
        <v/>
      </c>
    </row>
    <row r="2427" spans="1:1" x14ac:dyDescent="0.55000000000000004">
      <c r="A2427" t="str">
        <f t="shared" si="37"/>
        <v/>
      </c>
    </row>
    <row r="2428" spans="1:1" x14ac:dyDescent="0.55000000000000004">
      <c r="A2428" t="str">
        <f t="shared" si="37"/>
        <v/>
      </c>
    </row>
    <row r="2429" spans="1:1" x14ac:dyDescent="0.55000000000000004">
      <c r="A2429" t="str">
        <f t="shared" si="37"/>
        <v/>
      </c>
    </row>
    <row r="2430" spans="1:1" x14ac:dyDescent="0.55000000000000004">
      <c r="A2430" t="str">
        <f t="shared" si="37"/>
        <v/>
      </c>
    </row>
    <row r="2431" spans="1:1" x14ac:dyDescent="0.55000000000000004">
      <c r="A2431" t="str">
        <f t="shared" si="37"/>
        <v/>
      </c>
    </row>
    <row r="2432" spans="1:1" x14ac:dyDescent="0.55000000000000004">
      <c r="A2432" t="str">
        <f t="shared" si="37"/>
        <v/>
      </c>
    </row>
    <row r="2433" spans="1:1" x14ac:dyDescent="0.55000000000000004">
      <c r="A2433" t="str">
        <f t="shared" si="37"/>
        <v/>
      </c>
    </row>
    <row r="2434" spans="1:1" x14ac:dyDescent="0.55000000000000004">
      <c r="A2434" t="str">
        <f t="shared" si="37"/>
        <v/>
      </c>
    </row>
    <row r="2435" spans="1:1" x14ac:dyDescent="0.55000000000000004">
      <c r="A2435" t="str">
        <f t="shared" ref="A2435:A2498" si="38">H2435&amp;I2435&amp;J2435</f>
        <v/>
      </c>
    </row>
    <row r="2436" spans="1:1" x14ac:dyDescent="0.55000000000000004">
      <c r="A2436" t="str">
        <f t="shared" si="38"/>
        <v/>
      </c>
    </row>
    <row r="2437" spans="1:1" x14ac:dyDescent="0.55000000000000004">
      <c r="A2437" t="str">
        <f t="shared" si="38"/>
        <v/>
      </c>
    </row>
    <row r="2438" spans="1:1" x14ac:dyDescent="0.55000000000000004">
      <c r="A2438" t="str">
        <f t="shared" si="38"/>
        <v/>
      </c>
    </row>
    <row r="2439" spans="1:1" x14ac:dyDescent="0.55000000000000004">
      <c r="A2439" t="str">
        <f t="shared" si="38"/>
        <v/>
      </c>
    </row>
    <row r="2440" spans="1:1" x14ac:dyDescent="0.55000000000000004">
      <c r="A2440" t="str">
        <f t="shared" si="38"/>
        <v/>
      </c>
    </row>
    <row r="2441" spans="1:1" x14ac:dyDescent="0.55000000000000004">
      <c r="A2441" t="str">
        <f t="shared" si="38"/>
        <v/>
      </c>
    </row>
    <row r="2442" spans="1:1" x14ac:dyDescent="0.55000000000000004">
      <c r="A2442" t="str">
        <f t="shared" si="38"/>
        <v/>
      </c>
    </row>
    <row r="2443" spans="1:1" x14ac:dyDescent="0.55000000000000004">
      <c r="A2443" t="str">
        <f t="shared" si="38"/>
        <v/>
      </c>
    </row>
    <row r="2444" spans="1:1" x14ac:dyDescent="0.55000000000000004">
      <c r="A2444" t="str">
        <f t="shared" si="38"/>
        <v/>
      </c>
    </row>
    <row r="2445" spans="1:1" x14ac:dyDescent="0.55000000000000004">
      <c r="A2445" t="str">
        <f t="shared" si="38"/>
        <v/>
      </c>
    </row>
    <row r="2446" spans="1:1" x14ac:dyDescent="0.55000000000000004">
      <c r="A2446" t="str">
        <f t="shared" si="38"/>
        <v/>
      </c>
    </row>
    <row r="2447" spans="1:1" x14ac:dyDescent="0.55000000000000004">
      <c r="A2447" t="str">
        <f t="shared" si="38"/>
        <v/>
      </c>
    </row>
    <row r="2448" spans="1:1" x14ac:dyDescent="0.55000000000000004">
      <c r="A2448" t="str">
        <f t="shared" si="38"/>
        <v/>
      </c>
    </row>
    <row r="2449" spans="1:1" x14ac:dyDescent="0.55000000000000004">
      <c r="A2449" t="str">
        <f t="shared" si="38"/>
        <v/>
      </c>
    </row>
    <row r="2450" spans="1:1" x14ac:dyDescent="0.55000000000000004">
      <c r="A2450" t="str">
        <f t="shared" si="38"/>
        <v/>
      </c>
    </row>
    <row r="2451" spans="1:1" x14ac:dyDescent="0.55000000000000004">
      <c r="A2451" t="str">
        <f t="shared" si="38"/>
        <v/>
      </c>
    </row>
    <row r="2452" spans="1:1" x14ac:dyDescent="0.55000000000000004">
      <c r="A2452" t="str">
        <f t="shared" si="38"/>
        <v/>
      </c>
    </row>
    <row r="2453" spans="1:1" x14ac:dyDescent="0.55000000000000004">
      <c r="A2453" t="str">
        <f t="shared" si="38"/>
        <v/>
      </c>
    </row>
    <row r="2454" spans="1:1" x14ac:dyDescent="0.55000000000000004">
      <c r="A2454" t="str">
        <f t="shared" si="38"/>
        <v/>
      </c>
    </row>
    <row r="2455" spans="1:1" x14ac:dyDescent="0.55000000000000004">
      <c r="A2455" t="str">
        <f t="shared" si="38"/>
        <v/>
      </c>
    </row>
    <row r="2456" spans="1:1" x14ac:dyDescent="0.55000000000000004">
      <c r="A2456" t="str">
        <f t="shared" si="38"/>
        <v/>
      </c>
    </row>
    <row r="2457" spans="1:1" x14ac:dyDescent="0.55000000000000004">
      <c r="A2457" t="str">
        <f t="shared" si="38"/>
        <v/>
      </c>
    </row>
    <row r="2458" spans="1:1" x14ac:dyDescent="0.55000000000000004">
      <c r="A2458" t="str">
        <f t="shared" si="38"/>
        <v/>
      </c>
    </row>
    <row r="2459" spans="1:1" x14ac:dyDescent="0.55000000000000004">
      <c r="A2459" t="str">
        <f t="shared" si="38"/>
        <v/>
      </c>
    </row>
    <row r="2460" spans="1:1" x14ac:dyDescent="0.55000000000000004">
      <c r="A2460" t="str">
        <f t="shared" si="38"/>
        <v/>
      </c>
    </row>
    <row r="2461" spans="1:1" x14ac:dyDescent="0.55000000000000004">
      <c r="A2461" t="str">
        <f t="shared" si="38"/>
        <v/>
      </c>
    </row>
    <row r="2462" spans="1:1" x14ac:dyDescent="0.55000000000000004">
      <c r="A2462" t="str">
        <f t="shared" si="38"/>
        <v/>
      </c>
    </row>
    <row r="2463" spans="1:1" x14ac:dyDescent="0.55000000000000004">
      <c r="A2463" t="str">
        <f t="shared" si="38"/>
        <v/>
      </c>
    </row>
    <row r="2464" spans="1:1" x14ac:dyDescent="0.55000000000000004">
      <c r="A2464" t="str">
        <f t="shared" si="38"/>
        <v/>
      </c>
    </row>
    <row r="2465" spans="1:1" x14ac:dyDescent="0.55000000000000004">
      <c r="A2465" t="str">
        <f t="shared" si="38"/>
        <v/>
      </c>
    </row>
    <row r="2466" spans="1:1" x14ac:dyDescent="0.55000000000000004">
      <c r="A2466" t="str">
        <f t="shared" si="38"/>
        <v/>
      </c>
    </row>
    <row r="2467" spans="1:1" x14ac:dyDescent="0.55000000000000004">
      <c r="A2467" t="str">
        <f t="shared" si="38"/>
        <v/>
      </c>
    </row>
    <row r="2468" spans="1:1" x14ac:dyDescent="0.55000000000000004">
      <c r="A2468" t="str">
        <f t="shared" si="38"/>
        <v/>
      </c>
    </row>
    <row r="2469" spans="1:1" x14ac:dyDescent="0.55000000000000004">
      <c r="A2469" t="str">
        <f t="shared" si="38"/>
        <v/>
      </c>
    </row>
    <row r="2470" spans="1:1" x14ac:dyDescent="0.55000000000000004">
      <c r="A2470" t="str">
        <f t="shared" si="38"/>
        <v/>
      </c>
    </row>
    <row r="2471" spans="1:1" x14ac:dyDescent="0.55000000000000004">
      <c r="A2471" t="str">
        <f t="shared" si="38"/>
        <v/>
      </c>
    </row>
    <row r="2472" spans="1:1" x14ac:dyDescent="0.55000000000000004">
      <c r="A2472" t="str">
        <f t="shared" si="38"/>
        <v/>
      </c>
    </row>
    <row r="2473" spans="1:1" x14ac:dyDescent="0.55000000000000004">
      <c r="A2473" t="str">
        <f t="shared" si="38"/>
        <v/>
      </c>
    </row>
    <row r="2474" spans="1:1" x14ac:dyDescent="0.55000000000000004">
      <c r="A2474" t="str">
        <f t="shared" si="38"/>
        <v/>
      </c>
    </row>
    <row r="2475" spans="1:1" x14ac:dyDescent="0.55000000000000004">
      <c r="A2475" t="str">
        <f t="shared" si="38"/>
        <v/>
      </c>
    </row>
    <row r="2476" spans="1:1" x14ac:dyDescent="0.55000000000000004">
      <c r="A2476" t="str">
        <f t="shared" si="38"/>
        <v/>
      </c>
    </row>
    <row r="2477" spans="1:1" x14ac:dyDescent="0.55000000000000004">
      <c r="A2477" t="str">
        <f t="shared" si="38"/>
        <v/>
      </c>
    </row>
    <row r="2478" spans="1:1" x14ac:dyDescent="0.55000000000000004">
      <c r="A2478" t="str">
        <f t="shared" si="38"/>
        <v/>
      </c>
    </row>
    <row r="2479" spans="1:1" x14ac:dyDescent="0.55000000000000004">
      <c r="A2479" t="str">
        <f t="shared" si="38"/>
        <v/>
      </c>
    </row>
    <row r="2480" spans="1:1" x14ac:dyDescent="0.55000000000000004">
      <c r="A2480" t="str">
        <f t="shared" si="38"/>
        <v/>
      </c>
    </row>
    <row r="2481" spans="1:1" x14ac:dyDescent="0.55000000000000004">
      <c r="A2481" t="str">
        <f t="shared" si="38"/>
        <v/>
      </c>
    </row>
    <row r="2482" spans="1:1" x14ac:dyDescent="0.55000000000000004">
      <c r="A2482" t="str">
        <f t="shared" si="38"/>
        <v/>
      </c>
    </row>
    <row r="2483" spans="1:1" x14ac:dyDescent="0.55000000000000004">
      <c r="A2483" t="str">
        <f t="shared" si="38"/>
        <v/>
      </c>
    </row>
    <row r="2484" spans="1:1" x14ac:dyDescent="0.55000000000000004">
      <c r="A2484" t="str">
        <f t="shared" si="38"/>
        <v/>
      </c>
    </row>
    <row r="2485" spans="1:1" x14ac:dyDescent="0.55000000000000004">
      <c r="A2485" t="str">
        <f t="shared" si="38"/>
        <v/>
      </c>
    </row>
    <row r="2486" spans="1:1" x14ac:dyDescent="0.55000000000000004">
      <c r="A2486" t="str">
        <f t="shared" si="38"/>
        <v/>
      </c>
    </row>
    <row r="2487" spans="1:1" x14ac:dyDescent="0.55000000000000004">
      <c r="A2487" t="str">
        <f t="shared" si="38"/>
        <v/>
      </c>
    </row>
    <row r="2488" spans="1:1" x14ac:dyDescent="0.55000000000000004">
      <c r="A2488" t="str">
        <f t="shared" si="38"/>
        <v/>
      </c>
    </row>
    <row r="2489" spans="1:1" x14ac:dyDescent="0.55000000000000004">
      <c r="A2489" t="str">
        <f t="shared" si="38"/>
        <v/>
      </c>
    </row>
    <row r="2490" spans="1:1" x14ac:dyDescent="0.55000000000000004">
      <c r="A2490" t="str">
        <f t="shared" si="38"/>
        <v/>
      </c>
    </row>
    <row r="2491" spans="1:1" x14ac:dyDescent="0.55000000000000004">
      <c r="A2491" t="str">
        <f t="shared" si="38"/>
        <v/>
      </c>
    </row>
    <row r="2492" spans="1:1" x14ac:dyDescent="0.55000000000000004">
      <c r="A2492" t="str">
        <f t="shared" si="38"/>
        <v/>
      </c>
    </row>
    <row r="2493" spans="1:1" x14ac:dyDescent="0.55000000000000004">
      <c r="A2493" t="str">
        <f t="shared" si="38"/>
        <v/>
      </c>
    </row>
    <row r="2494" spans="1:1" x14ac:dyDescent="0.55000000000000004">
      <c r="A2494" t="str">
        <f t="shared" si="38"/>
        <v/>
      </c>
    </row>
    <row r="2495" spans="1:1" x14ac:dyDescent="0.55000000000000004">
      <c r="A2495" t="str">
        <f t="shared" si="38"/>
        <v/>
      </c>
    </row>
    <row r="2496" spans="1:1" x14ac:dyDescent="0.55000000000000004">
      <c r="A2496" t="str">
        <f t="shared" si="38"/>
        <v/>
      </c>
    </row>
    <row r="2497" spans="1:1" x14ac:dyDescent="0.55000000000000004">
      <c r="A2497" t="str">
        <f t="shared" si="38"/>
        <v/>
      </c>
    </row>
    <row r="2498" spans="1:1" x14ac:dyDescent="0.55000000000000004">
      <c r="A2498" t="str">
        <f t="shared" si="38"/>
        <v/>
      </c>
    </row>
    <row r="2499" spans="1:1" x14ac:dyDescent="0.55000000000000004">
      <c r="A2499" t="str">
        <f t="shared" ref="A2499:A2562" si="39">H2499&amp;I2499&amp;J2499</f>
        <v/>
      </c>
    </row>
    <row r="2500" spans="1:1" x14ac:dyDescent="0.55000000000000004">
      <c r="A2500" t="str">
        <f t="shared" si="39"/>
        <v/>
      </c>
    </row>
    <row r="2501" spans="1:1" x14ac:dyDescent="0.55000000000000004">
      <c r="A2501" t="str">
        <f t="shared" si="39"/>
        <v/>
      </c>
    </row>
    <row r="2502" spans="1:1" x14ac:dyDescent="0.55000000000000004">
      <c r="A2502" t="str">
        <f t="shared" si="39"/>
        <v/>
      </c>
    </row>
    <row r="2503" spans="1:1" x14ac:dyDescent="0.55000000000000004">
      <c r="A2503" t="str">
        <f t="shared" si="39"/>
        <v/>
      </c>
    </row>
    <row r="2504" spans="1:1" x14ac:dyDescent="0.55000000000000004">
      <c r="A2504" t="str">
        <f t="shared" si="39"/>
        <v/>
      </c>
    </row>
    <row r="2505" spans="1:1" x14ac:dyDescent="0.55000000000000004">
      <c r="A2505" t="str">
        <f t="shared" si="39"/>
        <v/>
      </c>
    </row>
    <row r="2506" spans="1:1" x14ac:dyDescent="0.55000000000000004">
      <c r="A2506" t="str">
        <f t="shared" si="39"/>
        <v/>
      </c>
    </row>
    <row r="2507" spans="1:1" x14ac:dyDescent="0.55000000000000004">
      <c r="A2507" t="str">
        <f t="shared" si="39"/>
        <v/>
      </c>
    </row>
    <row r="2508" spans="1:1" x14ac:dyDescent="0.55000000000000004">
      <c r="A2508" t="str">
        <f t="shared" si="39"/>
        <v/>
      </c>
    </row>
    <row r="2509" spans="1:1" x14ac:dyDescent="0.55000000000000004">
      <c r="A2509" t="str">
        <f t="shared" si="39"/>
        <v/>
      </c>
    </row>
    <row r="2510" spans="1:1" x14ac:dyDescent="0.55000000000000004">
      <c r="A2510" t="str">
        <f t="shared" si="39"/>
        <v/>
      </c>
    </row>
    <row r="2511" spans="1:1" x14ac:dyDescent="0.55000000000000004">
      <c r="A2511" t="str">
        <f t="shared" si="39"/>
        <v/>
      </c>
    </row>
    <row r="2512" spans="1:1" x14ac:dyDescent="0.55000000000000004">
      <c r="A2512" t="str">
        <f t="shared" si="39"/>
        <v/>
      </c>
    </row>
    <row r="2513" spans="1:1" x14ac:dyDescent="0.55000000000000004">
      <c r="A2513" t="str">
        <f t="shared" si="39"/>
        <v/>
      </c>
    </row>
    <row r="2514" spans="1:1" x14ac:dyDescent="0.55000000000000004">
      <c r="A2514" t="str">
        <f t="shared" si="39"/>
        <v/>
      </c>
    </row>
    <row r="2515" spans="1:1" x14ac:dyDescent="0.55000000000000004">
      <c r="A2515" t="str">
        <f t="shared" si="39"/>
        <v/>
      </c>
    </row>
    <row r="2516" spans="1:1" x14ac:dyDescent="0.55000000000000004">
      <c r="A2516" t="str">
        <f t="shared" si="39"/>
        <v/>
      </c>
    </row>
    <row r="2517" spans="1:1" x14ac:dyDescent="0.55000000000000004">
      <c r="A2517" t="str">
        <f t="shared" si="39"/>
        <v/>
      </c>
    </row>
    <row r="2518" spans="1:1" x14ac:dyDescent="0.55000000000000004">
      <c r="A2518" t="str">
        <f t="shared" si="39"/>
        <v/>
      </c>
    </row>
    <row r="2519" spans="1:1" x14ac:dyDescent="0.55000000000000004">
      <c r="A2519" t="str">
        <f t="shared" si="39"/>
        <v/>
      </c>
    </row>
    <row r="2520" spans="1:1" x14ac:dyDescent="0.55000000000000004">
      <c r="A2520" t="str">
        <f t="shared" si="39"/>
        <v/>
      </c>
    </row>
    <row r="2521" spans="1:1" x14ac:dyDescent="0.55000000000000004">
      <c r="A2521" t="str">
        <f t="shared" si="39"/>
        <v/>
      </c>
    </row>
    <row r="2522" spans="1:1" x14ac:dyDescent="0.55000000000000004">
      <c r="A2522" t="str">
        <f t="shared" si="39"/>
        <v/>
      </c>
    </row>
    <row r="2523" spans="1:1" x14ac:dyDescent="0.55000000000000004">
      <c r="A2523" t="str">
        <f t="shared" si="39"/>
        <v/>
      </c>
    </row>
    <row r="2524" spans="1:1" x14ac:dyDescent="0.55000000000000004">
      <c r="A2524" t="str">
        <f t="shared" si="39"/>
        <v/>
      </c>
    </row>
    <row r="2525" spans="1:1" x14ac:dyDescent="0.55000000000000004">
      <c r="A2525" t="str">
        <f t="shared" si="39"/>
        <v/>
      </c>
    </row>
    <row r="2526" spans="1:1" x14ac:dyDescent="0.55000000000000004">
      <c r="A2526" t="str">
        <f t="shared" si="39"/>
        <v/>
      </c>
    </row>
    <row r="2527" spans="1:1" x14ac:dyDescent="0.55000000000000004">
      <c r="A2527" t="str">
        <f t="shared" si="39"/>
        <v/>
      </c>
    </row>
    <row r="2528" spans="1:1" x14ac:dyDescent="0.55000000000000004">
      <c r="A2528" t="str">
        <f t="shared" si="39"/>
        <v/>
      </c>
    </row>
    <row r="2529" spans="1:1" x14ac:dyDescent="0.55000000000000004">
      <c r="A2529" t="str">
        <f t="shared" si="39"/>
        <v/>
      </c>
    </row>
    <row r="2530" spans="1:1" x14ac:dyDescent="0.55000000000000004">
      <c r="A2530" t="str">
        <f t="shared" si="39"/>
        <v/>
      </c>
    </row>
    <row r="2531" spans="1:1" x14ac:dyDescent="0.55000000000000004">
      <c r="A2531" t="str">
        <f t="shared" si="39"/>
        <v/>
      </c>
    </row>
    <row r="2532" spans="1:1" x14ac:dyDescent="0.55000000000000004">
      <c r="A2532" t="str">
        <f t="shared" si="39"/>
        <v/>
      </c>
    </row>
    <row r="2533" spans="1:1" x14ac:dyDescent="0.55000000000000004">
      <c r="A2533" t="str">
        <f t="shared" si="39"/>
        <v/>
      </c>
    </row>
    <row r="2534" spans="1:1" x14ac:dyDescent="0.55000000000000004">
      <c r="A2534" t="str">
        <f t="shared" si="39"/>
        <v/>
      </c>
    </row>
    <row r="2535" spans="1:1" x14ac:dyDescent="0.55000000000000004">
      <c r="A2535" t="str">
        <f t="shared" si="39"/>
        <v/>
      </c>
    </row>
    <row r="2536" spans="1:1" x14ac:dyDescent="0.55000000000000004">
      <c r="A2536" t="str">
        <f t="shared" si="39"/>
        <v/>
      </c>
    </row>
    <row r="2537" spans="1:1" x14ac:dyDescent="0.55000000000000004">
      <c r="A2537" t="str">
        <f t="shared" si="39"/>
        <v/>
      </c>
    </row>
    <row r="2538" spans="1:1" x14ac:dyDescent="0.55000000000000004">
      <c r="A2538" t="str">
        <f t="shared" si="39"/>
        <v/>
      </c>
    </row>
    <row r="2539" spans="1:1" x14ac:dyDescent="0.55000000000000004">
      <c r="A2539" t="str">
        <f t="shared" si="39"/>
        <v/>
      </c>
    </row>
    <row r="2540" spans="1:1" x14ac:dyDescent="0.55000000000000004">
      <c r="A2540" t="str">
        <f t="shared" si="39"/>
        <v/>
      </c>
    </row>
    <row r="2541" spans="1:1" x14ac:dyDescent="0.55000000000000004">
      <c r="A2541" t="str">
        <f t="shared" si="39"/>
        <v/>
      </c>
    </row>
    <row r="2542" spans="1:1" x14ac:dyDescent="0.55000000000000004">
      <c r="A2542" t="str">
        <f t="shared" si="39"/>
        <v/>
      </c>
    </row>
    <row r="2543" spans="1:1" x14ac:dyDescent="0.55000000000000004">
      <c r="A2543" t="str">
        <f t="shared" si="39"/>
        <v/>
      </c>
    </row>
    <row r="2544" spans="1:1" x14ac:dyDescent="0.55000000000000004">
      <c r="A2544" t="str">
        <f t="shared" si="39"/>
        <v/>
      </c>
    </row>
    <row r="2545" spans="1:1" x14ac:dyDescent="0.55000000000000004">
      <c r="A2545" t="str">
        <f t="shared" si="39"/>
        <v/>
      </c>
    </row>
    <row r="2546" spans="1:1" x14ac:dyDescent="0.55000000000000004">
      <c r="A2546" t="str">
        <f t="shared" si="39"/>
        <v/>
      </c>
    </row>
    <row r="2547" spans="1:1" x14ac:dyDescent="0.55000000000000004">
      <c r="A2547" t="str">
        <f t="shared" si="39"/>
        <v/>
      </c>
    </row>
    <row r="2548" spans="1:1" x14ac:dyDescent="0.55000000000000004">
      <c r="A2548" t="str">
        <f t="shared" si="39"/>
        <v/>
      </c>
    </row>
    <row r="2549" spans="1:1" x14ac:dyDescent="0.55000000000000004">
      <c r="A2549" t="str">
        <f t="shared" si="39"/>
        <v/>
      </c>
    </row>
    <row r="2550" spans="1:1" x14ac:dyDescent="0.55000000000000004">
      <c r="A2550" t="str">
        <f t="shared" si="39"/>
        <v/>
      </c>
    </row>
    <row r="2551" spans="1:1" x14ac:dyDescent="0.55000000000000004">
      <c r="A2551" t="str">
        <f t="shared" si="39"/>
        <v/>
      </c>
    </row>
    <row r="2552" spans="1:1" x14ac:dyDescent="0.55000000000000004">
      <c r="A2552" t="str">
        <f t="shared" si="39"/>
        <v/>
      </c>
    </row>
    <row r="2553" spans="1:1" x14ac:dyDescent="0.55000000000000004">
      <c r="A2553" t="str">
        <f t="shared" si="39"/>
        <v/>
      </c>
    </row>
    <row r="2554" spans="1:1" x14ac:dyDescent="0.55000000000000004">
      <c r="A2554" t="str">
        <f t="shared" si="39"/>
        <v/>
      </c>
    </row>
    <row r="2555" spans="1:1" x14ac:dyDescent="0.55000000000000004">
      <c r="A2555" t="str">
        <f t="shared" si="39"/>
        <v/>
      </c>
    </row>
    <row r="2556" spans="1:1" x14ac:dyDescent="0.55000000000000004">
      <c r="A2556" t="str">
        <f t="shared" si="39"/>
        <v/>
      </c>
    </row>
    <row r="2557" spans="1:1" x14ac:dyDescent="0.55000000000000004">
      <c r="A2557" t="str">
        <f t="shared" si="39"/>
        <v/>
      </c>
    </row>
    <row r="2558" spans="1:1" x14ac:dyDescent="0.55000000000000004">
      <c r="A2558" t="str">
        <f t="shared" si="39"/>
        <v/>
      </c>
    </row>
    <row r="2559" spans="1:1" x14ac:dyDescent="0.55000000000000004">
      <c r="A2559" t="str">
        <f t="shared" si="39"/>
        <v/>
      </c>
    </row>
    <row r="2560" spans="1:1" x14ac:dyDescent="0.55000000000000004">
      <c r="A2560" t="str">
        <f t="shared" si="39"/>
        <v/>
      </c>
    </row>
    <row r="2561" spans="1:1" x14ac:dyDescent="0.55000000000000004">
      <c r="A2561" t="str">
        <f t="shared" si="39"/>
        <v/>
      </c>
    </row>
    <row r="2562" spans="1:1" x14ac:dyDescent="0.55000000000000004">
      <c r="A2562" t="str">
        <f t="shared" si="39"/>
        <v/>
      </c>
    </row>
    <row r="2563" spans="1:1" x14ac:dyDescent="0.55000000000000004">
      <c r="A2563" t="str">
        <f t="shared" ref="A2563:A2626" si="40">H2563&amp;I2563&amp;J2563</f>
        <v/>
      </c>
    </row>
    <row r="2564" spans="1:1" x14ac:dyDescent="0.55000000000000004">
      <c r="A2564" t="str">
        <f t="shared" si="40"/>
        <v/>
      </c>
    </row>
    <row r="2565" spans="1:1" x14ac:dyDescent="0.55000000000000004">
      <c r="A2565" t="str">
        <f t="shared" si="40"/>
        <v/>
      </c>
    </row>
    <row r="2566" spans="1:1" x14ac:dyDescent="0.55000000000000004">
      <c r="A2566" t="str">
        <f t="shared" si="40"/>
        <v/>
      </c>
    </row>
    <row r="2567" spans="1:1" x14ac:dyDescent="0.55000000000000004">
      <c r="A2567" t="str">
        <f t="shared" si="40"/>
        <v/>
      </c>
    </row>
    <row r="2568" spans="1:1" x14ac:dyDescent="0.55000000000000004">
      <c r="A2568" t="str">
        <f t="shared" si="40"/>
        <v/>
      </c>
    </row>
    <row r="2569" spans="1:1" x14ac:dyDescent="0.55000000000000004">
      <c r="A2569" t="str">
        <f t="shared" si="40"/>
        <v/>
      </c>
    </row>
    <row r="2570" spans="1:1" x14ac:dyDescent="0.55000000000000004">
      <c r="A2570" t="str">
        <f t="shared" si="40"/>
        <v/>
      </c>
    </row>
    <row r="2571" spans="1:1" x14ac:dyDescent="0.55000000000000004">
      <c r="A2571" t="str">
        <f t="shared" si="40"/>
        <v/>
      </c>
    </row>
    <row r="2572" spans="1:1" x14ac:dyDescent="0.55000000000000004">
      <c r="A2572" t="str">
        <f t="shared" si="40"/>
        <v/>
      </c>
    </row>
    <row r="2573" spans="1:1" x14ac:dyDescent="0.55000000000000004">
      <c r="A2573" t="str">
        <f t="shared" si="40"/>
        <v/>
      </c>
    </row>
    <row r="2574" spans="1:1" x14ac:dyDescent="0.55000000000000004">
      <c r="A2574" t="str">
        <f t="shared" si="40"/>
        <v/>
      </c>
    </row>
    <row r="2575" spans="1:1" x14ac:dyDescent="0.55000000000000004">
      <c r="A2575" t="str">
        <f t="shared" si="40"/>
        <v/>
      </c>
    </row>
    <row r="2576" spans="1:1" x14ac:dyDescent="0.55000000000000004">
      <c r="A2576" t="str">
        <f t="shared" si="40"/>
        <v/>
      </c>
    </row>
    <row r="2577" spans="1:1" x14ac:dyDescent="0.55000000000000004">
      <c r="A2577" t="str">
        <f t="shared" si="40"/>
        <v/>
      </c>
    </row>
    <row r="2578" spans="1:1" x14ac:dyDescent="0.55000000000000004">
      <c r="A2578" t="str">
        <f t="shared" si="40"/>
        <v/>
      </c>
    </row>
    <row r="2579" spans="1:1" x14ac:dyDescent="0.55000000000000004">
      <c r="A2579" t="str">
        <f t="shared" si="40"/>
        <v/>
      </c>
    </row>
    <row r="2580" spans="1:1" x14ac:dyDescent="0.55000000000000004">
      <c r="A2580" t="str">
        <f t="shared" si="40"/>
        <v/>
      </c>
    </row>
    <row r="2581" spans="1:1" x14ac:dyDescent="0.55000000000000004">
      <c r="A2581" t="str">
        <f t="shared" si="40"/>
        <v/>
      </c>
    </row>
    <row r="2582" spans="1:1" x14ac:dyDescent="0.55000000000000004">
      <c r="A2582" t="str">
        <f t="shared" si="40"/>
        <v/>
      </c>
    </row>
    <row r="2583" spans="1:1" x14ac:dyDescent="0.55000000000000004">
      <c r="A2583" t="str">
        <f t="shared" si="40"/>
        <v/>
      </c>
    </row>
    <row r="2584" spans="1:1" x14ac:dyDescent="0.55000000000000004">
      <c r="A2584" t="str">
        <f t="shared" si="40"/>
        <v/>
      </c>
    </row>
    <row r="2585" spans="1:1" x14ac:dyDescent="0.55000000000000004">
      <c r="A2585" t="str">
        <f t="shared" si="40"/>
        <v/>
      </c>
    </row>
    <row r="2586" spans="1:1" x14ac:dyDescent="0.55000000000000004">
      <c r="A2586" t="str">
        <f t="shared" si="40"/>
        <v/>
      </c>
    </row>
    <row r="2587" spans="1:1" x14ac:dyDescent="0.55000000000000004">
      <c r="A2587" t="str">
        <f t="shared" si="40"/>
        <v/>
      </c>
    </row>
    <row r="2588" spans="1:1" x14ac:dyDescent="0.55000000000000004">
      <c r="A2588" t="str">
        <f t="shared" si="40"/>
        <v/>
      </c>
    </row>
    <row r="2589" spans="1:1" x14ac:dyDescent="0.55000000000000004">
      <c r="A2589" t="str">
        <f t="shared" si="40"/>
        <v/>
      </c>
    </row>
    <row r="2590" spans="1:1" x14ac:dyDescent="0.55000000000000004">
      <c r="A2590" t="str">
        <f t="shared" si="40"/>
        <v/>
      </c>
    </row>
    <row r="2591" spans="1:1" x14ac:dyDescent="0.55000000000000004">
      <c r="A2591" t="str">
        <f t="shared" si="40"/>
        <v/>
      </c>
    </row>
    <row r="2592" spans="1:1" x14ac:dyDescent="0.55000000000000004">
      <c r="A2592" t="str">
        <f t="shared" si="40"/>
        <v/>
      </c>
    </row>
    <row r="2593" spans="1:1" x14ac:dyDescent="0.55000000000000004">
      <c r="A2593" t="str">
        <f t="shared" si="40"/>
        <v/>
      </c>
    </row>
    <row r="2594" spans="1:1" x14ac:dyDescent="0.55000000000000004">
      <c r="A2594" t="str">
        <f t="shared" si="40"/>
        <v/>
      </c>
    </row>
    <row r="2595" spans="1:1" x14ac:dyDescent="0.55000000000000004">
      <c r="A2595" t="str">
        <f t="shared" si="40"/>
        <v/>
      </c>
    </row>
    <row r="2596" spans="1:1" x14ac:dyDescent="0.55000000000000004">
      <c r="A2596" t="str">
        <f t="shared" si="40"/>
        <v/>
      </c>
    </row>
    <row r="2597" spans="1:1" x14ac:dyDescent="0.55000000000000004">
      <c r="A2597" t="str">
        <f t="shared" si="40"/>
        <v/>
      </c>
    </row>
    <row r="2598" spans="1:1" x14ac:dyDescent="0.55000000000000004">
      <c r="A2598" t="str">
        <f t="shared" si="40"/>
        <v/>
      </c>
    </row>
    <row r="2599" spans="1:1" x14ac:dyDescent="0.55000000000000004">
      <c r="A2599" t="str">
        <f t="shared" si="40"/>
        <v/>
      </c>
    </row>
    <row r="2600" spans="1:1" x14ac:dyDescent="0.55000000000000004">
      <c r="A2600" t="str">
        <f t="shared" si="40"/>
        <v/>
      </c>
    </row>
    <row r="2601" spans="1:1" x14ac:dyDescent="0.55000000000000004">
      <c r="A2601" t="str">
        <f t="shared" si="40"/>
        <v/>
      </c>
    </row>
    <row r="2602" spans="1:1" x14ac:dyDescent="0.55000000000000004">
      <c r="A2602" t="str">
        <f t="shared" si="40"/>
        <v/>
      </c>
    </row>
    <row r="2603" spans="1:1" x14ac:dyDescent="0.55000000000000004">
      <c r="A2603" t="str">
        <f t="shared" si="40"/>
        <v/>
      </c>
    </row>
    <row r="2604" spans="1:1" x14ac:dyDescent="0.55000000000000004">
      <c r="A2604" t="str">
        <f t="shared" si="40"/>
        <v/>
      </c>
    </row>
    <row r="2605" spans="1:1" x14ac:dyDescent="0.55000000000000004">
      <c r="A2605" t="str">
        <f t="shared" si="40"/>
        <v/>
      </c>
    </row>
    <row r="2606" spans="1:1" x14ac:dyDescent="0.55000000000000004">
      <c r="A2606" t="str">
        <f t="shared" si="40"/>
        <v/>
      </c>
    </row>
    <row r="2607" spans="1:1" x14ac:dyDescent="0.55000000000000004">
      <c r="A2607" t="str">
        <f t="shared" si="40"/>
        <v/>
      </c>
    </row>
    <row r="2608" spans="1:1" x14ac:dyDescent="0.55000000000000004">
      <c r="A2608" t="str">
        <f t="shared" si="40"/>
        <v/>
      </c>
    </row>
    <row r="2609" spans="1:1" x14ac:dyDescent="0.55000000000000004">
      <c r="A2609" t="str">
        <f t="shared" si="40"/>
        <v/>
      </c>
    </row>
    <row r="2610" spans="1:1" x14ac:dyDescent="0.55000000000000004">
      <c r="A2610" t="str">
        <f t="shared" si="40"/>
        <v/>
      </c>
    </row>
    <row r="2611" spans="1:1" x14ac:dyDescent="0.55000000000000004">
      <c r="A2611" t="str">
        <f t="shared" si="40"/>
        <v/>
      </c>
    </row>
    <row r="2612" spans="1:1" x14ac:dyDescent="0.55000000000000004">
      <c r="A2612" t="str">
        <f t="shared" si="40"/>
        <v/>
      </c>
    </row>
    <row r="2613" spans="1:1" x14ac:dyDescent="0.55000000000000004">
      <c r="A2613" t="str">
        <f t="shared" si="40"/>
        <v/>
      </c>
    </row>
    <row r="2614" spans="1:1" x14ac:dyDescent="0.55000000000000004">
      <c r="A2614" t="str">
        <f t="shared" si="40"/>
        <v/>
      </c>
    </row>
    <row r="2615" spans="1:1" x14ac:dyDescent="0.55000000000000004">
      <c r="A2615" t="str">
        <f t="shared" si="40"/>
        <v/>
      </c>
    </row>
    <row r="2616" spans="1:1" x14ac:dyDescent="0.55000000000000004">
      <c r="A2616" t="str">
        <f t="shared" si="40"/>
        <v/>
      </c>
    </row>
    <row r="2617" spans="1:1" x14ac:dyDescent="0.55000000000000004">
      <c r="A2617" t="str">
        <f t="shared" si="40"/>
        <v/>
      </c>
    </row>
    <row r="2618" spans="1:1" x14ac:dyDescent="0.55000000000000004">
      <c r="A2618" t="str">
        <f t="shared" si="40"/>
        <v/>
      </c>
    </row>
    <row r="2619" spans="1:1" x14ac:dyDescent="0.55000000000000004">
      <c r="A2619" t="str">
        <f t="shared" si="40"/>
        <v/>
      </c>
    </row>
    <row r="2620" spans="1:1" x14ac:dyDescent="0.55000000000000004">
      <c r="A2620" t="str">
        <f t="shared" si="40"/>
        <v/>
      </c>
    </row>
    <row r="2621" spans="1:1" x14ac:dyDescent="0.55000000000000004">
      <c r="A2621" t="str">
        <f t="shared" si="40"/>
        <v/>
      </c>
    </row>
    <row r="2622" spans="1:1" x14ac:dyDescent="0.55000000000000004">
      <c r="A2622" t="str">
        <f t="shared" si="40"/>
        <v/>
      </c>
    </row>
    <row r="2623" spans="1:1" x14ac:dyDescent="0.55000000000000004">
      <c r="A2623" t="str">
        <f t="shared" si="40"/>
        <v/>
      </c>
    </row>
    <row r="2624" spans="1:1" x14ac:dyDescent="0.55000000000000004">
      <c r="A2624" t="str">
        <f t="shared" si="40"/>
        <v/>
      </c>
    </row>
    <row r="2625" spans="1:1" x14ac:dyDescent="0.55000000000000004">
      <c r="A2625" t="str">
        <f t="shared" si="40"/>
        <v/>
      </c>
    </row>
    <row r="2626" spans="1:1" x14ac:dyDescent="0.55000000000000004">
      <c r="A2626" t="str">
        <f t="shared" si="40"/>
        <v/>
      </c>
    </row>
    <row r="2627" spans="1:1" x14ac:dyDescent="0.55000000000000004">
      <c r="A2627" t="str">
        <f t="shared" ref="A2627:A2690" si="41">H2627&amp;I2627&amp;J2627</f>
        <v/>
      </c>
    </row>
    <row r="2628" spans="1:1" x14ac:dyDescent="0.55000000000000004">
      <c r="A2628" t="str">
        <f t="shared" si="41"/>
        <v/>
      </c>
    </row>
    <row r="2629" spans="1:1" x14ac:dyDescent="0.55000000000000004">
      <c r="A2629" t="str">
        <f t="shared" si="41"/>
        <v/>
      </c>
    </row>
    <row r="2630" spans="1:1" x14ac:dyDescent="0.55000000000000004">
      <c r="A2630" t="str">
        <f t="shared" si="41"/>
        <v/>
      </c>
    </row>
    <row r="2631" spans="1:1" x14ac:dyDescent="0.55000000000000004">
      <c r="A2631" t="str">
        <f t="shared" si="41"/>
        <v/>
      </c>
    </row>
    <row r="2632" spans="1:1" x14ac:dyDescent="0.55000000000000004">
      <c r="A2632" t="str">
        <f t="shared" si="41"/>
        <v/>
      </c>
    </row>
    <row r="2633" spans="1:1" x14ac:dyDescent="0.55000000000000004">
      <c r="A2633" t="str">
        <f t="shared" si="41"/>
        <v/>
      </c>
    </row>
    <row r="2634" spans="1:1" x14ac:dyDescent="0.55000000000000004">
      <c r="A2634" t="str">
        <f t="shared" si="41"/>
        <v/>
      </c>
    </row>
    <row r="2635" spans="1:1" x14ac:dyDescent="0.55000000000000004">
      <c r="A2635" t="str">
        <f t="shared" si="41"/>
        <v/>
      </c>
    </row>
    <row r="2636" spans="1:1" x14ac:dyDescent="0.55000000000000004">
      <c r="A2636" t="str">
        <f t="shared" si="41"/>
        <v/>
      </c>
    </row>
    <row r="2637" spans="1:1" x14ac:dyDescent="0.55000000000000004">
      <c r="A2637" t="str">
        <f t="shared" si="41"/>
        <v/>
      </c>
    </row>
    <row r="2638" spans="1:1" x14ac:dyDescent="0.55000000000000004">
      <c r="A2638" t="str">
        <f t="shared" si="41"/>
        <v/>
      </c>
    </row>
    <row r="2639" spans="1:1" x14ac:dyDescent="0.55000000000000004">
      <c r="A2639" t="str">
        <f t="shared" si="41"/>
        <v/>
      </c>
    </row>
    <row r="2640" spans="1:1" x14ac:dyDescent="0.55000000000000004">
      <c r="A2640" t="str">
        <f t="shared" si="41"/>
        <v/>
      </c>
    </row>
    <row r="2641" spans="1:1" x14ac:dyDescent="0.55000000000000004">
      <c r="A2641" t="str">
        <f t="shared" si="41"/>
        <v/>
      </c>
    </row>
    <row r="2642" spans="1:1" x14ac:dyDescent="0.55000000000000004">
      <c r="A2642" t="str">
        <f t="shared" si="41"/>
        <v/>
      </c>
    </row>
    <row r="2643" spans="1:1" x14ac:dyDescent="0.55000000000000004">
      <c r="A2643" t="str">
        <f t="shared" si="41"/>
        <v/>
      </c>
    </row>
    <row r="2644" spans="1:1" x14ac:dyDescent="0.55000000000000004">
      <c r="A2644" t="str">
        <f t="shared" si="41"/>
        <v/>
      </c>
    </row>
    <row r="2645" spans="1:1" x14ac:dyDescent="0.55000000000000004">
      <c r="A2645" t="str">
        <f t="shared" si="41"/>
        <v/>
      </c>
    </row>
    <row r="2646" spans="1:1" x14ac:dyDescent="0.55000000000000004">
      <c r="A2646" t="str">
        <f t="shared" si="41"/>
        <v/>
      </c>
    </row>
    <row r="2647" spans="1:1" x14ac:dyDescent="0.55000000000000004">
      <c r="A2647" t="str">
        <f t="shared" si="41"/>
        <v/>
      </c>
    </row>
    <row r="2648" spans="1:1" x14ac:dyDescent="0.55000000000000004">
      <c r="A2648" t="str">
        <f t="shared" si="41"/>
        <v/>
      </c>
    </row>
    <row r="2649" spans="1:1" x14ac:dyDescent="0.55000000000000004">
      <c r="A2649" t="str">
        <f t="shared" si="41"/>
        <v/>
      </c>
    </row>
    <row r="2650" spans="1:1" x14ac:dyDescent="0.55000000000000004">
      <c r="A2650" t="str">
        <f t="shared" si="41"/>
        <v/>
      </c>
    </row>
    <row r="2651" spans="1:1" x14ac:dyDescent="0.55000000000000004">
      <c r="A2651" t="str">
        <f t="shared" si="41"/>
        <v/>
      </c>
    </row>
    <row r="2652" spans="1:1" x14ac:dyDescent="0.55000000000000004">
      <c r="A2652" t="str">
        <f t="shared" si="41"/>
        <v/>
      </c>
    </row>
    <row r="2653" spans="1:1" x14ac:dyDescent="0.55000000000000004">
      <c r="A2653" t="str">
        <f t="shared" si="41"/>
        <v/>
      </c>
    </row>
    <row r="2654" spans="1:1" x14ac:dyDescent="0.55000000000000004">
      <c r="A2654" t="str">
        <f t="shared" si="41"/>
        <v/>
      </c>
    </row>
    <row r="2655" spans="1:1" x14ac:dyDescent="0.55000000000000004">
      <c r="A2655" t="str">
        <f t="shared" si="41"/>
        <v/>
      </c>
    </row>
    <row r="2656" spans="1:1" x14ac:dyDescent="0.55000000000000004">
      <c r="A2656" t="str">
        <f t="shared" si="41"/>
        <v/>
      </c>
    </row>
    <row r="2657" spans="1:1" x14ac:dyDescent="0.55000000000000004">
      <c r="A2657" t="str">
        <f t="shared" si="41"/>
        <v/>
      </c>
    </row>
    <row r="2658" spans="1:1" x14ac:dyDescent="0.55000000000000004">
      <c r="A2658" t="str">
        <f t="shared" si="41"/>
        <v/>
      </c>
    </row>
    <row r="2659" spans="1:1" x14ac:dyDescent="0.55000000000000004">
      <c r="A2659" t="str">
        <f t="shared" si="41"/>
        <v/>
      </c>
    </row>
    <row r="2660" spans="1:1" x14ac:dyDescent="0.55000000000000004">
      <c r="A2660" t="str">
        <f t="shared" si="41"/>
        <v/>
      </c>
    </row>
    <row r="2661" spans="1:1" x14ac:dyDescent="0.55000000000000004">
      <c r="A2661" t="str">
        <f t="shared" si="41"/>
        <v/>
      </c>
    </row>
    <row r="2662" spans="1:1" x14ac:dyDescent="0.55000000000000004">
      <c r="A2662" t="str">
        <f t="shared" si="41"/>
        <v/>
      </c>
    </row>
    <row r="2663" spans="1:1" x14ac:dyDescent="0.55000000000000004">
      <c r="A2663" t="str">
        <f t="shared" si="41"/>
        <v/>
      </c>
    </row>
    <row r="2664" spans="1:1" x14ac:dyDescent="0.55000000000000004">
      <c r="A2664" t="str">
        <f t="shared" si="41"/>
        <v/>
      </c>
    </row>
    <row r="2665" spans="1:1" x14ac:dyDescent="0.55000000000000004">
      <c r="A2665" t="str">
        <f t="shared" si="41"/>
        <v/>
      </c>
    </row>
    <row r="2666" spans="1:1" x14ac:dyDescent="0.55000000000000004">
      <c r="A2666" t="str">
        <f t="shared" si="41"/>
        <v/>
      </c>
    </row>
    <row r="2667" spans="1:1" x14ac:dyDescent="0.55000000000000004">
      <c r="A2667" t="str">
        <f t="shared" si="41"/>
        <v/>
      </c>
    </row>
    <row r="2668" spans="1:1" x14ac:dyDescent="0.55000000000000004">
      <c r="A2668" t="str">
        <f t="shared" si="41"/>
        <v/>
      </c>
    </row>
    <row r="2669" spans="1:1" x14ac:dyDescent="0.55000000000000004">
      <c r="A2669" t="str">
        <f t="shared" si="41"/>
        <v/>
      </c>
    </row>
    <row r="2670" spans="1:1" x14ac:dyDescent="0.55000000000000004">
      <c r="A2670" t="str">
        <f t="shared" si="41"/>
        <v/>
      </c>
    </row>
    <row r="2671" spans="1:1" x14ac:dyDescent="0.55000000000000004">
      <c r="A2671" t="str">
        <f t="shared" si="41"/>
        <v/>
      </c>
    </row>
    <row r="2672" spans="1:1" x14ac:dyDescent="0.55000000000000004">
      <c r="A2672" t="str">
        <f t="shared" si="41"/>
        <v/>
      </c>
    </row>
    <row r="2673" spans="1:1" x14ac:dyDescent="0.55000000000000004">
      <c r="A2673" t="str">
        <f t="shared" si="41"/>
        <v/>
      </c>
    </row>
    <row r="2674" spans="1:1" x14ac:dyDescent="0.55000000000000004">
      <c r="A2674" t="str">
        <f t="shared" si="41"/>
        <v/>
      </c>
    </row>
    <row r="2675" spans="1:1" x14ac:dyDescent="0.55000000000000004">
      <c r="A2675" t="str">
        <f t="shared" si="41"/>
        <v/>
      </c>
    </row>
    <row r="2676" spans="1:1" x14ac:dyDescent="0.55000000000000004">
      <c r="A2676" t="str">
        <f t="shared" si="41"/>
        <v/>
      </c>
    </row>
    <row r="2677" spans="1:1" x14ac:dyDescent="0.55000000000000004">
      <c r="A2677" t="str">
        <f t="shared" si="41"/>
        <v/>
      </c>
    </row>
    <row r="2678" spans="1:1" x14ac:dyDescent="0.55000000000000004">
      <c r="A2678" t="str">
        <f t="shared" si="41"/>
        <v/>
      </c>
    </row>
    <row r="2679" spans="1:1" x14ac:dyDescent="0.55000000000000004">
      <c r="A2679" t="str">
        <f t="shared" si="41"/>
        <v/>
      </c>
    </row>
    <row r="2680" spans="1:1" x14ac:dyDescent="0.55000000000000004">
      <c r="A2680" t="str">
        <f t="shared" si="41"/>
        <v/>
      </c>
    </row>
    <row r="2681" spans="1:1" x14ac:dyDescent="0.55000000000000004">
      <c r="A2681" t="str">
        <f t="shared" si="41"/>
        <v/>
      </c>
    </row>
    <row r="2682" spans="1:1" x14ac:dyDescent="0.55000000000000004">
      <c r="A2682" t="str">
        <f t="shared" si="41"/>
        <v/>
      </c>
    </row>
    <row r="2683" spans="1:1" x14ac:dyDescent="0.55000000000000004">
      <c r="A2683" t="str">
        <f t="shared" si="41"/>
        <v/>
      </c>
    </row>
    <row r="2684" spans="1:1" x14ac:dyDescent="0.55000000000000004">
      <c r="A2684" t="str">
        <f t="shared" si="41"/>
        <v/>
      </c>
    </row>
    <row r="2685" spans="1:1" x14ac:dyDescent="0.55000000000000004">
      <c r="A2685" t="str">
        <f t="shared" si="41"/>
        <v/>
      </c>
    </row>
    <row r="2686" spans="1:1" x14ac:dyDescent="0.55000000000000004">
      <c r="A2686" t="str">
        <f t="shared" si="41"/>
        <v/>
      </c>
    </row>
    <row r="2687" spans="1:1" x14ac:dyDescent="0.55000000000000004">
      <c r="A2687" t="str">
        <f t="shared" si="41"/>
        <v/>
      </c>
    </row>
    <row r="2688" spans="1:1" x14ac:dyDescent="0.55000000000000004">
      <c r="A2688" t="str">
        <f t="shared" si="41"/>
        <v/>
      </c>
    </row>
    <row r="2689" spans="1:1" x14ac:dyDescent="0.55000000000000004">
      <c r="A2689" t="str">
        <f t="shared" si="41"/>
        <v/>
      </c>
    </row>
    <row r="2690" spans="1:1" x14ac:dyDescent="0.55000000000000004">
      <c r="A2690" t="str">
        <f t="shared" si="41"/>
        <v/>
      </c>
    </row>
    <row r="2691" spans="1:1" x14ac:dyDescent="0.55000000000000004">
      <c r="A2691" t="str">
        <f t="shared" ref="A2691:A2754" si="42">H2691&amp;I2691&amp;J2691</f>
        <v/>
      </c>
    </row>
    <row r="2692" spans="1:1" x14ac:dyDescent="0.55000000000000004">
      <c r="A2692" t="str">
        <f t="shared" si="42"/>
        <v/>
      </c>
    </row>
    <row r="2693" spans="1:1" x14ac:dyDescent="0.55000000000000004">
      <c r="A2693" t="str">
        <f t="shared" si="42"/>
        <v/>
      </c>
    </row>
    <row r="2694" spans="1:1" x14ac:dyDescent="0.55000000000000004">
      <c r="A2694" t="str">
        <f t="shared" si="42"/>
        <v/>
      </c>
    </row>
    <row r="2695" spans="1:1" x14ac:dyDescent="0.55000000000000004">
      <c r="A2695" t="str">
        <f t="shared" si="42"/>
        <v/>
      </c>
    </row>
    <row r="2696" spans="1:1" x14ac:dyDescent="0.55000000000000004">
      <c r="A2696" t="str">
        <f t="shared" si="42"/>
        <v/>
      </c>
    </row>
    <row r="2697" spans="1:1" x14ac:dyDescent="0.55000000000000004">
      <c r="A2697" t="str">
        <f t="shared" si="42"/>
        <v/>
      </c>
    </row>
    <row r="2698" spans="1:1" x14ac:dyDescent="0.55000000000000004">
      <c r="A2698" t="str">
        <f t="shared" si="42"/>
        <v/>
      </c>
    </row>
    <row r="2699" spans="1:1" x14ac:dyDescent="0.55000000000000004">
      <c r="A2699" t="str">
        <f t="shared" si="42"/>
        <v/>
      </c>
    </row>
    <row r="2700" spans="1:1" x14ac:dyDescent="0.55000000000000004">
      <c r="A2700" t="str">
        <f t="shared" si="42"/>
        <v/>
      </c>
    </row>
    <row r="2701" spans="1:1" x14ac:dyDescent="0.55000000000000004">
      <c r="A2701" t="str">
        <f t="shared" si="42"/>
        <v/>
      </c>
    </row>
    <row r="2702" spans="1:1" x14ac:dyDescent="0.55000000000000004">
      <c r="A2702" t="str">
        <f t="shared" si="42"/>
        <v/>
      </c>
    </row>
    <row r="2703" spans="1:1" x14ac:dyDescent="0.55000000000000004">
      <c r="A2703" t="str">
        <f t="shared" si="42"/>
        <v/>
      </c>
    </row>
    <row r="2704" spans="1:1" x14ac:dyDescent="0.55000000000000004">
      <c r="A2704" t="str">
        <f t="shared" si="42"/>
        <v/>
      </c>
    </row>
    <row r="2705" spans="1:1" x14ac:dyDescent="0.55000000000000004">
      <c r="A2705" t="str">
        <f t="shared" si="42"/>
        <v/>
      </c>
    </row>
    <row r="2706" spans="1:1" x14ac:dyDescent="0.55000000000000004">
      <c r="A2706" t="str">
        <f t="shared" si="42"/>
        <v/>
      </c>
    </row>
    <row r="2707" spans="1:1" x14ac:dyDescent="0.55000000000000004">
      <c r="A2707" t="str">
        <f t="shared" si="42"/>
        <v/>
      </c>
    </row>
    <row r="2708" spans="1:1" x14ac:dyDescent="0.55000000000000004">
      <c r="A2708" t="str">
        <f t="shared" si="42"/>
        <v/>
      </c>
    </row>
    <row r="2709" spans="1:1" x14ac:dyDescent="0.55000000000000004">
      <c r="A2709" t="str">
        <f t="shared" si="42"/>
        <v/>
      </c>
    </row>
    <row r="2710" spans="1:1" x14ac:dyDescent="0.55000000000000004">
      <c r="A2710" t="str">
        <f t="shared" si="42"/>
        <v/>
      </c>
    </row>
    <row r="2711" spans="1:1" x14ac:dyDescent="0.55000000000000004">
      <c r="A2711" t="str">
        <f t="shared" si="42"/>
        <v/>
      </c>
    </row>
    <row r="2712" spans="1:1" x14ac:dyDescent="0.55000000000000004">
      <c r="A2712" t="str">
        <f t="shared" si="42"/>
        <v/>
      </c>
    </row>
    <row r="2713" spans="1:1" x14ac:dyDescent="0.55000000000000004">
      <c r="A2713" t="str">
        <f t="shared" si="42"/>
        <v/>
      </c>
    </row>
    <row r="2714" spans="1:1" x14ac:dyDescent="0.55000000000000004">
      <c r="A2714" t="str">
        <f t="shared" si="42"/>
        <v/>
      </c>
    </row>
    <row r="2715" spans="1:1" x14ac:dyDescent="0.55000000000000004">
      <c r="A2715" t="str">
        <f t="shared" si="42"/>
        <v/>
      </c>
    </row>
    <row r="2716" spans="1:1" x14ac:dyDescent="0.55000000000000004">
      <c r="A2716" t="str">
        <f t="shared" si="42"/>
        <v/>
      </c>
    </row>
    <row r="2717" spans="1:1" x14ac:dyDescent="0.55000000000000004">
      <c r="A2717" t="str">
        <f t="shared" si="42"/>
        <v/>
      </c>
    </row>
    <row r="2718" spans="1:1" x14ac:dyDescent="0.55000000000000004">
      <c r="A2718" t="str">
        <f t="shared" si="42"/>
        <v/>
      </c>
    </row>
    <row r="2719" spans="1:1" x14ac:dyDescent="0.55000000000000004">
      <c r="A2719" t="str">
        <f t="shared" si="42"/>
        <v/>
      </c>
    </row>
    <row r="2720" spans="1:1" x14ac:dyDescent="0.55000000000000004">
      <c r="A2720" t="str">
        <f t="shared" si="42"/>
        <v/>
      </c>
    </row>
    <row r="2721" spans="1:1" x14ac:dyDescent="0.55000000000000004">
      <c r="A2721" t="str">
        <f t="shared" si="42"/>
        <v/>
      </c>
    </row>
    <row r="2722" spans="1:1" x14ac:dyDescent="0.55000000000000004">
      <c r="A2722" t="str">
        <f t="shared" si="42"/>
        <v/>
      </c>
    </row>
    <row r="2723" spans="1:1" x14ac:dyDescent="0.55000000000000004">
      <c r="A2723" t="str">
        <f t="shared" si="42"/>
        <v/>
      </c>
    </row>
    <row r="2724" spans="1:1" x14ac:dyDescent="0.55000000000000004">
      <c r="A2724" t="str">
        <f t="shared" si="42"/>
        <v/>
      </c>
    </row>
    <row r="2725" spans="1:1" x14ac:dyDescent="0.55000000000000004">
      <c r="A2725" t="str">
        <f t="shared" si="42"/>
        <v/>
      </c>
    </row>
    <row r="2726" spans="1:1" x14ac:dyDescent="0.55000000000000004">
      <c r="A2726" t="str">
        <f t="shared" si="42"/>
        <v/>
      </c>
    </row>
    <row r="2727" spans="1:1" x14ac:dyDescent="0.55000000000000004">
      <c r="A2727" t="str">
        <f t="shared" si="42"/>
        <v/>
      </c>
    </row>
    <row r="2728" spans="1:1" x14ac:dyDescent="0.55000000000000004">
      <c r="A2728" t="str">
        <f t="shared" si="42"/>
        <v/>
      </c>
    </row>
    <row r="2729" spans="1:1" x14ac:dyDescent="0.55000000000000004">
      <c r="A2729" t="str">
        <f t="shared" si="42"/>
        <v/>
      </c>
    </row>
    <row r="2730" spans="1:1" x14ac:dyDescent="0.55000000000000004">
      <c r="A2730" t="str">
        <f t="shared" si="42"/>
        <v/>
      </c>
    </row>
    <row r="2731" spans="1:1" x14ac:dyDescent="0.55000000000000004">
      <c r="A2731" t="str">
        <f t="shared" si="42"/>
        <v/>
      </c>
    </row>
    <row r="2732" spans="1:1" x14ac:dyDescent="0.55000000000000004">
      <c r="A2732" t="str">
        <f t="shared" si="42"/>
        <v/>
      </c>
    </row>
    <row r="2733" spans="1:1" x14ac:dyDescent="0.55000000000000004">
      <c r="A2733" t="str">
        <f t="shared" si="42"/>
        <v/>
      </c>
    </row>
    <row r="2734" spans="1:1" x14ac:dyDescent="0.55000000000000004">
      <c r="A2734" t="str">
        <f t="shared" si="42"/>
        <v/>
      </c>
    </row>
    <row r="2735" spans="1:1" x14ac:dyDescent="0.55000000000000004">
      <c r="A2735" t="str">
        <f t="shared" si="42"/>
        <v/>
      </c>
    </row>
    <row r="2736" spans="1:1" x14ac:dyDescent="0.55000000000000004">
      <c r="A2736" t="str">
        <f t="shared" si="42"/>
        <v/>
      </c>
    </row>
    <row r="2737" spans="1:1" x14ac:dyDescent="0.55000000000000004">
      <c r="A2737" t="str">
        <f t="shared" si="42"/>
        <v/>
      </c>
    </row>
    <row r="2738" spans="1:1" x14ac:dyDescent="0.55000000000000004">
      <c r="A2738" t="str">
        <f t="shared" si="42"/>
        <v/>
      </c>
    </row>
    <row r="2739" spans="1:1" x14ac:dyDescent="0.55000000000000004">
      <c r="A2739" t="str">
        <f t="shared" si="42"/>
        <v/>
      </c>
    </row>
    <row r="2740" spans="1:1" x14ac:dyDescent="0.55000000000000004">
      <c r="A2740" t="str">
        <f t="shared" si="42"/>
        <v/>
      </c>
    </row>
    <row r="2741" spans="1:1" x14ac:dyDescent="0.55000000000000004">
      <c r="A2741" t="str">
        <f t="shared" si="42"/>
        <v/>
      </c>
    </row>
    <row r="2742" spans="1:1" x14ac:dyDescent="0.55000000000000004">
      <c r="A2742" t="str">
        <f t="shared" si="42"/>
        <v/>
      </c>
    </row>
    <row r="2743" spans="1:1" x14ac:dyDescent="0.55000000000000004">
      <c r="A2743" t="str">
        <f t="shared" si="42"/>
        <v/>
      </c>
    </row>
    <row r="2744" spans="1:1" x14ac:dyDescent="0.55000000000000004">
      <c r="A2744" t="str">
        <f t="shared" si="42"/>
        <v/>
      </c>
    </row>
    <row r="2745" spans="1:1" x14ac:dyDescent="0.55000000000000004">
      <c r="A2745" t="str">
        <f t="shared" si="42"/>
        <v/>
      </c>
    </row>
    <row r="2746" spans="1:1" x14ac:dyDescent="0.55000000000000004">
      <c r="A2746" t="str">
        <f t="shared" si="42"/>
        <v/>
      </c>
    </row>
    <row r="2747" spans="1:1" x14ac:dyDescent="0.55000000000000004">
      <c r="A2747" t="str">
        <f t="shared" si="42"/>
        <v/>
      </c>
    </row>
    <row r="2748" spans="1:1" x14ac:dyDescent="0.55000000000000004">
      <c r="A2748" t="str">
        <f t="shared" si="42"/>
        <v/>
      </c>
    </row>
    <row r="2749" spans="1:1" x14ac:dyDescent="0.55000000000000004">
      <c r="A2749" t="str">
        <f t="shared" si="42"/>
        <v/>
      </c>
    </row>
    <row r="2750" spans="1:1" x14ac:dyDescent="0.55000000000000004">
      <c r="A2750" t="str">
        <f t="shared" si="42"/>
        <v/>
      </c>
    </row>
    <row r="2751" spans="1:1" x14ac:dyDescent="0.55000000000000004">
      <c r="A2751" t="str">
        <f t="shared" si="42"/>
        <v/>
      </c>
    </row>
    <row r="2752" spans="1:1" x14ac:dyDescent="0.55000000000000004">
      <c r="A2752" t="str">
        <f t="shared" si="42"/>
        <v/>
      </c>
    </row>
    <row r="2753" spans="1:1" x14ac:dyDescent="0.55000000000000004">
      <c r="A2753" t="str">
        <f t="shared" si="42"/>
        <v/>
      </c>
    </row>
    <row r="2754" spans="1:1" x14ac:dyDescent="0.55000000000000004">
      <c r="A2754" t="str">
        <f t="shared" si="42"/>
        <v/>
      </c>
    </row>
    <row r="2755" spans="1:1" x14ac:dyDescent="0.55000000000000004">
      <c r="A2755" t="str">
        <f t="shared" ref="A2755:A2818" si="43">H2755&amp;I2755&amp;J2755</f>
        <v/>
      </c>
    </row>
    <row r="2756" spans="1:1" x14ac:dyDescent="0.55000000000000004">
      <c r="A2756" t="str">
        <f t="shared" si="43"/>
        <v/>
      </c>
    </row>
    <row r="2757" spans="1:1" x14ac:dyDescent="0.55000000000000004">
      <c r="A2757" t="str">
        <f t="shared" si="43"/>
        <v/>
      </c>
    </row>
    <row r="2758" spans="1:1" x14ac:dyDescent="0.55000000000000004">
      <c r="A2758" t="str">
        <f t="shared" si="43"/>
        <v/>
      </c>
    </row>
    <row r="2759" spans="1:1" x14ac:dyDescent="0.55000000000000004">
      <c r="A2759" t="str">
        <f t="shared" si="43"/>
        <v/>
      </c>
    </row>
    <row r="2760" spans="1:1" x14ac:dyDescent="0.55000000000000004">
      <c r="A2760" t="str">
        <f t="shared" si="43"/>
        <v/>
      </c>
    </row>
    <row r="2761" spans="1:1" x14ac:dyDescent="0.55000000000000004">
      <c r="A2761" t="str">
        <f t="shared" si="43"/>
        <v/>
      </c>
    </row>
    <row r="2762" spans="1:1" x14ac:dyDescent="0.55000000000000004">
      <c r="A2762" t="str">
        <f t="shared" si="43"/>
        <v/>
      </c>
    </row>
    <row r="2763" spans="1:1" x14ac:dyDescent="0.55000000000000004">
      <c r="A2763" t="str">
        <f t="shared" si="43"/>
        <v/>
      </c>
    </row>
    <row r="2764" spans="1:1" x14ac:dyDescent="0.55000000000000004">
      <c r="A2764" t="str">
        <f t="shared" si="43"/>
        <v/>
      </c>
    </row>
    <row r="2765" spans="1:1" x14ac:dyDescent="0.55000000000000004">
      <c r="A2765" t="str">
        <f t="shared" si="43"/>
        <v/>
      </c>
    </row>
    <row r="2766" spans="1:1" x14ac:dyDescent="0.55000000000000004">
      <c r="A2766" t="str">
        <f t="shared" si="43"/>
        <v/>
      </c>
    </row>
    <row r="2767" spans="1:1" x14ac:dyDescent="0.55000000000000004">
      <c r="A2767" t="str">
        <f t="shared" si="43"/>
        <v/>
      </c>
    </row>
    <row r="2768" spans="1:1" x14ac:dyDescent="0.55000000000000004">
      <c r="A2768" t="str">
        <f t="shared" si="43"/>
        <v/>
      </c>
    </row>
    <row r="2769" spans="1:1" x14ac:dyDescent="0.55000000000000004">
      <c r="A2769" t="str">
        <f t="shared" si="43"/>
        <v/>
      </c>
    </row>
    <row r="2770" spans="1:1" x14ac:dyDescent="0.55000000000000004">
      <c r="A2770" t="str">
        <f t="shared" si="43"/>
        <v/>
      </c>
    </row>
    <row r="2771" spans="1:1" x14ac:dyDescent="0.55000000000000004">
      <c r="A2771" t="str">
        <f t="shared" si="43"/>
        <v/>
      </c>
    </row>
    <row r="2772" spans="1:1" x14ac:dyDescent="0.55000000000000004">
      <c r="A2772" t="str">
        <f t="shared" si="43"/>
        <v/>
      </c>
    </row>
    <row r="2773" spans="1:1" x14ac:dyDescent="0.55000000000000004">
      <c r="A2773" t="str">
        <f t="shared" si="43"/>
        <v/>
      </c>
    </row>
    <row r="2774" spans="1:1" x14ac:dyDescent="0.55000000000000004">
      <c r="A2774" t="str">
        <f t="shared" si="43"/>
        <v/>
      </c>
    </row>
    <row r="2775" spans="1:1" x14ac:dyDescent="0.55000000000000004">
      <c r="A2775" t="str">
        <f t="shared" si="43"/>
        <v/>
      </c>
    </row>
    <row r="2776" spans="1:1" x14ac:dyDescent="0.55000000000000004">
      <c r="A2776" t="str">
        <f t="shared" si="43"/>
        <v/>
      </c>
    </row>
    <row r="2777" spans="1:1" x14ac:dyDescent="0.55000000000000004">
      <c r="A2777" t="str">
        <f t="shared" si="43"/>
        <v/>
      </c>
    </row>
    <row r="2778" spans="1:1" x14ac:dyDescent="0.55000000000000004">
      <c r="A2778" t="str">
        <f t="shared" si="43"/>
        <v/>
      </c>
    </row>
    <row r="2779" spans="1:1" x14ac:dyDescent="0.55000000000000004">
      <c r="A2779" t="str">
        <f t="shared" si="43"/>
        <v/>
      </c>
    </row>
    <row r="2780" spans="1:1" x14ac:dyDescent="0.55000000000000004">
      <c r="A2780" t="str">
        <f t="shared" si="43"/>
        <v/>
      </c>
    </row>
    <row r="2781" spans="1:1" x14ac:dyDescent="0.55000000000000004">
      <c r="A2781" t="str">
        <f t="shared" si="43"/>
        <v/>
      </c>
    </row>
    <row r="2782" spans="1:1" x14ac:dyDescent="0.55000000000000004">
      <c r="A2782" t="str">
        <f t="shared" si="43"/>
        <v/>
      </c>
    </row>
    <row r="2783" spans="1:1" x14ac:dyDescent="0.55000000000000004">
      <c r="A2783" t="str">
        <f t="shared" si="43"/>
        <v/>
      </c>
    </row>
    <row r="2784" spans="1:1" x14ac:dyDescent="0.55000000000000004">
      <c r="A2784" t="str">
        <f t="shared" si="43"/>
        <v/>
      </c>
    </row>
    <row r="2785" spans="1:1" x14ac:dyDescent="0.55000000000000004">
      <c r="A2785" t="str">
        <f t="shared" si="43"/>
        <v/>
      </c>
    </row>
    <row r="2786" spans="1:1" x14ac:dyDescent="0.55000000000000004">
      <c r="A2786" t="str">
        <f t="shared" si="43"/>
        <v/>
      </c>
    </row>
    <row r="2787" spans="1:1" x14ac:dyDescent="0.55000000000000004">
      <c r="A2787" t="str">
        <f t="shared" si="43"/>
        <v/>
      </c>
    </row>
    <row r="2788" spans="1:1" x14ac:dyDescent="0.55000000000000004">
      <c r="A2788" t="str">
        <f t="shared" si="43"/>
        <v/>
      </c>
    </row>
    <row r="2789" spans="1:1" x14ac:dyDescent="0.55000000000000004">
      <c r="A2789" t="str">
        <f t="shared" si="43"/>
        <v/>
      </c>
    </row>
    <row r="2790" spans="1:1" x14ac:dyDescent="0.55000000000000004">
      <c r="A2790" t="str">
        <f t="shared" si="43"/>
        <v/>
      </c>
    </row>
    <row r="2791" spans="1:1" x14ac:dyDescent="0.55000000000000004">
      <c r="A2791" t="str">
        <f t="shared" si="43"/>
        <v/>
      </c>
    </row>
    <row r="2792" spans="1:1" x14ac:dyDescent="0.55000000000000004">
      <c r="A2792" t="str">
        <f t="shared" si="43"/>
        <v/>
      </c>
    </row>
    <row r="2793" spans="1:1" x14ac:dyDescent="0.55000000000000004">
      <c r="A2793" t="str">
        <f t="shared" si="43"/>
        <v/>
      </c>
    </row>
    <row r="2794" spans="1:1" x14ac:dyDescent="0.55000000000000004">
      <c r="A2794" t="str">
        <f t="shared" si="43"/>
        <v/>
      </c>
    </row>
    <row r="2795" spans="1:1" x14ac:dyDescent="0.55000000000000004">
      <c r="A2795" t="str">
        <f t="shared" si="43"/>
        <v/>
      </c>
    </row>
    <row r="2796" spans="1:1" x14ac:dyDescent="0.55000000000000004">
      <c r="A2796" t="str">
        <f t="shared" si="43"/>
        <v/>
      </c>
    </row>
    <row r="2797" spans="1:1" x14ac:dyDescent="0.55000000000000004">
      <c r="A2797" t="str">
        <f t="shared" si="43"/>
        <v/>
      </c>
    </row>
    <row r="2798" spans="1:1" x14ac:dyDescent="0.55000000000000004">
      <c r="A2798" t="str">
        <f t="shared" si="43"/>
        <v/>
      </c>
    </row>
    <row r="2799" spans="1:1" x14ac:dyDescent="0.55000000000000004">
      <c r="A2799" t="str">
        <f t="shared" si="43"/>
        <v/>
      </c>
    </row>
    <row r="2800" spans="1:1" x14ac:dyDescent="0.55000000000000004">
      <c r="A2800" t="str">
        <f t="shared" si="43"/>
        <v/>
      </c>
    </row>
    <row r="2801" spans="1:1" x14ac:dyDescent="0.55000000000000004">
      <c r="A2801" t="str">
        <f t="shared" si="43"/>
        <v/>
      </c>
    </row>
    <row r="2802" spans="1:1" x14ac:dyDescent="0.55000000000000004">
      <c r="A2802" t="str">
        <f t="shared" si="43"/>
        <v/>
      </c>
    </row>
    <row r="2803" spans="1:1" x14ac:dyDescent="0.55000000000000004">
      <c r="A2803" t="str">
        <f t="shared" si="43"/>
        <v/>
      </c>
    </row>
    <row r="2804" spans="1:1" x14ac:dyDescent="0.55000000000000004">
      <c r="A2804" t="str">
        <f t="shared" si="43"/>
        <v/>
      </c>
    </row>
    <row r="2805" spans="1:1" x14ac:dyDescent="0.55000000000000004">
      <c r="A2805" t="str">
        <f t="shared" si="43"/>
        <v/>
      </c>
    </row>
    <row r="2806" spans="1:1" x14ac:dyDescent="0.55000000000000004">
      <c r="A2806" t="str">
        <f t="shared" si="43"/>
        <v/>
      </c>
    </row>
    <row r="2807" spans="1:1" x14ac:dyDescent="0.55000000000000004">
      <c r="A2807" t="str">
        <f t="shared" si="43"/>
        <v/>
      </c>
    </row>
    <row r="2808" spans="1:1" x14ac:dyDescent="0.55000000000000004">
      <c r="A2808" t="str">
        <f t="shared" si="43"/>
        <v/>
      </c>
    </row>
    <row r="2809" spans="1:1" x14ac:dyDescent="0.55000000000000004">
      <c r="A2809" t="str">
        <f t="shared" si="43"/>
        <v/>
      </c>
    </row>
    <row r="2810" spans="1:1" x14ac:dyDescent="0.55000000000000004">
      <c r="A2810" t="str">
        <f t="shared" si="43"/>
        <v/>
      </c>
    </row>
    <row r="2811" spans="1:1" x14ac:dyDescent="0.55000000000000004">
      <c r="A2811" t="str">
        <f t="shared" si="43"/>
        <v/>
      </c>
    </row>
    <row r="2812" spans="1:1" x14ac:dyDescent="0.55000000000000004">
      <c r="A2812" t="str">
        <f t="shared" si="43"/>
        <v/>
      </c>
    </row>
    <row r="2813" spans="1:1" x14ac:dyDescent="0.55000000000000004">
      <c r="A2813" t="str">
        <f t="shared" si="43"/>
        <v/>
      </c>
    </row>
    <row r="2814" spans="1:1" x14ac:dyDescent="0.55000000000000004">
      <c r="A2814" t="str">
        <f t="shared" si="43"/>
        <v/>
      </c>
    </row>
    <row r="2815" spans="1:1" x14ac:dyDescent="0.55000000000000004">
      <c r="A2815" t="str">
        <f t="shared" si="43"/>
        <v/>
      </c>
    </row>
    <row r="2816" spans="1:1" x14ac:dyDescent="0.55000000000000004">
      <c r="A2816" t="str">
        <f t="shared" si="43"/>
        <v/>
      </c>
    </row>
    <row r="2817" spans="1:1" x14ac:dyDescent="0.55000000000000004">
      <c r="A2817" t="str">
        <f t="shared" si="43"/>
        <v/>
      </c>
    </row>
    <row r="2818" spans="1:1" x14ac:dyDescent="0.55000000000000004">
      <c r="A2818" t="str">
        <f t="shared" si="43"/>
        <v/>
      </c>
    </row>
    <row r="2819" spans="1:1" x14ac:dyDescent="0.55000000000000004">
      <c r="A2819" t="str">
        <f t="shared" ref="A2819:A2882" si="44">H2819&amp;I2819&amp;J2819</f>
        <v/>
      </c>
    </row>
    <row r="2820" spans="1:1" x14ac:dyDescent="0.55000000000000004">
      <c r="A2820" t="str">
        <f t="shared" si="44"/>
        <v/>
      </c>
    </row>
    <row r="2821" spans="1:1" x14ac:dyDescent="0.55000000000000004">
      <c r="A2821" t="str">
        <f t="shared" si="44"/>
        <v/>
      </c>
    </row>
    <row r="2822" spans="1:1" x14ac:dyDescent="0.55000000000000004">
      <c r="A2822" t="str">
        <f t="shared" si="44"/>
        <v/>
      </c>
    </row>
    <row r="2823" spans="1:1" x14ac:dyDescent="0.55000000000000004">
      <c r="A2823" t="str">
        <f t="shared" si="44"/>
        <v/>
      </c>
    </row>
    <row r="2824" spans="1:1" x14ac:dyDescent="0.55000000000000004">
      <c r="A2824" t="str">
        <f t="shared" si="44"/>
        <v/>
      </c>
    </row>
    <row r="2825" spans="1:1" x14ac:dyDescent="0.55000000000000004">
      <c r="A2825" t="str">
        <f t="shared" si="44"/>
        <v/>
      </c>
    </row>
    <row r="2826" spans="1:1" x14ac:dyDescent="0.55000000000000004">
      <c r="A2826" t="str">
        <f t="shared" si="44"/>
        <v/>
      </c>
    </row>
    <row r="2827" spans="1:1" x14ac:dyDescent="0.55000000000000004">
      <c r="A2827" t="str">
        <f t="shared" si="44"/>
        <v/>
      </c>
    </row>
    <row r="2828" spans="1:1" x14ac:dyDescent="0.55000000000000004">
      <c r="A2828" t="str">
        <f t="shared" si="44"/>
        <v/>
      </c>
    </row>
    <row r="2829" spans="1:1" x14ac:dyDescent="0.55000000000000004">
      <c r="A2829" t="str">
        <f t="shared" si="44"/>
        <v/>
      </c>
    </row>
    <row r="2830" spans="1:1" x14ac:dyDescent="0.55000000000000004">
      <c r="A2830" t="str">
        <f t="shared" si="44"/>
        <v/>
      </c>
    </row>
    <row r="2831" spans="1:1" x14ac:dyDescent="0.55000000000000004">
      <c r="A2831" t="str">
        <f t="shared" si="44"/>
        <v/>
      </c>
    </row>
    <row r="2832" spans="1:1" x14ac:dyDescent="0.55000000000000004">
      <c r="A2832" t="str">
        <f t="shared" si="44"/>
        <v/>
      </c>
    </row>
    <row r="2833" spans="1:1" x14ac:dyDescent="0.55000000000000004">
      <c r="A2833" t="str">
        <f t="shared" si="44"/>
        <v/>
      </c>
    </row>
    <row r="2834" spans="1:1" x14ac:dyDescent="0.55000000000000004">
      <c r="A2834" t="str">
        <f t="shared" si="44"/>
        <v/>
      </c>
    </row>
    <row r="2835" spans="1:1" x14ac:dyDescent="0.55000000000000004">
      <c r="A2835" t="str">
        <f t="shared" si="44"/>
        <v/>
      </c>
    </row>
    <row r="2836" spans="1:1" x14ac:dyDescent="0.55000000000000004">
      <c r="A2836" t="str">
        <f t="shared" si="44"/>
        <v/>
      </c>
    </row>
    <row r="2837" spans="1:1" x14ac:dyDescent="0.55000000000000004">
      <c r="A2837" t="str">
        <f t="shared" si="44"/>
        <v/>
      </c>
    </row>
    <row r="2838" spans="1:1" x14ac:dyDescent="0.55000000000000004">
      <c r="A2838" t="str">
        <f t="shared" si="44"/>
        <v/>
      </c>
    </row>
    <row r="2839" spans="1:1" x14ac:dyDescent="0.55000000000000004">
      <c r="A2839" t="str">
        <f t="shared" si="44"/>
        <v/>
      </c>
    </row>
    <row r="2840" spans="1:1" x14ac:dyDescent="0.55000000000000004">
      <c r="A2840" t="str">
        <f t="shared" si="44"/>
        <v/>
      </c>
    </row>
    <row r="2841" spans="1:1" x14ac:dyDescent="0.55000000000000004">
      <c r="A2841" t="str">
        <f t="shared" si="44"/>
        <v/>
      </c>
    </row>
    <row r="2842" spans="1:1" x14ac:dyDescent="0.55000000000000004">
      <c r="A2842" t="str">
        <f t="shared" si="44"/>
        <v/>
      </c>
    </row>
    <row r="2843" spans="1:1" x14ac:dyDescent="0.55000000000000004">
      <c r="A2843" t="str">
        <f t="shared" si="44"/>
        <v/>
      </c>
    </row>
    <row r="2844" spans="1:1" x14ac:dyDescent="0.55000000000000004">
      <c r="A2844" t="str">
        <f t="shared" si="44"/>
        <v/>
      </c>
    </row>
    <row r="2845" spans="1:1" x14ac:dyDescent="0.55000000000000004">
      <c r="A2845" t="str">
        <f t="shared" si="44"/>
        <v/>
      </c>
    </row>
    <row r="2846" spans="1:1" x14ac:dyDescent="0.55000000000000004">
      <c r="A2846" t="str">
        <f t="shared" si="44"/>
        <v/>
      </c>
    </row>
    <row r="2847" spans="1:1" x14ac:dyDescent="0.55000000000000004">
      <c r="A2847" t="str">
        <f t="shared" si="44"/>
        <v/>
      </c>
    </row>
    <row r="2848" spans="1:1" x14ac:dyDescent="0.55000000000000004">
      <c r="A2848" t="str">
        <f t="shared" si="44"/>
        <v/>
      </c>
    </row>
    <row r="2849" spans="1:1" x14ac:dyDescent="0.55000000000000004">
      <c r="A2849" t="str">
        <f t="shared" si="44"/>
        <v/>
      </c>
    </row>
    <row r="2850" spans="1:1" x14ac:dyDescent="0.55000000000000004">
      <c r="A2850" t="str">
        <f t="shared" si="44"/>
        <v/>
      </c>
    </row>
    <row r="2851" spans="1:1" x14ac:dyDescent="0.55000000000000004">
      <c r="A2851" t="str">
        <f t="shared" si="44"/>
        <v/>
      </c>
    </row>
    <row r="2852" spans="1:1" x14ac:dyDescent="0.55000000000000004">
      <c r="A2852" t="str">
        <f t="shared" si="44"/>
        <v/>
      </c>
    </row>
    <row r="2853" spans="1:1" x14ac:dyDescent="0.55000000000000004">
      <c r="A2853" t="str">
        <f t="shared" si="44"/>
        <v/>
      </c>
    </row>
    <row r="2854" spans="1:1" x14ac:dyDescent="0.55000000000000004">
      <c r="A2854" t="str">
        <f t="shared" si="44"/>
        <v/>
      </c>
    </row>
    <row r="2855" spans="1:1" x14ac:dyDescent="0.55000000000000004">
      <c r="A2855" t="str">
        <f t="shared" si="44"/>
        <v/>
      </c>
    </row>
    <row r="2856" spans="1:1" x14ac:dyDescent="0.55000000000000004">
      <c r="A2856" t="str">
        <f t="shared" si="44"/>
        <v/>
      </c>
    </row>
    <row r="2857" spans="1:1" x14ac:dyDescent="0.55000000000000004">
      <c r="A2857" t="str">
        <f t="shared" si="44"/>
        <v/>
      </c>
    </row>
    <row r="2858" spans="1:1" x14ac:dyDescent="0.55000000000000004">
      <c r="A2858" t="str">
        <f t="shared" si="44"/>
        <v/>
      </c>
    </row>
    <row r="2859" spans="1:1" x14ac:dyDescent="0.55000000000000004">
      <c r="A2859" t="str">
        <f t="shared" si="44"/>
        <v/>
      </c>
    </row>
    <row r="2860" spans="1:1" x14ac:dyDescent="0.55000000000000004">
      <c r="A2860" t="str">
        <f t="shared" si="44"/>
        <v/>
      </c>
    </row>
    <row r="2861" spans="1:1" x14ac:dyDescent="0.55000000000000004">
      <c r="A2861" t="str">
        <f t="shared" si="44"/>
        <v/>
      </c>
    </row>
    <row r="2862" spans="1:1" x14ac:dyDescent="0.55000000000000004">
      <c r="A2862" t="str">
        <f t="shared" si="44"/>
        <v/>
      </c>
    </row>
    <row r="2863" spans="1:1" x14ac:dyDescent="0.55000000000000004">
      <c r="A2863" t="str">
        <f t="shared" si="44"/>
        <v/>
      </c>
    </row>
    <row r="2864" spans="1:1" x14ac:dyDescent="0.55000000000000004">
      <c r="A2864" t="str">
        <f t="shared" si="44"/>
        <v/>
      </c>
    </row>
    <row r="2865" spans="1:1" x14ac:dyDescent="0.55000000000000004">
      <c r="A2865" t="str">
        <f t="shared" si="44"/>
        <v/>
      </c>
    </row>
    <row r="2866" spans="1:1" x14ac:dyDescent="0.55000000000000004">
      <c r="A2866" t="str">
        <f t="shared" si="44"/>
        <v/>
      </c>
    </row>
    <row r="2867" spans="1:1" x14ac:dyDescent="0.55000000000000004">
      <c r="A2867" t="str">
        <f t="shared" si="44"/>
        <v/>
      </c>
    </row>
    <row r="2868" spans="1:1" x14ac:dyDescent="0.55000000000000004">
      <c r="A2868" t="str">
        <f t="shared" si="44"/>
        <v/>
      </c>
    </row>
    <row r="2869" spans="1:1" x14ac:dyDescent="0.55000000000000004">
      <c r="A2869" t="str">
        <f t="shared" si="44"/>
        <v/>
      </c>
    </row>
    <row r="2870" spans="1:1" x14ac:dyDescent="0.55000000000000004">
      <c r="A2870" t="str">
        <f t="shared" si="44"/>
        <v/>
      </c>
    </row>
    <row r="2871" spans="1:1" x14ac:dyDescent="0.55000000000000004">
      <c r="A2871" t="str">
        <f t="shared" si="44"/>
        <v/>
      </c>
    </row>
    <row r="2872" spans="1:1" x14ac:dyDescent="0.55000000000000004">
      <c r="A2872" t="str">
        <f t="shared" si="44"/>
        <v/>
      </c>
    </row>
    <row r="2873" spans="1:1" x14ac:dyDescent="0.55000000000000004">
      <c r="A2873" t="str">
        <f t="shared" si="44"/>
        <v/>
      </c>
    </row>
    <row r="2874" spans="1:1" x14ac:dyDescent="0.55000000000000004">
      <c r="A2874" t="str">
        <f t="shared" si="44"/>
        <v/>
      </c>
    </row>
    <row r="2875" spans="1:1" x14ac:dyDescent="0.55000000000000004">
      <c r="A2875" t="str">
        <f t="shared" si="44"/>
        <v/>
      </c>
    </row>
    <row r="2876" spans="1:1" x14ac:dyDescent="0.55000000000000004">
      <c r="A2876" t="str">
        <f t="shared" si="44"/>
        <v/>
      </c>
    </row>
    <row r="2877" spans="1:1" x14ac:dyDescent="0.55000000000000004">
      <c r="A2877" t="str">
        <f t="shared" si="44"/>
        <v/>
      </c>
    </row>
    <row r="2878" spans="1:1" x14ac:dyDescent="0.55000000000000004">
      <c r="A2878" t="str">
        <f t="shared" si="44"/>
        <v/>
      </c>
    </row>
    <row r="2879" spans="1:1" x14ac:dyDescent="0.55000000000000004">
      <c r="A2879" t="str">
        <f t="shared" si="44"/>
        <v/>
      </c>
    </row>
    <row r="2880" spans="1:1" x14ac:dyDescent="0.55000000000000004">
      <c r="A2880" t="str">
        <f t="shared" si="44"/>
        <v/>
      </c>
    </row>
    <row r="2881" spans="1:1" x14ac:dyDescent="0.55000000000000004">
      <c r="A2881" t="str">
        <f t="shared" si="44"/>
        <v/>
      </c>
    </row>
    <row r="2882" spans="1:1" x14ac:dyDescent="0.55000000000000004">
      <c r="A2882" t="str">
        <f t="shared" si="44"/>
        <v/>
      </c>
    </row>
    <row r="2883" spans="1:1" x14ac:dyDescent="0.55000000000000004">
      <c r="A2883" t="str">
        <f t="shared" ref="A2883:A2946" si="45">H2883&amp;I2883&amp;J2883</f>
        <v/>
      </c>
    </row>
    <row r="2884" spans="1:1" x14ac:dyDescent="0.55000000000000004">
      <c r="A2884" t="str">
        <f t="shared" si="45"/>
        <v/>
      </c>
    </row>
    <row r="2885" spans="1:1" x14ac:dyDescent="0.55000000000000004">
      <c r="A2885" t="str">
        <f t="shared" si="45"/>
        <v/>
      </c>
    </row>
    <row r="2886" spans="1:1" x14ac:dyDescent="0.55000000000000004">
      <c r="A2886" t="str">
        <f t="shared" si="45"/>
        <v/>
      </c>
    </row>
    <row r="2887" spans="1:1" x14ac:dyDescent="0.55000000000000004">
      <c r="A2887" t="str">
        <f t="shared" si="45"/>
        <v/>
      </c>
    </row>
    <row r="2888" spans="1:1" x14ac:dyDescent="0.55000000000000004">
      <c r="A2888" t="str">
        <f t="shared" si="45"/>
        <v/>
      </c>
    </row>
    <row r="2889" spans="1:1" x14ac:dyDescent="0.55000000000000004">
      <c r="A2889" t="str">
        <f t="shared" si="45"/>
        <v/>
      </c>
    </row>
    <row r="2890" spans="1:1" x14ac:dyDescent="0.55000000000000004">
      <c r="A2890" t="str">
        <f t="shared" si="45"/>
        <v/>
      </c>
    </row>
    <row r="2891" spans="1:1" x14ac:dyDescent="0.55000000000000004">
      <c r="A2891" t="str">
        <f t="shared" si="45"/>
        <v/>
      </c>
    </row>
    <row r="2892" spans="1:1" x14ac:dyDescent="0.55000000000000004">
      <c r="A2892" t="str">
        <f t="shared" si="45"/>
        <v/>
      </c>
    </row>
    <row r="2893" spans="1:1" x14ac:dyDescent="0.55000000000000004">
      <c r="A2893" t="str">
        <f t="shared" si="45"/>
        <v/>
      </c>
    </row>
    <row r="2894" spans="1:1" x14ac:dyDescent="0.55000000000000004">
      <c r="A2894" t="str">
        <f t="shared" si="45"/>
        <v/>
      </c>
    </row>
    <row r="2895" spans="1:1" x14ac:dyDescent="0.55000000000000004">
      <c r="A2895" t="str">
        <f t="shared" si="45"/>
        <v/>
      </c>
    </row>
    <row r="2896" spans="1:1" x14ac:dyDescent="0.55000000000000004">
      <c r="A2896" t="str">
        <f t="shared" si="45"/>
        <v/>
      </c>
    </row>
    <row r="2897" spans="1:1" x14ac:dyDescent="0.55000000000000004">
      <c r="A2897" t="str">
        <f t="shared" si="45"/>
        <v/>
      </c>
    </row>
    <row r="2898" spans="1:1" x14ac:dyDescent="0.55000000000000004">
      <c r="A2898" t="str">
        <f t="shared" si="45"/>
        <v/>
      </c>
    </row>
    <row r="2899" spans="1:1" x14ac:dyDescent="0.55000000000000004">
      <c r="A2899" t="str">
        <f t="shared" si="45"/>
        <v/>
      </c>
    </row>
    <row r="2900" spans="1:1" x14ac:dyDescent="0.55000000000000004">
      <c r="A2900" t="str">
        <f t="shared" si="45"/>
        <v/>
      </c>
    </row>
    <row r="2901" spans="1:1" x14ac:dyDescent="0.55000000000000004">
      <c r="A2901" t="str">
        <f t="shared" si="45"/>
        <v/>
      </c>
    </row>
    <row r="2902" spans="1:1" x14ac:dyDescent="0.55000000000000004">
      <c r="A2902" t="str">
        <f t="shared" si="45"/>
        <v/>
      </c>
    </row>
    <row r="2903" spans="1:1" x14ac:dyDescent="0.55000000000000004">
      <c r="A2903" t="str">
        <f t="shared" si="45"/>
        <v/>
      </c>
    </row>
    <row r="2904" spans="1:1" x14ac:dyDescent="0.55000000000000004">
      <c r="A2904" t="str">
        <f t="shared" si="45"/>
        <v/>
      </c>
    </row>
    <row r="2905" spans="1:1" x14ac:dyDescent="0.55000000000000004">
      <c r="A2905" t="str">
        <f t="shared" si="45"/>
        <v/>
      </c>
    </row>
    <row r="2906" spans="1:1" x14ac:dyDescent="0.55000000000000004">
      <c r="A2906" t="str">
        <f t="shared" si="45"/>
        <v/>
      </c>
    </row>
    <row r="2907" spans="1:1" x14ac:dyDescent="0.55000000000000004">
      <c r="A2907" t="str">
        <f t="shared" si="45"/>
        <v/>
      </c>
    </row>
    <row r="2908" spans="1:1" x14ac:dyDescent="0.55000000000000004">
      <c r="A2908" t="str">
        <f t="shared" si="45"/>
        <v/>
      </c>
    </row>
    <row r="2909" spans="1:1" x14ac:dyDescent="0.55000000000000004">
      <c r="A2909" t="str">
        <f t="shared" si="45"/>
        <v/>
      </c>
    </row>
    <row r="2910" spans="1:1" x14ac:dyDescent="0.55000000000000004">
      <c r="A2910" t="str">
        <f t="shared" si="45"/>
        <v/>
      </c>
    </row>
    <row r="2911" spans="1:1" x14ac:dyDescent="0.55000000000000004">
      <c r="A2911" t="str">
        <f t="shared" si="45"/>
        <v/>
      </c>
    </row>
    <row r="2912" spans="1:1" x14ac:dyDescent="0.55000000000000004">
      <c r="A2912" t="str">
        <f t="shared" si="45"/>
        <v/>
      </c>
    </row>
    <row r="2913" spans="1:1" x14ac:dyDescent="0.55000000000000004">
      <c r="A2913" t="str">
        <f t="shared" si="45"/>
        <v/>
      </c>
    </row>
    <row r="2914" spans="1:1" x14ac:dyDescent="0.55000000000000004">
      <c r="A2914" t="str">
        <f t="shared" si="45"/>
        <v/>
      </c>
    </row>
    <row r="2915" spans="1:1" x14ac:dyDescent="0.55000000000000004">
      <c r="A2915" t="str">
        <f t="shared" si="45"/>
        <v/>
      </c>
    </row>
    <row r="2916" spans="1:1" x14ac:dyDescent="0.55000000000000004">
      <c r="A2916" t="str">
        <f t="shared" si="45"/>
        <v/>
      </c>
    </row>
    <row r="2917" spans="1:1" x14ac:dyDescent="0.55000000000000004">
      <c r="A2917" t="str">
        <f t="shared" si="45"/>
        <v/>
      </c>
    </row>
    <row r="2918" spans="1:1" x14ac:dyDescent="0.55000000000000004">
      <c r="A2918" t="str">
        <f t="shared" si="45"/>
        <v/>
      </c>
    </row>
    <row r="2919" spans="1:1" x14ac:dyDescent="0.55000000000000004">
      <c r="A2919" t="str">
        <f t="shared" si="45"/>
        <v/>
      </c>
    </row>
    <row r="2920" spans="1:1" x14ac:dyDescent="0.55000000000000004">
      <c r="A2920" t="str">
        <f t="shared" si="45"/>
        <v/>
      </c>
    </row>
    <row r="2921" spans="1:1" x14ac:dyDescent="0.55000000000000004">
      <c r="A2921" t="str">
        <f t="shared" si="45"/>
        <v/>
      </c>
    </row>
    <row r="2922" spans="1:1" x14ac:dyDescent="0.55000000000000004">
      <c r="A2922" t="str">
        <f t="shared" si="45"/>
        <v/>
      </c>
    </row>
    <row r="2923" spans="1:1" x14ac:dyDescent="0.55000000000000004">
      <c r="A2923" t="str">
        <f t="shared" si="45"/>
        <v/>
      </c>
    </row>
    <row r="2924" spans="1:1" x14ac:dyDescent="0.55000000000000004">
      <c r="A2924" t="str">
        <f t="shared" si="45"/>
        <v/>
      </c>
    </row>
    <row r="2925" spans="1:1" x14ac:dyDescent="0.55000000000000004">
      <c r="A2925" t="str">
        <f t="shared" si="45"/>
        <v/>
      </c>
    </row>
    <row r="2926" spans="1:1" x14ac:dyDescent="0.55000000000000004">
      <c r="A2926" t="str">
        <f t="shared" si="45"/>
        <v/>
      </c>
    </row>
    <row r="2927" spans="1:1" x14ac:dyDescent="0.55000000000000004">
      <c r="A2927" t="str">
        <f t="shared" si="45"/>
        <v/>
      </c>
    </row>
    <row r="2928" spans="1:1" x14ac:dyDescent="0.55000000000000004">
      <c r="A2928" t="str">
        <f t="shared" si="45"/>
        <v/>
      </c>
    </row>
    <row r="2929" spans="1:1" x14ac:dyDescent="0.55000000000000004">
      <c r="A2929" t="str">
        <f t="shared" si="45"/>
        <v/>
      </c>
    </row>
    <row r="2930" spans="1:1" x14ac:dyDescent="0.55000000000000004">
      <c r="A2930" t="str">
        <f t="shared" si="45"/>
        <v/>
      </c>
    </row>
    <row r="2931" spans="1:1" x14ac:dyDescent="0.55000000000000004">
      <c r="A2931" t="str">
        <f t="shared" si="45"/>
        <v/>
      </c>
    </row>
    <row r="2932" spans="1:1" x14ac:dyDescent="0.55000000000000004">
      <c r="A2932" t="str">
        <f t="shared" si="45"/>
        <v/>
      </c>
    </row>
    <row r="2933" spans="1:1" x14ac:dyDescent="0.55000000000000004">
      <c r="A2933" t="str">
        <f t="shared" si="45"/>
        <v/>
      </c>
    </row>
    <row r="2934" spans="1:1" x14ac:dyDescent="0.55000000000000004">
      <c r="A2934" t="str">
        <f t="shared" si="45"/>
        <v/>
      </c>
    </row>
    <row r="2935" spans="1:1" x14ac:dyDescent="0.55000000000000004">
      <c r="A2935" t="str">
        <f t="shared" si="45"/>
        <v/>
      </c>
    </row>
    <row r="2936" spans="1:1" x14ac:dyDescent="0.55000000000000004">
      <c r="A2936" t="str">
        <f t="shared" si="45"/>
        <v/>
      </c>
    </row>
    <row r="2937" spans="1:1" x14ac:dyDescent="0.55000000000000004">
      <c r="A2937" t="str">
        <f t="shared" si="45"/>
        <v/>
      </c>
    </row>
    <row r="2938" spans="1:1" x14ac:dyDescent="0.55000000000000004">
      <c r="A2938" t="str">
        <f t="shared" si="45"/>
        <v/>
      </c>
    </row>
    <row r="2939" spans="1:1" x14ac:dyDescent="0.55000000000000004">
      <c r="A2939" t="str">
        <f t="shared" si="45"/>
        <v/>
      </c>
    </row>
    <row r="2940" spans="1:1" x14ac:dyDescent="0.55000000000000004">
      <c r="A2940" t="str">
        <f t="shared" si="45"/>
        <v/>
      </c>
    </row>
    <row r="2941" spans="1:1" x14ac:dyDescent="0.55000000000000004">
      <c r="A2941" t="str">
        <f t="shared" si="45"/>
        <v/>
      </c>
    </row>
    <row r="2942" spans="1:1" x14ac:dyDescent="0.55000000000000004">
      <c r="A2942" t="str">
        <f t="shared" si="45"/>
        <v/>
      </c>
    </row>
    <row r="2943" spans="1:1" x14ac:dyDescent="0.55000000000000004">
      <c r="A2943" t="str">
        <f t="shared" si="45"/>
        <v/>
      </c>
    </row>
    <row r="2944" spans="1:1" x14ac:dyDescent="0.55000000000000004">
      <c r="A2944" t="str">
        <f t="shared" si="45"/>
        <v/>
      </c>
    </row>
    <row r="2945" spans="1:1" x14ac:dyDescent="0.55000000000000004">
      <c r="A2945" t="str">
        <f t="shared" si="45"/>
        <v/>
      </c>
    </row>
    <row r="2946" spans="1:1" x14ac:dyDescent="0.55000000000000004">
      <c r="A2946" t="str">
        <f t="shared" si="45"/>
        <v/>
      </c>
    </row>
    <row r="2947" spans="1:1" x14ac:dyDescent="0.55000000000000004">
      <c r="A2947" t="str">
        <f t="shared" ref="A2947:A3000" si="46">H2947&amp;I2947&amp;J2947</f>
        <v/>
      </c>
    </row>
    <row r="2948" spans="1:1" x14ac:dyDescent="0.55000000000000004">
      <c r="A2948" t="str">
        <f t="shared" si="46"/>
        <v/>
      </c>
    </row>
    <row r="2949" spans="1:1" x14ac:dyDescent="0.55000000000000004">
      <c r="A2949" t="str">
        <f t="shared" si="46"/>
        <v/>
      </c>
    </row>
    <row r="2950" spans="1:1" x14ac:dyDescent="0.55000000000000004">
      <c r="A2950" t="str">
        <f t="shared" si="46"/>
        <v/>
      </c>
    </row>
    <row r="2951" spans="1:1" x14ac:dyDescent="0.55000000000000004">
      <c r="A2951" t="str">
        <f t="shared" si="46"/>
        <v/>
      </c>
    </row>
    <row r="2952" spans="1:1" x14ac:dyDescent="0.55000000000000004">
      <c r="A2952" t="str">
        <f t="shared" si="46"/>
        <v/>
      </c>
    </row>
    <row r="2953" spans="1:1" x14ac:dyDescent="0.55000000000000004">
      <c r="A2953" t="str">
        <f t="shared" si="46"/>
        <v/>
      </c>
    </row>
    <row r="2954" spans="1:1" x14ac:dyDescent="0.55000000000000004">
      <c r="A2954" t="str">
        <f t="shared" si="46"/>
        <v/>
      </c>
    </row>
    <row r="2955" spans="1:1" x14ac:dyDescent="0.55000000000000004">
      <c r="A2955" t="str">
        <f t="shared" si="46"/>
        <v/>
      </c>
    </row>
    <row r="2956" spans="1:1" x14ac:dyDescent="0.55000000000000004">
      <c r="A2956" t="str">
        <f t="shared" si="46"/>
        <v/>
      </c>
    </row>
    <row r="2957" spans="1:1" x14ac:dyDescent="0.55000000000000004">
      <c r="A2957" t="str">
        <f t="shared" si="46"/>
        <v/>
      </c>
    </row>
    <row r="2958" spans="1:1" x14ac:dyDescent="0.55000000000000004">
      <c r="A2958" t="str">
        <f t="shared" si="46"/>
        <v/>
      </c>
    </row>
    <row r="2959" spans="1:1" x14ac:dyDescent="0.55000000000000004">
      <c r="A2959" t="str">
        <f t="shared" si="46"/>
        <v/>
      </c>
    </row>
    <row r="2960" spans="1:1" x14ac:dyDescent="0.55000000000000004">
      <c r="A2960" t="str">
        <f t="shared" si="46"/>
        <v/>
      </c>
    </row>
    <row r="2961" spans="1:1" x14ac:dyDescent="0.55000000000000004">
      <c r="A2961" t="str">
        <f t="shared" si="46"/>
        <v/>
      </c>
    </row>
    <row r="2962" spans="1:1" x14ac:dyDescent="0.55000000000000004">
      <c r="A2962" t="str">
        <f t="shared" si="46"/>
        <v/>
      </c>
    </row>
    <row r="2963" spans="1:1" x14ac:dyDescent="0.55000000000000004">
      <c r="A2963" t="str">
        <f t="shared" si="46"/>
        <v/>
      </c>
    </row>
    <row r="2964" spans="1:1" x14ac:dyDescent="0.55000000000000004">
      <c r="A2964" t="str">
        <f t="shared" si="46"/>
        <v/>
      </c>
    </row>
    <row r="2965" spans="1:1" x14ac:dyDescent="0.55000000000000004">
      <c r="A2965" t="str">
        <f t="shared" si="46"/>
        <v/>
      </c>
    </row>
    <row r="2966" spans="1:1" x14ac:dyDescent="0.55000000000000004">
      <c r="A2966" t="str">
        <f t="shared" si="46"/>
        <v/>
      </c>
    </row>
    <row r="2967" spans="1:1" x14ac:dyDescent="0.55000000000000004">
      <c r="A2967" t="str">
        <f t="shared" si="46"/>
        <v/>
      </c>
    </row>
    <row r="2968" spans="1:1" x14ac:dyDescent="0.55000000000000004">
      <c r="A2968" t="str">
        <f t="shared" si="46"/>
        <v/>
      </c>
    </row>
    <row r="2969" spans="1:1" x14ac:dyDescent="0.55000000000000004">
      <c r="A2969" t="str">
        <f t="shared" si="46"/>
        <v/>
      </c>
    </row>
    <row r="2970" spans="1:1" x14ac:dyDescent="0.55000000000000004">
      <c r="A2970" t="str">
        <f t="shared" si="46"/>
        <v/>
      </c>
    </row>
    <row r="2971" spans="1:1" x14ac:dyDescent="0.55000000000000004">
      <c r="A2971" t="str">
        <f t="shared" si="46"/>
        <v/>
      </c>
    </row>
    <row r="2972" spans="1:1" x14ac:dyDescent="0.55000000000000004">
      <c r="A2972" t="str">
        <f t="shared" si="46"/>
        <v/>
      </c>
    </row>
    <row r="2973" spans="1:1" x14ac:dyDescent="0.55000000000000004">
      <c r="A2973" t="str">
        <f t="shared" si="46"/>
        <v/>
      </c>
    </row>
    <row r="2974" spans="1:1" x14ac:dyDescent="0.55000000000000004">
      <c r="A2974" t="str">
        <f t="shared" si="46"/>
        <v/>
      </c>
    </row>
    <row r="2975" spans="1:1" x14ac:dyDescent="0.55000000000000004">
      <c r="A2975" t="str">
        <f t="shared" si="46"/>
        <v/>
      </c>
    </row>
    <row r="2976" spans="1:1" x14ac:dyDescent="0.55000000000000004">
      <c r="A2976" t="str">
        <f t="shared" si="46"/>
        <v/>
      </c>
    </row>
    <row r="2977" spans="1:1" x14ac:dyDescent="0.55000000000000004">
      <c r="A2977" t="str">
        <f t="shared" si="46"/>
        <v/>
      </c>
    </row>
    <row r="2978" spans="1:1" x14ac:dyDescent="0.55000000000000004">
      <c r="A2978" t="str">
        <f t="shared" si="46"/>
        <v/>
      </c>
    </row>
    <row r="2979" spans="1:1" x14ac:dyDescent="0.55000000000000004">
      <c r="A2979" t="str">
        <f t="shared" si="46"/>
        <v/>
      </c>
    </row>
    <row r="2980" spans="1:1" x14ac:dyDescent="0.55000000000000004">
      <c r="A2980" t="str">
        <f t="shared" si="46"/>
        <v/>
      </c>
    </row>
    <row r="2981" spans="1:1" x14ac:dyDescent="0.55000000000000004">
      <c r="A2981" t="str">
        <f t="shared" si="46"/>
        <v/>
      </c>
    </row>
    <row r="2982" spans="1:1" x14ac:dyDescent="0.55000000000000004">
      <c r="A2982" t="str">
        <f t="shared" si="46"/>
        <v/>
      </c>
    </row>
    <row r="2983" spans="1:1" x14ac:dyDescent="0.55000000000000004">
      <c r="A2983" t="str">
        <f t="shared" si="46"/>
        <v/>
      </c>
    </row>
    <row r="2984" spans="1:1" x14ac:dyDescent="0.55000000000000004">
      <c r="A2984" t="str">
        <f t="shared" si="46"/>
        <v/>
      </c>
    </row>
    <row r="2985" spans="1:1" x14ac:dyDescent="0.55000000000000004">
      <c r="A2985" t="str">
        <f t="shared" si="46"/>
        <v/>
      </c>
    </row>
    <row r="2986" spans="1:1" x14ac:dyDescent="0.55000000000000004">
      <c r="A2986" t="str">
        <f t="shared" si="46"/>
        <v/>
      </c>
    </row>
    <row r="2987" spans="1:1" x14ac:dyDescent="0.55000000000000004">
      <c r="A2987" t="str">
        <f t="shared" si="46"/>
        <v/>
      </c>
    </row>
    <row r="2988" spans="1:1" x14ac:dyDescent="0.55000000000000004">
      <c r="A2988" t="str">
        <f t="shared" si="46"/>
        <v/>
      </c>
    </row>
    <row r="2989" spans="1:1" x14ac:dyDescent="0.55000000000000004">
      <c r="A2989" t="str">
        <f t="shared" si="46"/>
        <v/>
      </c>
    </row>
    <row r="2990" spans="1:1" x14ac:dyDescent="0.55000000000000004">
      <c r="A2990" t="str">
        <f t="shared" si="46"/>
        <v/>
      </c>
    </row>
    <row r="2991" spans="1:1" x14ac:dyDescent="0.55000000000000004">
      <c r="A2991" t="str">
        <f t="shared" si="46"/>
        <v/>
      </c>
    </row>
    <row r="2992" spans="1:1" x14ac:dyDescent="0.55000000000000004">
      <c r="A2992" t="str">
        <f t="shared" si="46"/>
        <v/>
      </c>
    </row>
    <row r="2993" spans="1:1" x14ac:dyDescent="0.55000000000000004">
      <c r="A2993" t="str">
        <f t="shared" si="46"/>
        <v/>
      </c>
    </row>
    <row r="2994" spans="1:1" x14ac:dyDescent="0.55000000000000004">
      <c r="A2994" t="str">
        <f t="shared" si="46"/>
        <v/>
      </c>
    </row>
    <row r="2995" spans="1:1" x14ac:dyDescent="0.55000000000000004">
      <c r="A2995" t="str">
        <f t="shared" si="46"/>
        <v/>
      </c>
    </row>
    <row r="2996" spans="1:1" x14ac:dyDescent="0.55000000000000004">
      <c r="A2996" t="str">
        <f t="shared" si="46"/>
        <v/>
      </c>
    </row>
    <row r="2997" spans="1:1" x14ac:dyDescent="0.55000000000000004">
      <c r="A2997" t="str">
        <f t="shared" si="46"/>
        <v/>
      </c>
    </row>
    <row r="2998" spans="1:1" x14ac:dyDescent="0.55000000000000004">
      <c r="A2998" t="str">
        <f t="shared" si="46"/>
        <v/>
      </c>
    </row>
    <row r="2999" spans="1:1" x14ac:dyDescent="0.55000000000000004">
      <c r="A2999" t="str">
        <f t="shared" si="46"/>
        <v/>
      </c>
    </row>
    <row r="3000" spans="1:1" x14ac:dyDescent="0.55000000000000004">
      <c r="A3000" t="str">
        <f t="shared" si="46"/>
        <v/>
      </c>
    </row>
  </sheetData>
  <mergeCells count="1">
    <mergeCell ref="AF1:AN1"/>
  </mergeCells>
  <phoneticPr fontId="2"/>
  <conditionalFormatting sqref="C1:C1048576">
    <cfRule type="duplicateValues" dxfId="4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92D050"/>
  </sheetPr>
  <dimension ref="B1:AM490"/>
  <sheetViews>
    <sheetView tabSelected="1" zoomScale="85" zoomScaleNormal="85" workbookViewId="0">
      <selection activeCell="F2" sqref="F2"/>
    </sheetView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28" width="18.83203125" style="74" customWidth="1"/>
    <col min="29" max="29" width="16.83203125" style="74" customWidth="1"/>
    <col min="30" max="30" width="11.33203125" style="74" customWidth="1"/>
    <col min="31" max="38" width="15.25" style="74" customWidth="1"/>
    <col min="39" max="39" width="9" style="74" customWidth="1"/>
    <col min="40" max="16384" width="9" style="74"/>
  </cols>
  <sheetData>
    <row r="1" spans="2:39" ht="15.75" customHeight="1" x14ac:dyDescent="0.35"/>
    <row r="2" spans="2:39" ht="18" customHeight="1" thickBot="1" x14ac:dyDescent="0.4">
      <c r="D2" s="74" t="s">
        <v>19</v>
      </c>
    </row>
    <row r="3" spans="2:39" ht="18" customHeight="1" x14ac:dyDescent="0.55000000000000004">
      <c r="D3" s="10" t="s">
        <v>20</v>
      </c>
      <c r="E3" s="11" t="s">
        <v>1190</v>
      </c>
      <c r="F3" s="5" t="s">
        <v>21</v>
      </c>
      <c r="G3" s="121" t="s">
        <v>22</v>
      </c>
      <c r="H3" s="122"/>
      <c r="I3" s="123"/>
    </row>
    <row r="4" spans="2:39" ht="18" customHeight="1" x14ac:dyDescent="0.55000000000000004">
      <c r="D4" s="6" t="s">
        <v>23</v>
      </c>
      <c r="E4" s="24"/>
      <c r="F4" s="6" t="s">
        <v>24</v>
      </c>
      <c r="G4" s="124" t="s">
        <v>25</v>
      </c>
      <c r="H4" s="125"/>
      <c r="I4" s="126"/>
    </row>
    <row r="5" spans="2:39" ht="18" customHeight="1" x14ac:dyDescent="0.55000000000000004">
      <c r="B5" s="4"/>
      <c r="C5" s="1"/>
      <c r="D5" s="6" t="s">
        <v>26</v>
      </c>
      <c r="E5" s="24"/>
      <c r="F5" s="6" t="s">
        <v>27</v>
      </c>
      <c r="G5" s="127" t="s">
        <v>713</v>
      </c>
      <c r="H5" s="125"/>
      <c r="I5" s="126"/>
      <c r="J5" s="2"/>
      <c r="K5" s="2"/>
    </row>
    <row r="6" spans="2:39" ht="18" customHeight="1" thickBot="1" x14ac:dyDescent="0.6">
      <c r="B6" s="4"/>
      <c r="C6" s="1"/>
      <c r="D6" s="6" t="s">
        <v>28</v>
      </c>
      <c r="E6" s="12" t="s">
        <v>29</v>
      </c>
      <c r="F6" s="7" t="s">
        <v>30</v>
      </c>
      <c r="G6" s="128" t="s">
        <v>712</v>
      </c>
      <c r="H6" s="129"/>
      <c r="I6" s="130"/>
      <c r="J6" s="2"/>
      <c r="K6" s="2"/>
    </row>
    <row r="7" spans="2:39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9"/>
      <c r="M7" s="8"/>
      <c r="N7" s="8"/>
      <c r="O7" s="8"/>
      <c r="P7" s="8"/>
      <c r="Q7" s="8"/>
    </row>
    <row r="8" spans="2:39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39" ht="21" customHeight="1" thickBot="1" x14ac:dyDescent="0.4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  <c r="AB9" s="21" t="s">
        <v>41</v>
      </c>
      <c r="AC9" s="72" t="s">
        <v>42</v>
      </c>
      <c r="AD9" s="72" t="s">
        <v>43</v>
      </c>
      <c r="AE9" s="17" t="s">
        <v>10</v>
      </c>
      <c r="AF9" s="18" t="s">
        <v>11</v>
      </c>
      <c r="AG9" s="18" t="s">
        <v>12</v>
      </c>
      <c r="AH9" s="20" t="s">
        <v>13</v>
      </c>
      <c r="AI9" s="17" t="s">
        <v>14</v>
      </c>
      <c r="AJ9" s="19" t="s">
        <v>15</v>
      </c>
      <c r="AK9" s="87" t="s">
        <v>16</v>
      </c>
      <c r="AL9" s="19" t="s">
        <v>17</v>
      </c>
      <c r="AM9" s="22" t="s">
        <v>18</v>
      </c>
    </row>
    <row r="10" spans="2:39" ht="21" customHeight="1" x14ac:dyDescent="0.35">
      <c r="B10" s="91"/>
      <c r="C10" s="116" t="s">
        <v>714</v>
      </c>
      <c r="D10" s="95" t="s">
        <v>205</v>
      </c>
      <c r="E10" s="92" t="s">
        <v>44</v>
      </c>
      <c r="F10" s="97" t="s">
        <v>45</v>
      </c>
      <c r="G10" s="98" t="s">
        <v>206</v>
      </c>
      <c r="H10" s="92" t="s">
        <v>207</v>
      </c>
      <c r="I10" s="92" t="s">
        <v>206</v>
      </c>
      <c r="J10" s="97" t="s">
        <v>207</v>
      </c>
      <c r="K10" s="91" t="s">
        <v>46</v>
      </c>
      <c r="L10" s="93" t="s">
        <v>47</v>
      </c>
      <c r="M10" s="93" t="s">
        <v>48</v>
      </c>
      <c r="N10" s="99" t="s">
        <v>49</v>
      </c>
      <c r="O10" s="91">
        <v>1102</v>
      </c>
      <c r="P10" s="93"/>
      <c r="Q10" s="93"/>
      <c r="R10" s="99"/>
      <c r="S10" s="91"/>
      <c r="T10" s="99"/>
      <c r="U10" s="91"/>
      <c r="V10" s="99"/>
      <c r="W10" s="90" t="s">
        <v>711</v>
      </c>
      <c r="X10" s="98"/>
      <c r="Y10" s="92"/>
      <c r="Z10" s="94"/>
      <c r="AB10" s="73" t="str">
        <f t="shared" ref="AB10:AB73" si="0">K10&amp;L10&amp;M10</f>
        <v>Vehicle WeightMin.C.W.－</v>
      </c>
      <c r="AC10" s="74" t="e">
        <f>VLOOKUP($AB10,変換表貼り付け用シート!$A$3:$AN$1133,3,FALSE)</f>
        <v>#N/A</v>
      </c>
      <c r="AD10" s="74" t="e">
        <f t="shared" ref="AD10:AD73" si="1">IF(AE10&amp;AF10&amp;AG10&amp;AH10&amp;AI10&amp;AJ10&amp;AK10&amp;AL10&amp;AM10=O10&amp;P10&amp;Q10&amp;R10&amp;S10&amp;T10&amp;U10&amp;V10&amp;W10,"","更新")</f>
        <v>#N/A</v>
      </c>
      <c r="AE10" s="79" t="e">
        <f>IF(VLOOKUP($AB10,変換表貼り付け用シート!$A$3:$AN$3000,12,FALSE)="","",(VLOOKUP($AB10,変換表貼り付け用シート!$A$3:$AN$3000,12,FALSE)))</f>
        <v>#N/A</v>
      </c>
      <c r="AF10" s="80" t="e">
        <f>IF(VLOOKUP($AB10,変換表貼り付け用シート!$A$3:$AN$3000,13,FALSE)="","",(VLOOKUP($AB10,変換表貼り付け用シート!$A$3:$AN$3000,13,FALSE)))</f>
        <v>#N/A</v>
      </c>
      <c r="AG10" s="80" t="e">
        <f>IF(VLOOKUP($AB10,変換表貼り付け用シート!$A$3:$AN$3000,14,FALSE)="","",(VLOOKUP($AB10,変換表貼り付け用シート!$A$3:$AN$3000,14,FALSE)))</f>
        <v>#N/A</v>
      </c>
      <c r="AH10" s="85" t="e">
        <f>IF(VLOOKUP($AB10,変換表貼り付け用シート!$A$3:$AN$3000,15,FALSE)="","",(VLOOKUP($AB10,変換表貼り付け用シート!$A$3:$AN$3000,15,FALSE)))</f>
        <v>#N/A</v>
      </c>
      <c r="AI10" s="79" t="e">
        <f>IF(VLOOKUP($AB10,変換表貼り付け用シート!$A$3:$AN$3000,16,FALSE)="","",(VLOOKUP($AB10,変換表貼り付け用シート!$A$3:$AN$3000,16,FALSE)))</f>
        <v>#N/A</v>
      </c>
      <c r="AJ10" s="81" t="e">
        <f>IF(VLOOKUP($AB10,変換表貼り付け用シート!$A$3:$AN$3000,17,FALSE)="","",(VLOOKUP($AB10,変換表貼り付け用シート!$A$3:$AN$3000,17,FALSE)))</f>
        <v>#N/A</v>
      </c>
      <c r="AK10" s="88" t="e">
        <f>IF(VLOOKUP($AB10,変換表貼り付け用シート!$A$3:$AN$3000,18,FALSE)="","",(VLOOKUP($AB10,変換表貼り付け用シート!$A$3:$AN$3000,18,FALSE)))</f>
        <v>#N/A</v>
      </c>
      <c r="AL10" s="81" t="e">
        <f>IF(VLOOKUP($AB10,変換表貼り付け用シート!$A$3:$AN$3000,19,FALSE)="","",(VLOOKUP($AB10,変換表貼り付け用シート!$A$3:$AN$3000,19,FALSE)))</f>
        <v>#N/A</v>
      </c>
      <c r="AM10" s="75" t="e">
        <f>IF(VLOOKUP($AB10,変換表貼り付け用シート!$A$3:$AN$3000,20,FALSE)="","",(VLOOKUP($AB10,変換表貼り付け用シート!$A$3:$AN$3000,20,FALSE)))</f>
        <v>#N/A</v>
      </c>
    </row>
    <row r="11" spans="2:39" ht="21" customHeight="1" x14ac:dyDescent="0.35">
      <c r="B11" s="39"/>
      <c r="C11" s="117" t="s">
        <v>715</v>
      </c>
      <c r="D11" s="96" t="s">
        <v>208</v>
      </c>
      <c r="E11" s="27" t="s">
        <v>44</v>
      </c>
      <c r="F11" s="37" t="s">
        <v>45</v>
      </c>
      <c r="G11" s="33" t="s">
        <v>206</v>
      </c>
      <c r="H11" s="27" t="s">
        <v>207</v>
      </c>
      <c r="I11" s="27" t="s">
        <v>206</v>
      </c>
      <c r="J11" s="37" t="s">
        <v>207</v>
      </c>
      <c r="K11" s="39" t="s">
        <v>46</v>
      </c>
      <c r="L11" s="28" t="s">
        <v>50</v>
      </c>
      <c r="M11" s="28" t="s">
        <v>48</v>
      </c>
      <c r="N11" s="41" t="s">
        <v>49</v>
      </c>
      <c r="O11" s="39">
        <v>1116</v>
      </c>
      <c r="P11" s="28"/>
      <c r="Q11" s="28"/>
      <c r="R11" s="41"/>
      <c r="S11" s="39"/>
      <c r="T11" s="41"/>
      <c r="U11" s="39"/>
      <c r="V11" s="41"/>
      <c r="W11" s="43" t="s">
        <v>711</v>
      </c>
      <c r="X11" s="33"/>
      <c r="Y11" s="27"/>
      <c r="Z11" s="29"/>
      <c r="AB11" s="73" t="str">
        <f t="shared" si="0"/>
        <v>Vehicle WeightMax.C.W.－</v>
      </c>
      <c r="AC11" s="74" t="e">
        <f>VLOOKUP($AB11,変換表貼り付け用シート!$A$3:$AN$1133,3,FALSE)</f>
        <v>#N/A</v>
      </c>
      <c r="AD11" s="74" t="e">
        <f t="shared" si="1"/>
        <v>#N/A</v>
      </c>
      <c r="AE11" s="79" t="e">
        <f>IF(VLOOKUP($AB11,変換表貼り付け用シート!$A$3:$AN$3000,12,FALSE)="","",(VLOOKUP($AB11,変換表貼り付け用シート!$A$3:$AN$3000,12,FALSE)))</f>
        <v>#N/A</v>
      </c>
      <c r="AF11" s="80" t="e">
        <f>IF(VLOOKUP($AB11,変換表貼り付け用シート!$A$3:$AN$3000,13,FALSE)="","",(VLOOKUP($AB11,変換表貼り付け用シート!$A$3:$AN$3000,13,FALSE)))</f>
        <v>#N/A</v>
      </c>
      <c r="AG11" s="80" t="e">
        <f>IF(VLOOKUP($AB11,変換表貼り付け用シート!$A$3:$AN$3000,14,FALSE)="","",(VLOOKUP($AB11,変換表貼り付け用シート!$A$3:$AN$3000,14,FALSE)))</f>
        <v>#N/A</v>
      </c>
      <c r="AH11" s="85" t="e">
        <f>IF(VLOOKUP($AB11,変換表貼り付け用シート!$A$3:$AN$3000,15,FALSE)="","",(VLOOKUP($AB11,変換表貼り付け用シート!$A$3:$AN$3000,15,FALSE)))</f>
        <v>#N/A</v>
      </c>
      <c r="AI11" s="79" t="e">
        <f>IF(VLOOKUP($AB11,変換表貼り付け用シート!$A$3:$AN$3000,16,FALSE)="","",(VLOOKUP($AB11,変換表貼り付け用シート!$A$3:$AN$3000,16,FALSE)))</f>
        <v>#N/A</v>
      </c>
      <c r="AJ11" s="81" t="e">
        <f>IF(VLOOKUP($AB11,変換表貼り付け用シート!$A$3:$AN$3000,17,FALSE)="","",(VLOOKUP($AB11,変換表貼り付け用シート!$A$3:$AN$3000,17,FALSE)))</f>
        <v>#N/A</v>
      </c>
      <c r="AK11" s="88" t="e">
        <f>IF(VLOOKUP($AB11,変換表貼り付け用シート!$A$3:$AN$3000,18,FALSE)="","",(VLOOKUP($AB11,変換表貼り付け用シート!$A$3:$AN$3000,18,FALSE)))</f>
        <v>#N/A</v>
      </c>
      <c r="AL11" s="81" t="e">
        <f>IF(VLOOKUP($AB11,変換表貼り付け用シート!$A$3:$AN$3000,19,FALSE)="","",(VLOOKUP($AB11,変換表貼り付け用シート!$A$3:$AN$3000,19,FALSE)))</f>
        <v>#N/A</v>
      </c>
      <c r="AM11" s="75" t="e">
        <f>IF(VLOOKUP($AB11,変換表貼り付け用シート!$A$3:$AN$3000,20,FALSE)="","",(VLOOKUP($AB11,変換表貼り付け用シート!$A$3:$AN$3000,20,FALSE)))</f>
        <v>#N/A</v>
      </c>
    </row>
    <row r="12" spans="2:39" ht="21" customHeight="1" x14ac:dyDescent="0.35">
      <c r="B12" s="39"/>
      <c r="C12" s="117" t="s">
        <v>716</v>
      </c>
      <c r="D12" s="96" t="s">
        <v>209</v>
      </c>
      <c r="E12" s="27" t="s">
        <v>44</v>
      </c>
      <c r="F12" s="37" t="s">
        <v>45</v>
      </c>
      <c r="G12" s="33" t="s">
        <v>206</v>
      </c>
      <c r="H12" s="27" t="s">
        <v>207</v>
      </c>
      <c r="I12" s="27" t="s">
        <v>206</v>
      </c>
      <c r="J12" s="37" t="s">
        <v>207</v>
      </c>
      <c r="K12" s="39" t="s">
        <v>46</v>
      </c>
      <c r="L12" s="28" t="s">
        <v>51</v>
      </c>
      <c r="M12" s="28" t="s">
        <v>48</v>
      </c>
      <c r="N12" s="41" t="s">
        <v>49</v>
      </c>
      <c r="O12" s="39">
        <v>1.6</v>
      </c>
      <c r="P12" s="28"/>
      <c r="Q12" s="28"/>
      <c r="R12" s="41"/>
      <c r="S12" s="39"/>
      <c r="T12" s="41"/>
      <c r="U12" s="39"/>
      <c r="V12" s="41"/>
      <c r="W12" s="43" t="s">
        <v>711</v>
      </c>
      <c r="X12" s="33"/>
      <c r="Y12" s="27"/>
      <c r="Z12" s="29"/>
      <c r="AB12" s="73" t="str">
        <f t="shared" si="0"/>
        <v>Vehicle Weightスペアタイヤ&amp;工具 －</v>
      </c>
      <c r="AC12" s="74" t="e">
        <f>VLOOKUP($AB12,変換表貼り付け用シート!$A$3:$AN$1133,3,FALSE)</f>
        <v>#N/A</v>
      </c>
      <c r="AD12" s="74" t="e">
        <f t="shared" si="1"/>
        <v>#N/A</v>
      </c>
      <c r="AE12" s="79" t="e">
        <f>IF(VLOOKUP($AB12,変換表貼り付け用シート!$A$3:$AN$3000,12,FALSE)="","",(VLOOKUP($AB12,変換表貼り付け用シート!$A$3:$AN$3000,12,FALSE)))</f>
        <v>#N/A</v>
      </c>
      <c r="AF12" s="80" t="e">
        <f>IF(VLOOKUP($AB12,変換表貼り付け用シート!$A$3:$AN$3000,13,FALSE)="","",(VLOOKUP($AB12,変換表貼り付け用シート!$A$3:$AN$3000,13,FALSE)))</f>
        <v>#N/A</v>
      </c>
      <c r="AG12" s="80" t="e">
        <f>IF(VLOOKUP($AB12,変換表貼り付け用シート!$A$3:$AN$3000,14,FALSE)="","",(VLOOKUP($AB12,変換表貼り付け用シート!$A$3:$AN$3000,14,FALSE)))</f>
        <v>#N/A</v>
      </c>
      <c r="AH12" s="85" t="e">
        <f>IF(VLOOKUP($AB12,変換表貼り付け用シート!$A$3:$AN$3000,15,FALSE)="","",(VLOOKUP($AB12,変換表貼り付け用シート!$A$3:$AN$3000,15,FALSE)))</f>
        <v>#N/A</v>
      </c>
      <c r="AI12" s="79" t="e">
        <f>IF(VLOOKUP($AB12,変換表貼り付け用シート!$A$3:$AN$3000,16,FALSE)="","",(VLOOKUP($AB12,変換表貼り付け用シート!$A$3:$AN$3000,16,FALSE)))</f>
        <v>#N/A</v>
      </c>
      <c r="AJ12" s="81" t="e">
        <f>IF(VLOOKUP($AB12,変換表貼り付け用シート!$A$3:$AN$3000,17,FALSE)="","",(VLOOKUP($AB12,変換表貼り付け用シート!$A$3:$AN$3000,17,FALSE)))</f>
        <v>#N/A</v>
      </c>
      <c r="AK12" s="88" t="e">
        <f>IF(VLOOKUP($AB12,変換表貼り付け用シート!$A$3:$AN$3000,18,FALSE)="","",(VLOOKUP($AB12,変換表貼り付け用シート!$A$3:$AN$3000,18,FALSE)))</f>
        <v>#N/A</v>
      </c>
      <c r="AL12" s="81" t="e">
        <f>IF(VLOOKUP($AB12,変換表貼り付け用シート!$A$3:$AN$3000,19,FALSE)="","",(VLOOKUP($AB12,変換表貼り付け用シート!$A$3:$AN$3000,19,FALSE)))</f>
        <v>#N/A</v>
      </c>
      <c r="AM12" s="75" t="e">
        <f>IF(VLOOKUP($AB12,変換表貼り付け用シート!$A$3:$AN$3000,20,FALSE)="","",(VLOOKUP($AB12,変換表貼り付け用シート!$A$3:$AN$3000,20,FALSE)))</f>
        <v>#N/A</v>
      </c>
    </row>
    <row r="13" spans="2:39" ht="21" customHeight="1" x14ac:dyDescent="0.35">
      <c r="B13" s="39"/>
      <c r="C13" s="117" t="s">
        <v>717</v>
      </c>
      <c r="D13" s="96" t="s">
        <v>210</v>
      </c>
      <c r="E13" s="27" t="s">
        <v>44</v>
      </c>
      <c r="F13" s="37" t="s">
        <v>45</v>
      </c>
      <c r="G13" s="33" t="s">
        <v>206</v>
      </c>
      <c r="H13" s="27" t="s">
        <v>207</v>
      </c>
      <c r="I13" s="27" t="s">
        <v>206</v>
      </c>
      <c r="J13" s="37" t="s">
        <v>207</v>
      </c>
      <c r="K13" s="39" t="s">
        <v>46</v>
      </c>
      <c r="L13" s="28" t="s">
        <v>52</v>
      </c>
      <c r="M13" s="28" t="s">
        <v>48</v>
      </c>
      <c r="N13" s="41" t="s">
        <v>49</v>
      </c>
      <c r="O13" s="39" t="s">
        <v>53</v>
      </c>
      <c r="P13" s="28"/>
      <c r="Q13" s="28"/>
      <c r="R13" s="41"/>
      <c r="S13" s="39"/>
      <c r="T13" s="41"/>
      <c r="U13" s="39"/>
      <c r="V13" s="41"/>
      <c r="W13" s="43" t="s">
        <v>711</v>
      </c>
      <c r="X13" s="33"/>
      <c r="Y13" s="27"/>
      <c r="Z13" s="29"/>
      <c r="AB13" s="73" t="str">
        <f t="shared" si="0"/>
        <v>Vehicle WeightEPA届出重量－</v>
      </c>
      <c r="AC13" s="74" t="e">
        <f>VLOOKUP($AB13,変換表貼り付け用シート!$A$3:$AN$1133,3,FALSE)</f>
        <v>#N/A</v>
      </c>
      <c r="AD13" s="74" t="e">
        <f t="shared" si="1"/>
        <v>#N/A</v>
      </c>
      <c r="AE13" s="79" t="e">
        <f>IF(VLOOKUP($AB13,変換表貼り付け用シート!$A$3:$AN$3000,12,FALSE)="","",(VLOOKUP($AB13,変換表貼り付け用シート!$A$3:$AN$3000,12,FALSE)))</f>
        <v>#N/A</v>
      </c>
      <c r="AF13" s="80" t="e">
        <f>IF(VLOOKUP($AB13,変換表貼り付け用シート!$A$3:$AN$3000,13,FALSE)="","",(VLOOKUP($AB13,変換表貼り付け用シート!$A$3:$AN$3000,13,FALSE)))</f>
        <v>#N/A</v>
      </c>
      <c r="AG13" s="80" t="e">
        <f>IF(VLOOKUP($AB13,変換表貼り付け用シート!$A$3:$AN$3000,14,FALSE)="","",(VLOOKUP($AB13,変換表貼り付け用シート!$A$3:$AN$3000,14,FALSE)))</f>
        <v>#N/A</v>
      </c>
      <c r="AH13" s="85" t="e">
        <f>IF(VLOOKUP($AB13,変換表貼り付け用シート!$A$3:$AN$3000,15,FALSE)="","",(VLOOKUP($AB13,変換表貼り付け用シート!$A$3:$AN$3000,15,FALSE)))</f>
        <v>#N/A</v>
      </c>
      <c r="AI13" s="79" t="e">
        <f>IF(VLOOKUP($AB13,変換表貼り付け用シート!$A$3:$AN$3000,16,FALSE)="","",(VLOOKUP($AB13,変換表貼り付け用シート!$A$3:$AN$3000,16,FALSE)))</f>
        <v>#N/A</v>
      </c>
      <c r="AJ13" s="81" t="e">
        <f>IF(VLOOKUP($AB13,変換表貼り付け用シート!$A$3:$AN$3000,17,FALSE)="","",(VLOOKUP($AB13,変換表貼り付け用シート!$A$3:$AN$3000,17,FALSE)))</f>
        <v>#N/A</v>
      </c>
      <c r="AK13" s="88" t="e">
        <f>IF(VLOOKUP($AB13,変換表貼り付け用シート!$A$3:$AN$3000,18,FALSE)="","",(VLOOKUP($AB13,変換表貼り付け用シート!$A$3:$AN$3000,18,FALSE)))</f>
        <v>#N/A</v>
      </c>
      <c r="AL13" s="81" t="e">
        <f>IF(VLOOKUP($AB13,変換表貼り付け用シート!$A$3:$AN$3000,19,FALSE)="","",(VLOOKUP($AB13,変換表貼り付け用シート!$A$3:$AN$3000,19,FALSE)))</f>
        <v>#N/A</v>
      </c>
      <c r="AM13" s="75" t="e">
        <f>IF(VLOOKUP($AB13,変換表貼り付け用シート!$A$3:$AN$3000,20,FALSE)="","",(VLOOKUP($AB13,変換表貼り付け用シート!$A$3:$AN$3000,20,FALSE)))</f>
        <v>#N/A</v>
      </c>
    </row>
    <row r="14" spans="2:39" ht="21" customHeight="1" x14ac:dyDescent="0.35">
      <c r="B14" s="39"/>
      <c r="C14" s="117" t="s">
        <v>718</v>
      </c>
      <c r="D14" s="96" t="s">
        <v>211</v>
      </c>
      <c r="E14" s="27" t="s">
        <v>44</v>
      </c>
      <c r="F14" s="37" t="s">
        <v>45</v>
      </c>
      <c r="G14" s="33" t="s">
        <v>206</v>
      </c>
      <c r="H14" s="27" t="s">
        <v>207</v>
      </c>
      <c r="I14" s="27" t="s">
        <v>206</v>
      </c>
      <c r="J14" s="37" t="s">
        <v>207</v>
      </c>
      <c r="K14" s="39" t="s">
        <v>54</v>
      </c>
      <c r="L14" s="28" t="s">
        <v>55</v>
      </c>
      <c r="M14" s="28" t="s">
        <v>48</v>
      </c>
      <c r="N14" s="41" t="s">
        <v>49</v>
      </c>
      <c r="O14" s="39">
        <v>1358</v>
      </c>
      <c r="P14" s="28"/>
      <c r="Q14" s="28"/>
      <c r="R14" s="41"/>
      <c r="S14" s="39"/>
      <c r="T14" s="41"/>
      <c r="U14" s="39"/>
      <c r="V14" s="41"/>
      <c r="W14" s="43" t="s">
        <v>711</v>
      </c>
      <c r="X14" s="33"/>
      <c r="Y14" s="27"/>
      <c r="Z14" s="29"/>
      <c r="AB14" s="73" t="str">
        <f t="shared" si="0"/>
        <v>Vehicle Severe WeightPTW or GVWR－</v>
      </c>
      <c r="AC14" s="74" t="e">
        <f>VLOOKUP($AB14,変換表貼り付け用シート!$A$3:$AN$1133,3,FALSE)</f>
        <v>#N/A</v>
      </c>
      <c r="AD14" s="74" t="e">
        <f t="shared" si="1"/>
        <v>#N/A</v>
      </c>
      <c r="AE14" s="79" t="e">
        <f>IF(VLOOKUP($AB14,変換表貼り付け用シート!$A$3:$AN$3000,12,FALSE)="","",(VLOOKUP($AB14,変換表貼り付け用シート!$A$3:$AN$3000,12,FALSE)))</f>
        <v>#N/A</v>
      </c>
      <c r="AF14" s="80" t="e">
        <f>IF(VLOOKUP($AB14,変換表貼り付け用シート!$A$3:$AN$3000,13,FALSE)="","",(VLOOKUP($AB14,変換表貼り付け用シート!$A$3:$AN$3000,13,FALSE)))</f>
        <v>#N/A</v>
      </c>
      <c r="AG14" s="80" t="e">
        <f>IF(VLOOKUP($AB14,変換表貼り付け用シート!$A$3:$AN$3000,14,FALSE)="","",(VLOOKUP($AB14,変換表貼り付け用シート!$A$3:$AN$3000,14,FALSE)))</f>
        <v>#N/A</v>
      </c>
      <c r="AH14" s="85" t="e">
        <f>IF(VLOOKUP($AB14,変換表貼り付け用シート!$A$3:$AN$3000,15,FALSE)="","",(VLOOKUP($AB14,変換表貼り付け用シート!$A$3:$AN$3000,15,FALSE)))</f>
        <v>#N/A</v>
      </c>
      <c r="AI14" s="79" t="e">
        <f>IF(VLOOKUP($AB14,変換表貼り付け用シート!$A$3:$AN$3000,16,FALSE)="","",(VLOOKUP($AB14,変換表貼り付け用シート!$A$3:$AN$3000,16,FALSE)))</f>
        <v>#N/A</v>
      </c>
      <c r="AJ14" s="81" t="e">
        <f>IF(VLOOKUP($AB14,変換表貼り付け用シート!$A$3:$AN$3000,17,FALSE)="","",(VLOOKUP($AB14,変換表貼り付け用シート!$A$3:$AN$3000,17,FALSE)))</f>
        <v>#N/A</v>
      </c>
      <c r="AK14" s="88" t="e">
        <f>IF(VLOOKUP($AB14,変換表貼り付け用シート!$A$3:$AN$3000,18,FALSE)="","",(VLOOKUP($AB14,変換表貼り付け用シート!$A$3:$AN$3000,18,FALSE)))</f>
        <v>#N/A</v>
      </c>
      <c r="AL14" s="81" t="e">
        <f>IF(VLOOKUP($AB14,変換表貼り付け用シート!$A$3:$AN$3000,19,FALSE)="","",(VLOOKUP($AB14,変換表貼り付け用シート!$A$3:$AN$3000,19,FALSE)))</f>
        <v>#N/A</v>
      </c>
      <c r="AM14" s="75" t="e">
        <f>IF(VLOOKUP($AB14,変換表貼り付け用シート!$A$3:$AN$3000,20,FALSE)="","",(VLOOKUP($AB14,変換表貼り付け用シート!$A$3:$AN$3000,20,FALSE)))</f>
        <v>#N/A</v>
      </c>
    </row>
    <row r="15" spans="2:39" ht="21" customHeight="1" x14ac:dyDescent="0.35">
      <c r="B15" s="39"/>
      <c r="C15" s="117" t="s">
        <v>719</v>
      </c>
      <c r="D15" s="96" t="s">
        <v>212</v>
      </c>
      <c r="E15" s="27" t="s">
        <v>44</v>
      </c>
      <c r="F15" s="37" t="s">
        <v>45</v>
      </c>
      <c r="G15" s="33" t="s">
        <v>206</v>
      </c>
      <c r="H15" s="27" t="s">
        <v>207</v>
      </c>
      <c r="I15" s="27" t="s">
        <v>206</v>
      </c>
      <c r="J15" s="37" t="s">
        <v>207</v>
      </c>
      <c r="K15" s="39" t="s">
        <v>54</v>
      </c>
      <c r="L15" s="28" t="s">
        <v>56</v>
      </c>
      <c r="M15" s="28" t="s">
        <v>48</v>
      </c>
      <c r="N15" s="41" t="s">
        <v>49</v>
      </c>
      <c r="O15" s="39" t="s">
        <v>57</v>
      </c>
      <c r="P15" s="28"/>
      <c r="Q15" s="28"/>
      <c r="R15" s="41"/>
      <c r="S15" s="39"/>
      <c r="T15" s="41"/>
      <c r="U15" s="39"/>
      <c r="V15" s="41"/>
      <c r="W15" s="43" t="s">
        <v>711</v>
      </c>
      <c r="X15" s="33"/>
      <c r="Y15" s="27"/>
      <c r="Z15" s="29"/>
      <c r="AB15" s="73" t="str">
        <f t="shared" si="0"/>
        <v>Vehicle Severe WeightGAWR FR－</v>
      </c>
      <c r="AC15" s="74" t="e">
        <f>VLOOKUP($AB15,変換表貼り付け用シート!$A$3:$AN$1133,3,FALSE)</f>
        <v>#N/A</v>
      </c>
      <c r="AD15" s="74" t="e">
        <f t="shared" si="1"/>
        <v>#N/A</v>
      </c>
      <c r="AE15" s="79" t="e">
        <f>IF(VLOOKUP($AB15,変換表貼り付け用シート!$A$3:$AN$3000,12,FALSE)="","",(VLOOKUP($AB15,変換表貼り付け用シート!$A$3:$AN$3000,12,FALSE)))</f>
        <v>#N/A</v>
      </c>
      <c r="AF15" s="80" t="e">
        <f>IF(VLOOKUP($AB15,変換表貼り付け用シート!$A$3:$AN$3000,13,FALSE)="","",(VLOOKUP($AB15,変換表貼り付け用シート!$A$3:$AN$3000,13,FALSE)))</f>
        <v>#N/A</v>
      </c>
      <c r="AG15" s="80" t="e">
        <f>IF(VLOOKUP($AB15,変換表貼り付け用シート!$A$3:$AN$3000,14,FALSE)="","",(VLOOKUP($AB15,変換表貼り付け用シート!$A$3:$AN$3000,14,FALSE)))</f>
        <v>#N/A</v>
      </c>
      <c r="AH15" s="85" t="e">
        <f>IF(VLOOKUP($AB15,変換表貼り付け用シート!$A$3:$AN$3000,15,FALSE)="","",(VLOOKUP($AB15,変換表貼り付け用シート!$A$3:$AN$3000,15,FALSE)))</f>
        <v>#N/A</v>
      </c>
      <c r="AI15" s="79" t="e">
        <f>IF(VLOOKUP($AB15,変換表貼り付け用シート!$A$3:$AN$3000,16,FALSE)="","",(VLOOKUP($AB15,変換表貼り付け用シート!$A$3:$AN$3000,16,FALSE)))</f>
        <v>#N/A</v>
      </c>
      <c r="AJ15" s="81" t="e">
        <f>IF(VLOOKUP($AB15,変換表貼り付け用シート!$A$3:$AN$3000,17,FALSE)="","",(VLOOKUP($AB15,変換表貼り付け用シート!$A$3:$AN$3000,17,FALSE)))</f>
        <v>#N/A</v>
      </c>
      <c r="AK15" s="88" t="e">
        <f>IF(VLOOKUP($AB15,変換表貼り付け用シート!$A$3:$AN$3000,18,FALSE)="","",(VLOOKUP($AB15,変換表貼り付け用シート!$A$3:$AN$3000,18,FALSE)))</f>
        <v>#N/A</v>
      </c>
      <c r="AL15" s="81" t="e">
        <f>IF(VLOOKUP($AB15,変換表貼り付け用シート!$A$3:$AN$3000,19,FALSE)="","",(VLOOKUP($AB15,変換表貼り付け用シート!$A$3:$AN$3000,19,FALSE)))</f>
        <v>#N/A</v>
      </c>
      <c r="AM15" s="75" t="e">
        <f>IF(VLOOKUP($AB15,変換表貼り付け用シート!$A$3:$AN$3000,20,FALSE)="","",(VLOOKUP($AB15,変換表貼り付け用シート!$A$3:$AN$3000,20,FALSE)))</f>
        <v>#N/A</v>
      </c>
    </row>
    <row r="16" spans="2:39" ht="21" customHeight="1" x14ac:dyDescent="0.35">
      <c r="B16" s="39"/>
      <c r="C16" s="117" t="s">
        <v>720</v>
      </c>
      <c r="D16" s="96" t="s">
        <v>213</v>
      </c>
      <c r="E16" s="27" t="s">
        <v>44</v>
      </c>
      <c r="F16" s="37" t="s">
        <v>45</v>
      </c>
      <c r="G16" s="33" t="s">
        <v>206</v>
      </c>
      <c r="H16" s="27" t="s">
        <v>207</v>
      </c>
      <c r="I16" s="27" t="s">
        <v>206</v>
      </c>
      <c r="J16" s="37" t="s">
        <v>207</v>
      </c>
      <c r="K16" s="39" t="s">
        <v>54</v>
      </c>
      <c r="L16" s="28" t="s">
        <v>58</v>
      </c>
      <c r="M16" s="28" t="s">
        <v>48</v>
      </c>
      <c r="N16" s="41" t="s">
        <v>49</v>
      </c>
      <c r="O16" s="39" t="s">
        <v>57</v>
      </c>
      <c r="P16" s="28"/>
      <c r="Q16" s="28"/>
      <c r="R16" s="41"/>
      <c r="S16" s="39"/>
      <c r="T16" s="41"/>
      <c r="U16" s="39"/>
      <c r="V16" s="41"/>
      <c r="W16" s="43" t="s">
        <v>711</v>
      </c>
      <c r="X16" s="33"/>
      <c r="Y16" s="27"/>
      <c r="Z16" s="29"/>
      <c r="AB16" s="73" t="str">
        <f t="shared" si="0"/>
        <v>Vehicle Severe WeightGAWR RR－</v>
      </c>
      <c r="AC16" s="74" t="e">
        <f>VLOOKUP($AB16,変換表貼り付け用シート!$A$3:$AN$1133,3,FALSE)</f>
        <v>#N/A</v>
      </c>
      <c r="AD16" s="74" t="e">
        <f t="shared" si="1"/>
        <v>#N/A</v>
      </c>
      <c r="AE16" s="79" t="e">
        <f>IF(VLOOKUP($AB16,変換表貼り付け用シート!$A$3:$AN$3000,12,FALSE)="","",(VLOOKUP($AB16,変換表貼り付け用シート!$A$3:$AN$3000,12,FALSE)))</f>
        <v>#N/A</v>
      </c>
      <c r="AF16" s="80" t="e">
        <f>IF(VLOOKUP($AB16,変換表貼り付け用シート!$A$3:$AN$3000,13,FALSE)="","",(VLOOKUP($AB16,変換表貼り付け用シート!$A$3:$AN$3000,13,FALSE)))</f>
        <v>#N/A</v>
      </c>
      <c r="AG16" s="80" t="e">
        <f>IF(VLOOKUP($AB16,変換表貼り付け用シート!$A$3:$AN$3000,14,FALSE)="","",(VLOOKUP($AB16,変換表貼り付け用シート!$A$3:$AN$3000,14,FALSE)))</f>
        <v>#N/A</v>
      </c>
      <c r="AH16" s="85" t="e">
        <f>IF(VLOOKUP($AB16,変換表貼り付け用シート!$A$3:$AN$3000,15,FALSE)="","",(VLOOKUP($AB16,変換表貼り付け用シート!$A$3:$AN$3000,15,FALSE)))</f>
        <v>#N/A</v>
      </c>
      <c r="AI16" s="79" t="e">
        <f>IF(VLOOKUP($AB16,変換表貼り付け用シート!$A$3:$AN$3000,16,FALSE)="","",(VLOOKUP($AB16,変換表貼り付け用シート!$A$3:$AN$3000,16,FALSE)))</f>
        <v>#N/A</v>
      </c>
      <c r="AJ16" s="81" t="e">
        <f>IF(VLOOKUP($AB16,変換表貼り付け用シート!$A$3:$AN$3000,17,FALSE)="","",(VLOOKUP($AB16,変換表貼り付け用シート!$A$3:$AN$3000,17,FALSE)))</f>
        <v>#N/A</v>
      </c>
      <c r="AK16" s="88" t="e">
        <f>IF(VLOOKUP($AB16,変換表貼り付け用シート!$A$3:$AN$3000,18,FALSE)="","",(VLOOKUP($AB16,変換表貼り付け用シート!$A$3:$AN$3000,18,FALSE)))</f>
        <v>#N/A</v>
      </c>
      <c r="AL16" s="81" t="e">
        <f>IF(VLOOKUP($AB16,変換表貼り付け用シート!$A$3:$AN$3000,19,FALSE)="","",(VLOOKUP($AB16,変換表貼り付け用シート!$A$3:$AN$3000,19,FALSE)))</f>
        <v>#N/A</v>
      </c>
      <c r="AM16" s="75" t="e">
        <f>IF(VLOOKUP($AB16,変換表貼り付け用シート!$A$3:$AN$3000,20,FALSE)="","",(VLOOKUP($AB16,変換表貼り付け用シート!$A$3:$AN$3000,20,FALSE)))</f>
        <v>#N/A</v>
      </c>
    </row>
    <row r="17" spans="2:39" ht="21" customHeight="1" x14ac:dyDescent="0.35">
      <c r="B17" s="39"/>
      <c r="C17" s="117" t="s">
        <v>721</v>
      </c>
      <c r="D17" s="96" t="s">
        <v>214</v>
      </c>
      <c r="E17" s="27" t="s">
        <v>44</v>
      </c>
      <c r="F17" s="37" t="s">
        <v>45</v>
      </c>
      <c r="G17" s="33" t="s">
        <v>206</v>
      </c>
      <c r="H17" s="27" t="s">
        <v>207</v>
      </c>
      <c r="I17" s="27" t="s">
        <v>206</v>
      </c>
      <c r="J17" s="37" t="s">
        <v>207</v>
      </c>
      <c r="K17" s="39" t="s">
        <v>54</v>
      </c>
      <c r="L17" s="28" t="s">
        <v>59</v>
      </c>
      <c r="M17" s="28" t="s">
        <v>48</v>
      </c>
      <c r="N17" s="41" t="s">
        <v>49</v>
      </c>
      <c r="O17" s="39" t="s">
        <v>53</v>
      </c>
      <c r="P17" s="28"/>
      <c r="Q17" s="28"/>
      <c r="R17" s="41"/>
      <c r="S17" s="39"/>
      <c r="T17" s="41"/>
      <c r="U17" s="39"/>
      <c r="V17" s="41"/>
      <c r="W17" s="43" t="s">
        <v>711</v>
      </c>
      <c r="X17" s="33"/>
      <c r="Y17" s="27"/>
      <c r="Z17" s="29"/>
      <c r="AB17" s="73" t="str">
        <f t="shared" si="0"/>
        <v>Vehicle Severe WeightTowing－</v>
      </c>
      <c r="AC17" s="74" t="e">
        <f>VLOOKUP($AB17,変換表貼り付け用シート!$A$3:$AN$1133,3,FALSE)</f>
        <v>#N/A</v>
      </c>
      <c r="AD17" s="74" t="e">
        <f t="shared" si="1"/>
        <v>#N/A</v>
      </c>
      <c r="AE17" s="79" t="e">
        <f>IF(VLOOKUP($AB17,変換表貼り付け用シート!$A$3:$AN$3000,12,FALSE)="","",(VLOOKUP($AB17,変換表貼り付け用シート!$A$3:$AN$3000,12,FALSE)))</f>
        <v>#N/A</v>
      </c>
      <c r="AF17" s="80" t="e">
        <f>IF(VLOOKUP($AB17,変換表貼り付け用シート!$A$3:$AN$3000,13,FALSE)="","",(VLOOKUP($AB17,変換表貼り付け用シート!$A$3:$AN$3000,13,FALSE)))</f>
        <v>#N/A</v>
      </c>
      <c r="AG17" s="80" t="e">
        <f>IF(VLOOKUP($AB17,変換表貼り付け用シート!$A$3:$AN$3000,14,FALSE)="","",(VLOOKUP($AB17,変換表貼り付け用シート!$A$3:$AN$3000,14,FALSE)))</f>
        <v>#N/A</v>
      </c>
      <c r="AH17" s="85" t="e">
        <f>IF(VLOOKUP($AB17,変換表貼り付け用シート!$A$3:$AN$3000,15,FALSE)="","",(VLOOKUP($AB17,変換表貼り付け用シート!$A$3:$AN$3000,15,FALSE)))</f>
        <v>#N/A</v>
      </c>
      <c r="AI17" s="79" t="e">
        <f>IF(VLOOKUP($AB17,変換表貼り付け用シート!$A$3:$AN$3000,16,FALSE)="","",(VLOOKUP($AB17,変換表貼り付け用シート!$A$3:$AN$3000,16,FALSE)))</f>
        <v>#N/A</v>
      </c>
      <c r="AJ17" s="81" t="e">
        <f>IF(VLOOKUP($AB17,変換表貼り付け用シート!$A$3:$AN$3000,17,FALSE)="","",(VLOOKUP($AB17,変換表貼り付け用シート!$A$3:$AN$3000,17,FALSE)))</f>
        <v>#N/A</v>
      </c>
      <c r="AK17" s="88" t="e">
        <f>IF(VLOOKUP($AB17,変換表貼り付け用シート!$A$3:$AN$3000,18,FALSE)="","",(VLOOKUP($AB17,変換表貼り付け用シート!$A$3:$AN$3000,18,FALSE)))</f>
        <v>#N/A</v>
      </c>
      <c r="AL17" s="81" t="e">
        <f>IF(VLOOKUP($AB17,変換表貼り付け用シート!$A$3:$AN$3000,19,FALSE)="","",(VLOOKUP($AB17,変換表貼り付け用シート!$A$3:$AN$3000,19,FALSE)))</f>
        <v>#N/A</v>
      </c>
      <c r="AM17" s="75" t="e">
        <f>IF(VLOOKUP($AB17,変換表貼り付け用シート!$A$3:$AN$3000,20,FALSE)="","",(VLOOKUP($AB17,変換表貼り付け用シート!$A$3:$AN$3000,20,FALSE)))</f>
        <v>#N/A</v>
      </c>
    </row>
    <row r="18" spans="2:39" ht="21" customHeight="1" x14ac:dyDescent="0.35">
      <c r="B18" s="39"/>
      <c r="C18" s="117" t="s">
        <v>722</v>
      </c>
      <c r="D18" s="96" t="s">
        <v>215</v>
      </c>
      <c r="E18" s="27" t="s">
        <v>44</v>
      </c>
      <c r="F18" s="37" t="s">
        <v>45</v>
      </c>
      <c r="G18" s="33" t="s">
        <v>206</v>
      </c>
      <c r="H18" s="27" t="s">
        <v>207</v>
      </c>
      <c r="I18" s="27" t="s">
        <v>206</v>
      </c>
      <c r="J18" s="37" t="s">
        <v>207</v>
      </c>
      <c r="K18" s="39" t="s">
        <v>60</v>
      </c>
      <c r="L18" s="28" t="s">
        <v>61</v>
      </c>
      <c r="M18" s="28" t="s">
        <v>48</v>
      </c>
      <c r="N18" s="41" t="s">
        <v>48</v>
      </c>
      <c r="O18" s="100" t="s">
        <v>216</v>
      </c>
      <c r="P18" s="28"/>
      <c r="Q18" s="28"/>
      <c r="R18" s="41"/>
      <c r="S18" s="39"/>
      <c r="T18" s="41"/>
      <c r="U18" s="39"/>
      <c r="V18" s="41"/>
      <c r="W18" s="43" t="s">
        <v>711</v>
      </c>
      <c r="X18" s="33"/>
      <c r="Y18" s="27"/>
      <c r="Z18" s="29"/>
      <c r="AB18" s="73" t="str">
        <f t="shared" si="0"/>
        <v>空力Cd －</v>
      </c>
      <c r="AC18" s="74" t="e">
        <f>VLOOKUP($AB18,変換表貼り付け用シート!$A$3:$AN$1133,3,FALSE)</f>
        <v>#N/A</v>
      </c>
      <c r="AD18" s="74" t="e">
        <f t="shared" si="1"/>
        <v>#N/A</v>
      </c>
      <c r="AE18" s="79" t="e">
        <f>IF(VLOOKUP($AB18,変換表貼り付け用シート!$A$3:$AN$3000,12,FALSE)="","",(VLOOKUP($AB18,変換表貼り付け用シート!$A$3:$AN$3000,12,FALSE)))</f>
        <v>#N/A</v>
      </c>
      <c r="AF18" s="80" t="e">
        <f>IF(VLOOKUP($AB18,変換表貼り付け用シート!$A$3:$AN$3000,13,FALSE)="","",(VLOOKUP($AB18,変換表貼り付け用シート!$A$3:$AN$3000,13,FALSE)))</f>
        <v>#N/A</v>
      </c>
      <c r="AG18" s="80" t="e">
        <f>IF(VLOOKUP($AB18,変換表貼り付け用シート!$A$3:$AN$3000,14,FALSE)="","",(VLOOKUP($AB18,変換表貼り付け用シート!$A$3:$AN$3000,14,FALSE)))</f>
        <v>#N/A</v>
      </c>
      <c r="AH18" s="85" t="e">
        <f>IF(VLOOKUP($AB18,変換表貼り付け用シート!$A$3:$AN$3000,15,FALSE)="","",(VLOOKUP($AB18,変換表貼り付け用シート!$A$3:$AN$3000,15,FALSE)))</f>
        <v>#N/A</v>
      </c>
      <c r="AI18" s="79" t="e">
        <f>IF(VLOOKUP($AB18,変換表貼り付け用シート!$A$3:$AN$3000,16,FALSE)="","",(VLOOKUP($AB18,変換表貼り付け用シート!$A$3:$AN$3000,16,FALSE)))</f>
        <v>#N/A</v>
      </c>
      <c r="AJ18" s="81" t="e">
        <f>IF(VLOOKUP($AB18,変換表貼り付け用シート!$A$3:$AN$3000,17,FALSE)="","",(VLOOKUP($AB18,変換表貼り付け用シート!$A$3:$AN$3000,17,FALSE)))</f>
        <v>#N/A</v>
      </c>
      <c r="AK18" s="88" t="e">
        <f>IF(VLOOKUP($AB18,変換表貼り付け用シート!$A$3:$AN$3000,18,FALSE)="","",(VLOOKUP($AB18,変換表貼り付け用シート!$A$3:$AN$3000,18,FALSE)))</f>
        <v>#N/A</v>
      </c>
      <c r="AL18" s="81" t="e">
        <f>IF(VLOOKUP($AB18,変換表貼り付け用シート!$A$3:$AN$3000,19,FALSE)="","",(VLOOKUP($AB18,変換表貼り付け用シート!$A$3:$AN$3000,19,FALSE)))</f>
        <v>#N/A</v>
      </c>
      <c r="AM18" s="75" t="e">
        <f>IF(VLOOKUP($AB18,変換表貼り付け用シート!$A$3:$AN$3000,20,FALSE)="","",(VLOOKUP($AB18,変換表貼り付け用シート!$A$3:$AN$3000,20,FALSE)))</f>
        <v>#N/A</v>
      </c>
    </row>
    <row r="19" spans="2:39" ht="21" customHeight="1" x14ac:dyDescent="0.35">
      <c r="B19" s="39"/>
      <c r="C19" s="117" t="s">
        <v>723</v>
      </c>
      <c r="D19" s="96" t="s">
        <v>217</v>
      </c>
      <c r="E19" s="27" t="s">
        <v>44</v>
      </c>
      <c r="F19" s="37" t="s">
        <v>45</v>
      </c>
      <c r="G19" s="33" t="s">
        <v>206</v>
      </c>
      <c r="H19" s="27" t="s">
        <v>207</v>
      </c>
      <c r="I19" s="27" t="s">
        <v>206</v>
      </c>
      <c r="J19" s="37" t="s">
        <v>207</v>
      </c>
      <c r="K19" s="39" t="s">
        <v>60</v>
      </c>
      <c r="L19" s="28" t="s">
        <v>62</v>
      </c>
      <c r="M19" s="28" t="s">
        <v>48</v>
      </c>
      <c r="N19" s="41" t="s">
        <v>63</v>
      </c>
      <c r="O19" s="39">
        <v>2.21</v>
      </c>
      <c r="P19" s="28"/>
      <c r="Q19" s="28"/>
      <c r="R19" s="41"/>
      <c r="S19" s="39"/>
      <c r="T19" s="41"/>
      <c r="U19" s="39"/>
      <c r="V19" s="41"/>
      <c r="W19" s="43" t="s">
        <v>711</v>
      </c>
      <c r="X19" s="33"/>
      <c r="Y19" s="27"/>
      <c r="Z19" s="29"/>
      <c r="AB19" s="73" t="str">
        <f t="shared" si="0"/>
        <v>空力A－</v>
      </c>
      <c r="AC19" s="74" t="e">
        <f>VLOOKUP($AB19,変換表貼り付け用シート!$A$3:$AN$1133,3,FALSE)</f>
        <v>#N/A</v>
      </c>
      <c r="AD19" s="74" t="e">
        <f t="shared" si="1"/>
        <v>#N/A</v>
      </c>
      <c r="AE19" s="79" t="e">
        <f>IF(VLOOKUP($AB19,変換表貼り付け用シート!$A$3:$AN$3000,12,FALSE)="","",(VLOOKUP($AB19,変換表貼り付け用シート!$A$3:$AN$3000,12,FALSE)))</f>
        <v>#N/A</v>
      </c>
      <c r="AF19" s="80" t="e">
        <f>IF(VLOOKUP($AB19,変換表貼り付け用シート!$A$3:$AN$3000,13,FALSE)="","",(VLOOKUP($AB19,変換表貼り付け用シート!$A$3:$AN$3000,13,FALSE)))</f>
        <v>#N/A</v>
      </c>
      <c r="AG19" s="80" t="e">
        <f>IF(VLOOKUP($AB19,変換表貼り付け用シート!$A$3:$AN$3000,14,FALSE)="","",(VLOOKUP($AB19,変換表貼り付け用シート!$A$3:$AN$3000,14,FALSE)))</f>
        <v>#N/A</v>
      </c>
      <c r="AH19" s="85" t="e">
        <f>IF(VLOOKUP($AB19,変換表貼り付け用シート!$A$3:$AN$3000,15,FALSE)="","",(VLOOKUP($AB19,変換表貼り付け用シート!$A$3:$AN$3000,15,FALSE)))</f>
        <v>#N/A</v>
      </c>
      <c r="AI19" s="79" t="e">
        <f>IF(VLOOKUP($AB19,変換表貼り付け用シート!$A$3:$AN$3000,16,FALSE)="","",(VLOOKUP($AB19,変換表貼り付け用シート!$A$3:$AN$3000,16,FALSE)))</f>
        <v>#N/A</v>
      </c>
      <c r="AJ19" s="81" t="e">
        <f>IF(VLOOKUP($AB19,変換表貼り付け用シート!$A$3:$AN$3000,17,FALSE)="","",(VLOOKUP($AB19,変換表貼り付け用シート!$A$3:$AN$3000,17,FALSE)))</f>
        <v>#N/A</v>
      </c>
      <c r="AK19" s="88" t="e">
        <f>IF(VLOOKUP($AB19,変換表貼り付け用シート!$A$3:$AN$3000,18,FALSE)="","",(VLOOKUP($AB19,変換表貼り付け用シート!$A$3:$AN$3000,18,FALSE)))</f>
        <v>#N/A</v>
      </c>
      <c r="AL19" s="81" t="e">
        <f>IF(VLOOKUP($AB19,変換表貼り付け用シート!$A$3:$AN$3000,19,FALSE)="","",(VLOOKUP($AB19,変換表貼り付け用シート!$A$3:$AN$3000,19,FALSE)))</f>
        <v>#N/A</v>
      </c>
      <c r="AM19" s="75" t="e">
        <f>IF(VLOOKUP($AB19,変換表貼り付け用シート!$A$3:$AN$3000,20,FALSE)="","",(VLOOKUP($AB19,変換表貼り付け用シート!$A$3:$AN$3000,20,FALSE)))</f>
        <v>#N/A</v>
      </c>
    </row>
    <row r="20" spans="2:39" ht="21" customHeight="1" x14ac:dyDescent="0.35">
      <c r="B20" s="39"/>
      <c r="C20" s="117" t="s">
        <v>724</v>
      </c>
      <c r="D20" s="96" t="s">
        <v>218</v>
      </c>
      <c r="E20" s="27" t="s">
        <v>44</v>
      </c>
      <c r="F20" s="37" t="s">
        <v>45</v>
      </c>
      <c r="G20" s="33" t="s">
        <v>206</v>
      </c>
      <c r="H20" s="27" t="s">
        <v>207</v>
      </c>
      <c r="I20" s="27" t="s">
        <v>206</v>
      </c>
      <c r="J20" s="37" t="s">
        <v>207</v>
      </c>
      <c r="K20" s="39" t="s">
        <v>60</v>
      </c>
      <c r="L20" s="28" t="s">
        <v>64</v>
      </c>
      <c r="M20" s="28" t="s">
        <v>48</v>
      </c>
      <c r="N20" s="41" t="s">
        <v>48</v>
      </c>
      <c r="O20" s="39" t="s">
        <v>57</v>
      </c>
      <c r="P20" s="28"/>
      <c r="Q20" s="28"/>
      <c r="R20" s="41"/>
      <c r="S20" s="39"/>
      <c r="T20" s="41"/>
      <c r="U20" s="39"/>
      <c r="V20" s="41"/>
      <c r="W20" s="43" t="s">
        <v>711</v>
      </c>
      <c r="X20" s="33"/>
      <c r="Y20" s="27"/>
      <c r="Z20" s="29"/>
      <c r="AB20" s="73" t="str">
        <f t="shared" si="0"/>
        <v>空力ΔCd (AGS閉→全開)－</v>
      </c>
      <c r="AC20" s="74" t="e">
        <f>VLOOKUP($AB20,変換表貼り付け用シート!$A$3:$AN$1133,3,FALSE)</f>
        <v>#N/A</v>
      </c>
      <c r="AD20" s="74" t="e">
        <f t="shared" si="1"/>
        <v>#N/A</v>
      </c>
      <c r="AE20" s="79" t="e">
        <f>IF(VLOOKUP($AB20,変換表貼り付け用シート!$A$3:$AN$3000,12,FALSE)="","",(VLOOKUP($AB20,変換表貼り付け用シート!$A$3:$AN$3000,12,FALSE)))</f>
        <v>#N/A</v>
      </c>
      <c r="AF20" s="80" t="e">
        <f>IF(VLOOKUP($AB20,変換表貼り付け用シート!$A$3:$AN$3000,13,FALSE)="","",(VLOOKUP($AB20,変換表貼り付け用シート!$A$3:$AN$3000,13,FALSE)))</f>
        <v>#N/A</v>
      </c>
      <c r="AG20" s="80" t="e">
        <f>IF(VLOOKUP($AB20,変換表貼り付け用シート!$A$3:$AN$3000,14,FALSE)="","",(VLOOKUP($AB20,変換表貼り付け用シート!$A$3:$AN$3000,14,FALSE)))</f>
        <v>#N/A</v>
      </c>
      <c r="AH20" s="85" t="e">
        <f>IF(VLOOKUP($AB20,変換表貼り付け用シート!$A$3:$AN$3000,15,FALSE)="","",(VLOOKUP($AB20,変換表貼り付け用シート!$A$3:$AN$3000,15,FALSE)))</f>
        <v>#N/A</v>
      </c>
      <c r="AI20" s="79" t="e">
        <f>IF(VLOOKUP($AB20,変換表貼り付け用シート!$A$3:$AN$3000,16,FALSE)="","",(VLOOKUP($AB20,変換表貼り付け用シート!$A$3:$AN$3000,16,FALSE)))</f>
        <v>#N/A</v>
      </c>
      <c r="AJ20" s="81" t="e">
        <f>IF(VLOOKUP($AB20,変換表貼り付け用シート!$A$3:$AN$3000,17,FALSE)="","",(VLOOKUP($AB20,変換表貼り付け用シート!$A$3:$AN$3000,17,FALSE)))</f>
        <v>#N/A</v>
      </c>
      <c r="AK20" s="88" t="e">
        <f>IF(VLOOKUP($AB20,変換表貼り付け用シート!$A$3:$AN$3000,18,FALSE)="","",(VLOOKUP($AB20,変換表貼り付け用シート!$A$3:$AN$3000,18,FALSE)))</f>
        <v>#N/A</v>
      </c>
      <c r="AL20" s="81" t="e">
        <f>IF(VLOOKUP($AB20,変換表貼り付け用シート!$A$3:$AN$3000,19,FALSE)="","",(VLOOKUP($AB20,変換表貼り付け用シート!$A$3:$AN$3000,19,FALSE)))</f>
        <v>#N/A</v>
      </c>
      <c r="AM20" s="75" t="e">
        <f>IF(VLOOKUP($AB20,変換表貼り付け用シート!$A$3:$AN$3000,20,FALSE)="","",(VLOOKUP($AB20,変換表貼り付け用シート!$A$3:$AN$3000,20,FALSE)))</f>
        <v>#N/A</v>
      </c>
    </row>
    <row r="21" spans="2:39" ht="21" customHeight="1" x14ac:dyDescent="0.35">
      <c r="B21" s="39"/>
      <c r="C21" s="117" t="s">
        <v>725</v>
      </c>
      <c r="D21" s="96" t="s">
        <v>219</v>
      </c>
      <c r="E21" s="27" t="s">
        <v>44</v>
      </c>
      <c r="F21" s="37" t="s">
        <v>45</v>
      </c>
      <c r="G21" s="33" t="s">
        <v>206</v>
      </c>
      <c r="H21" s="27" t="s">
        <v>207</v>
      </c>
      <c r="I21" s="27" t="s">
        <v>206</v>
      </c>
      <c r="J21" s="37" t="s">
        <v>207</v>
      </c>
      <c r="K21" s="39" t="s">
        <v>60</v>
      </c>
      <c r="L21" s="28" t="s">
        <v>65</v>
      </c>
      <c r="M21" s="28" t="s">
        <v>48</v>
      </c>
      <c r="N21" s="41" t="s">
        <v>66</v>
      </c>
      <c r="O21" s="39" t="s">
        <v>57</v>
      </c>
      <c r="P21" s="28"/>
      <c r="Q21" s="28"/>
      <c r="R21" s="41"/>
      <c r="S21" s="39"/>
      <c r="T21" s="41"/>
      <c r="U21" s="39"/>
      <c r="V21" s="41"/>
      <c r="W21" s="43" t="s">
        <v>711</v>
      </c>
      <c r="X21" s="33"/>
      <c r="Y21" s="27"/>
      <c r="Z21" s="29"/>
      <c r="AB21" s="73" t="str">
        <f t="shared" si="0"/>
        <v>空力Grill shutter車速閾値 高速側 (閉→開)/(開→閉)－</v>
      </c>
      <c r="AC21" s="74" t="e">
        <f>VLOOKUP($AB21,変換表貼り付け用シート!$A$3:$AN$1133,3,FALSE)</f>
        <v>#N/A</v>
      </c>
      <c r="AD21" s="74" t="e">
        <f t="shared" si="1"/>
        <v>#N/A</v>
      </c>
      <c r="AE21" s="79" t="e">
        <f>IF(VLOOKUP($AB21,変換表貼り付け用シート!$A$3:$AN$3000,12,FALSE)="","",(VLOOKUP($AB21,変換表貼り付け用シート!$A$3:$AN$3000,12,FALSE)))</f>
        <v>#N/A</v>
      </c>
      <c r="AF21" s="80" t="e">
        <f>IF(VLOOKUP($AB21,変換表貼り付け用シート!$A$3:$AN$3000,13,FALSE)="","",(VLOOKUP($AB21,変換表貼り付け用シート!$A$3:$AN$3000,13,FALSE)))</f>
        <v>#N/A</v>
      </c>
      <c r="AG21" s="80" t="e">
        <f>IF(VLOOKUP($AB21,変換表貼り付け用シート!$A$3:$AN$3000,14,FALSE)="","",(VLOOKUP($AB21,変換表貼り付け用シート!$A$3:$AN$3000,14,FALSE)))</f>
        <v>#N/A</v>
      </c>
      <c r="AH21" s="85" t="e">
        <f>IF(VLOOKUP($AB21,変換表貼り付け用シート!$A$3:$AN$3000,15,FALSE)="","",(VLOOKUP($AB21,変換表貼り付け用シート!$A$3:$AN$3000,15,FALSE)))</f>
        <v>#N/A</v>
      </c>
      <c r="AI21" s="79" t="e">
        <f>IF(VLOOKUP($AB21,変換表貼り付け用シート!$A$3:$AN$3000,16,FALSE)="","",(VLOOKUP($AB21,変換表貼り付け用シート!$A$3:$AN$3000,16,FALSE)))</f>
        <v>#N/A</v>
      </c>
      <c r="AJ21" s="81" t="e">
        <f>IF(VLOOKUP($AB21,変換表貼り付け用シート!$A$3:$AN$3000,17,FALSE)="","",(VLOOKUP($AB21,変換表貼り付け用シート!$A$3:$AN$3000,17,FALSE)))</f>
        <v>#N/A</v>
      </c>
      <c r="AK21" s="88" t="e">
        <f>IF(VLOOKUP($AB21,変換表貼り付け用シート!$A$3:$AN$3000,18,FALSE)="","",(VLOOKUP($AB21,変換表貼り付け用シート!$A$3:$AN$3000,18,FALSE)))</f>
        <v>#N/A</v>
      </c>
      <c r="AL21" s="81" t="e">
        <f>IF(VLOOKUP($AB21,変換表貼り付け用シート!$A$3:$AN$3000,19,FALSE)="","",(VLOOKUP($AB21,変換表貼り付け用シート!$A$3:$AN$3000,19,FALSE)))</f>
        <v>#N/A</v>
      </c>
      <c r="AM21" s="75" t="e">
        <f>IF(VLOOKUP($AB21,変換表貼り付け用シート!$A$3:$AN$3000,20,FALSE)="","",(VLOOKUP($AB21,変換表貼り付け用シート!$A$3:$AN$3000,20,FALSE)))</f>
        <v>#N/A</v>
      </c>
    </row>
    <row r="22" spans="2:39" ht="21" customHeight="1" x14ac:dyDescent="0.35">
      <c r="B22" s="39"/>
      <c r="C22" s="117" t="s">
        <v>726</v>
      </c>
      <c r="D22" s="96" t="s">
        <v>220</v>
      </c>
      <c r="E22" s="27" t="s">
        <v>44</v>
      </c>
      <c r="F22" s="37" t="s">
        <v>45</v>
      </c>
      <c r="G22" s="33" t="s">
        <v>206</v>
      </c>
      <c r="H22" s="27" t="s">
        <v>207</v>
      </c>
      <c r="I22" s="27" t="s">
        <v>206</v>
      </c>
      <c r="J22" s="37" t="s">
        <v>207</v>
      </c>
      <c r="K22" s="39" t="s">
        <v>60</v>
      </c>
      <c r="L22" s="28" t="s">
        <v>67</v>
      </c>
      <c r="M22" s="28" t="s">
        <v>48</v>
      </c>
      <c r="N22" s="41" t="s">
        <v>66</v>
      </c>
      <c r="O22" s="39" t="s">
        <v>57</v>
      </c>
      <c r="P22" s="28"/>
      <c r="Q22" s="28"/>
      <c r="R22" s="41"/>
      <c r="S22" s="39"/>
      <c r="T22" s="41"/>
      <c r="U22" s="39"/>
      <c r="V22" s="41"/>
      <c r="W22" s="43" t="s">
        <v>711</v>
      </c>
      <c r="X22" s="33"/>
      <c r="Y22" s="27"/>
      <c r="Z22" s="29"/>
      <c r="AB22" s="73" t="str">
        <f t="shared" si="0"/>
        <v>空力Grill shutter車速閾値 低速側 (閉→開)/(開→閉)－</v>
      </c>
      <c r="AC22" s="74" t="e">
        <f>VLOOKUP($AB22,変換表貼り付け用シート!$A$3:$AN$1133,3,FALSE)</f>
        <v>#N/A</v>
      </c>
      <c r="AD22" s="74" t="e">
        <f t="shared" si="1"/>
        <v>#N/A</v>
      </c>
      <c r="AE22" s="79" t="e">
        <f>IF(VLOOKUP($AB22,変換表貼り付け用シート!$A$3:$AN$3000,12,FALSE)="","",(VLOOKUP($AB22,変換表貼り付け用シート!$A$3:$AN$3000,12,FALSE)))</f>
        <v>#N/A</v>
      </c>
      <c r="AF22" s="80" t="e">
        <f>IF(VLOOKUP($AB22,変換表貼り付け用シート!$A$3:$AN$3000,13,FALSE)="","",(VLOOKUP($AB22,変換表貼り付け用シート!$A$3:$AN$3000,13,FALSE)))</f>
        <v>#N/A</v>
      </c>
      <c r="AG22" s="80" t="e">
        <f>IF(VLOOKUP($AB22,変換表貼り付け用シート!$A$3:$AN$3000,14,FALSE)="","",(VLOOKUP($AB22,変換表貼り付け用シート!$A$3:$AN$3000,14,FALSE)))</f>
        <v>#N/A</v>
      </c>
      <c r="AH22" s="85" t="e">
        <f>IF(VLOOKUP($AB22,変換表貼り付け用シート!$A$3:$AN$3000,15,FALSE)="","",(VLOOKUP($AB22,変換表貼り付け用シート!$A$3:$AN$3000,15,FALSE)))</f>
        <v>#N/A</v>
      </c>
      <c r="AI22" s="79" t="e">
        <f>IF(VLOOKUP($AB22,変換表貼り付け用シート!$A$3:$AN$3000,16,FALSE)="","",(VLOOKUP($AB22,変換表貼り付け用シート!$A$3:$AN$3000,16,FALSE)))</f>
        <v>#N/A</v>
      </c>
      <c r="AJ22" s="81" t="e">
        <f>IF(VLOOKUP($AB22,変換表貼り付け用シート!$A$3:$AN$3000,17,FALSE)="","",(VLOOKUP($AB22,変換表貼り付け用シート!$A$3:$AN$3000,17,FALSE)))</f>
        <v>#N/A</v>
      </c>
      <c r="AK22" s="88" t="e">
        <f>IF(VLOOKUP($AB22,変換表貼り付け用シート!$A$3:$AN$3000,18,FALSE)="","",(VLOOKUP($AB22,変換表貼り付け用シート!$A$3:$AN$3000,18,FALSE)))</f>
        <v>#N/A</v>
      </c>
      <c r="AL22" s="81" t="e">
        <f>IF(VLOOKUP($AB22,変換表貼り付け用シート!$A$3:$AN$3000,19,FALSE)="","",(VLOOKUP($AB22,変換表貼り付け用シート!$A$3:$AN$3000,19,FALSE)))</f>
        <v>#N/A</v>
      </c>
      <c r="AM22" s="75" t="e">
        <f>IF(VLOOKUP($AB22,変換表貼り付け用シート!$A$3:$AN$3000,20,FALSE)="","",(VLOOKUP($AB22,変換表貼り付け用シート!$A$3:$AN$3000,20,FALSE)))</f>
        <v>#N/A</v>
      </c>
    </row>
    <row r="23" spans="2:39" ht="21" customHeight="1" x14ac:dyDescent="0.35">
      <c r="B23" s="39"/>
      <c r="C23" s="117" t="s">
        <v>727</v>
      </c>
      <c r="D23" s="96" t="s">
        <v>221</v>
      </c>
      <c r="E23" s="27" t="s">
        <v>44</v>
      </c>
      <c r="F23" s="37" t="s">
        <v>45</v>
      </c>
      <c r="G23" s="33" t="s">
        <v>206</v>
      </c>
      <c r="H23" s="27" t="s">
        <v>207</v>
      </c>
      <c r="I23" s="27" t="s">
        <v>206</v>
      </c>
      <c r="J23" s="37" t="s">
        <v>207</v>
      </c>
      <c r="K23" s="39" t="s">
        <v>68</v>
      </c>
      <c r="L23" s="28" t="s">
        <v>69</v>
      </c>
      <c r="M23" s="28" t="s">
        <v>48</v>
      </c>
      <c r="N23" s="41" t="s">
        <v>48</v>
      </c>
      <c r="O23" s="39" t="s">
        <v>70</v>
      </c>
      <c r="P23" s="28"/>
      <c r="Q23" s="28"/>
      <c r="R23" s="41"/>
      <c r="S23" s="39"/>
      <c r="T23" s="41"/>
      <c r="U23" s="39"/>
      <c r="V23" s="41"/>
      <c r="W23" s="43" t="s">
        <v>711</v>
      </c>
      <c r="X23" s="33"/>
      <c r="Y23" s="27"/>
      <c r="Z23" s="29"/>
      <c r="AB23" s="73" t="str">
        <f t="shared" si="0"/>
        <v>タイヤFRサイズ－</v>
      </c>
      <c r="AC23" s="74" t="e">
        <f>VLOOKUP($AB23,変換表貼り付け用シート!$A$3:$AN$1133,3,FALSE)</f>
        <v>#N/A</v>
      </c>
      <c r="AD23" s="74" t="e">
        <f t="shared" si="1"/>
        <v>#N/A</v>
      </c>
      <c r="AE23" s="79" t="e">
        <f>IF(VLOOKUP($AB23,変換表貼り付け用シート!$A$3:$AN$3000,12,FALSE)="","",(VLOOKUP($AB23,変換表貼り付け用シート!$A$3:$AN$3000,12,FALSE)))</f>
        <v>#N/A</v>
      </c>
      <c r="AF23" s="80" t="e">
        <f>IF(VLOOKUP($AB23,変換表貼り付け用シート!$A$3:$AN$3000,13,FALSE)="","",(VLOOKUP($AB23,変換表貼り付け用シート!$A$3:$AN$3000,13,FALSE)))</f>
        <v>#N/A</v>
      </c>
      <c r="AG23" s="80" t="e">
        <f>IF(VLOOKUP($AB23,変換表貼り付け用シート!$A$3:$AN$3000,14,FALSE)="","",(VLOOKUP($AB23,変換表貼り付け用シート!$A$3:$AN$3000,14,FALSE)))</f>
        <v>#N/A</v>
      </c>
      <c r="AH23" s="85" t="e">
        <f>IF(VLOOKUP($AB23,変換表貼り付け用シート!$A$3:$AN$3000,15,FALSE)="","",(VLOOKUP($AB23,変換表貼り付け用シート!$A$3:$AN$3000,15,FALSE)))</f>
        <v>#N/A</v>
      </c>
      <c r="AI23" s="79" t="e">
        <f>IF(VLOOKUP($AB23,変換表貼り付け用シート!$A$3:$AN$3000,16,FALSE)="","",(VLOOKUP($AB23,変換表貼り付け用シート!$A$3:$AN$3000,16,FALSE)))</f>
        <v>#N/A</v>
      </c>
      <c r="AJ23" s="81" t="e">
        <f>IF(VLOOKUP($AB23,変換表貼り付け用シート!$A$3:$AN$3000,17,FALSE)="","",(VLOOKUP($AB23,変換表貼り付け用シート!$A$3:$AN$3000,17,FALSE)))</f>
        <v>#N/A</v>
      </c>
      <c r="AK23" s="88" t="e">
        <f>IF(VLOOKUP($AB23,変換表貼り付け用シート!$A$3:$AN$3000,18,FALSE)="","",(VLOOKUP($AB23,変換表貼り付け用シート!$A$3:$AN$3000,18,FALSE)))</f>
        <v>#N/A</v>
      </c>
      <c r="AL23" s="81" t="e">
        <f>IF(VLOOKUP($AB23,変換表貼り付け用シート!$A$3:$AN$3000,19,FALSE)="","",(VLOOKUP($AB23,変換表貼り付け用シート!$A$3:$AN$3000,19,FALSE)))</f>
        <v>#N/A</v>
      </c>
      <c r="AM23" s="75" t="e">
        <f>IF(VLOOKUP($AB23,変換表貼り付け用シート!$A$3:$AN$3000,20,FALSE)="","",(VLOOKUP($AB23,変換表貼り付け用シート!$A$3:$AN$3000,20,FALSE)))</f>
        <v>#N/A</v>
      </c>
    </row>
    <row r="24" spans="2:39" ht="21" customHeight="1" x14ac:dyDescent="0.35">
      <c r="B24" s="39"/>
      <c r="C24" s="117" t="s">
        <v>728</v>
      </c>
      <c r="D24" s="96" t="s">
        <v>222</v>
      </c>
      <c r="E24" s="27" t="s">
        <v>44</v>
      </c>
      <c r="F24" s="37" t="s">
        <v>45</v>
      </c>
      <c r="G24" s="33" t="s">
        <v>206</v>
      </c>
      <c r="H24" s="27" t="s">
        <v>207</v>
      </c>
      <c r="I24" s="27" t="s">
        <v>206</v>
      </c>
      <c r="J24" s="37" t="s">
        <v>207</v>
      </c>
      <c r="K24" s="39" t="s">
        <v>68</v>
      </c>
      <c r="L24" s="28" t="s">
        <v>71</v>
      </c>
      <c r="M24" s="28" t="s">
        <v>48</v>
      </c>
      <c r="N24" s="41" t="s">
        <v>72</v>
      </c>
      <c r="O24" s="39">
        <v>0.27100000000000002</v>
      </c>
      <c r="P24" s="28"/>
      <c r="Q24" s="28"/>
      <c r="R24" s="41"/>
      <c r="S24" s="39"/>
      <c r="T24" s="41"/>
      <c r="U24" s="39"/>
      <c r="V24" s="41"/>
      <c r="W24" s="43" t="s">
        <v>711</v>
      </c>
      <c r="X24" s="33"/>
      <c r="Y24" s="27"/>
      <c r="Z24" s="29"/>
      <c r="AB24" s="73" t="str">
        <f t="shared" si="0"/>
        <v>タイヤFR動半径－</v>
      </c>
      <c r="AC24" s="74" t="e">
        <f>VLOOKUP($AB24,変換表貼り付け用シート!$A$3:$AN$1133,3,FALSE)</f>
        <v>#N/A</v>
      </c>
      <c r="AD24" s="74" t="e">
        <f t="shared" si="1"/>
        <v>#N/A</v>
      </c>
      <c r="AE24" s="79" t="e">
        <f>IF(VLOOKUP($AB24,変換表貼り付け用シート!$A$3:$AN$3000,12,FALSE)="","",(VLOOKUP($AB24,変換表貼り付け用シート!$A$3:$AN$3000,12,FALSE)))</f>
        <v>#N/A</v>
      </c>
      <c r="AF24" s="80" t="e">
        <f>IF(VLOOKUP($AB24,変換表貼り付け用シート!$A$3:$AN$3000,13,FALSE)="","",(VLOOKUP($AB24,変換表貼り付け用シート!$A$3:$AN$3000,13,FALSE)))</f>
        <v>#N/A</v>
      </c>
      <c r="AG24" s="80" t="e">
        <f>IF(VLOOKUP($AB24,変換表貼り付け用シート!$A$3:$AN$3000,14,FALSE)="","",(VLOOKUP($AB24,変換表貼り付け用シート!$A$3:$AN$3000,14,FALSE)))</f>
        <v>#N/A</v>
      </c>
      <c r="AH24" s="85" t="e">
        <f>IF(VLOOKUP($AB24,変換表貼り付け用シート!$A$3:$AN$3000,15,FALSE)="","",(VLOOKUP($AB24,変換表貼り付け用シート!$A$3:$AN$3000,15,FALSE)))</f>
        <v>#N/A</v>
      </c>
      <c r="AI24" s="79" t="e">
        <f>IF(VLOOKUP($AB24,変換表貼り付け用シート!$A$3:$AN$3000,16,FALSE)="","",(VLOOKUP($AB24,変換表貼り付け用シート!$A$3:$AN$3000,16,FALSE)))</f>
        <v>#N/A</v>
      </c>
      <c r="AJ24" s="81" t="e">
        <f>IF(VLOOKUP($AB24,変換表貼り付け用シート!$A$3:$AN$3000,17,FALSE)="","",(VLOOKUP($AB24,変換表貼り付け用シート!$A$3:$AN$3000,17,FALSE)))</f>
        <v>#N/A</v>
      </c>
      <c r="AK24" s="88" t="e">
        <f>IF(VLOOKUP($AB24,変換表貼り付け用シート!$A$3:$AN$3000,18,FALSE)="","",(VLOOKUP($AB24,変換表貼り付け用シート!$A$3:$AN$3000,18,FALSE)))</f>
        <v>#N/A</v>
      </c>
      <c r="AL24" s="81" t="e">
        <f>IF(VLOOKUP($AB24,変換表貼り付け用シート!$A$3:$AN$3000,19,FALSE)="","",(VLOOKUP($AB24,変換表貼り付け用シート!$A$3:$AN$3000,19,FALSE)))</f>
        <v>#N/A</v>
      </c>
      <c r="AM24" s="75" t="e">
        <f>IF(VLOOKUP($AB24,変換表貼り付け用シート!$A$3:$AN$3000,20,FALSE)="","",(VLOOKUP($AB24,変換表貼り付け用シート!$A$3:$AN$3000,20,FALSE)))</f>
        <v>#N/A</v>
      </c>
    </row>
    <row r="25" spans="2:39" ht="21" customHeight="1" x14ac:dyDescent="0.35">
      <c r="B25" s="39"/>
      <c r="C25" s="117" t="s">
        <v>729</v>
      </c>
      <c r="D25" s="96" t="s">
        <v>223</v>
      </c>
      <c r="E25" s="27" t="s">
        <v>44</v>
      </c>
      <c r="F25" s="37" t="s">
        <v>45</v>
      </c>
      <c r="G25" s="33" t="s">
        <v>206</v>
      </c>
      <c r="H25" s="27" t="s">
        <v>207</v>
      </c>
      <c r="I25" s="27" t="s">
        <v>206</v>
      </c>
      <c r="J25" s="37" t="s">
        <v>207</v>
      </c>
      <c r="K25" s="39" t="s">
        <v>68</v>
      </c>
      <c r="L25" s="28" t="s">
        <v>73</v>
      </c>
      <c r="M25" s="28" t="s">
        <v>48</v>
      </c>
      <c r="N25" s="41" t="s">
        <v>48</v>
      </c>
      <c r="O25" s="39">
        <v>7.2</v>
      </c>
      <c r="P25" s="28"/>
      <c r="Q25" s="28"/>
      <c r="R25" s="41"/>
      <c r="S25" s="39"/>
      <c r="T25" s="41"/>
      <c r="U25" s="39"/>
      <c r="V25" s="41"/>
      <c r="W25" s="43" t="s">
        <v>711</v>
      </c>
      <c r="X25" s="33"/>
      <c r="Y25" s="27"/>
      <c r="Z25" s="29"/>
      <c r="AB25" s="73" t="str">
        <f t="shared" si="0"/>
        <v>タイヤFR RRC (ISO 28560 80kmh,210kPa)－</v>
      </c>
      <c r="AC25" s="74" t="e">
        <f>VLOOKUP($AB25,変換表貼り付け用シート!$A$3:$AN$1133,3,FALSE)</f>
        <v>#N/A</v>
      </c>
      <c r="AD25" s="74" t="e">
        <f t="shared" si="1"/>
        <v>#N/A</v>
      </c>
      <c r="AE25" s="79" t="e">
        <f>IF(VLOOKUP($AB25,変換表貼り付け用シート!$A$3:$AN$3000,12,FALSE)="","",(VLOOKUP($AB25,変換表貼り付け用シート!$A$3:$AN$3000,12,FALSE)))</f>
        <v>#N/A</v>
      </c>
      <c r="AF25" s="80" t="e">
        <f>IF(VLOOKUP($AB25,変換表貼り付け用シート!$A$3:$AN$3000,13,FALSE)="","",(VLOOKUP($AB25,変換表貼り付け用シート!$A$3:$AN$3000,13,FALSE)))</f>
        <v>#N/A</v>
      </c>
      <c r="AG25" s="80" t="e">
        <f>IF(VLOOKUP($AB25,変換表貼り付け用シート!$A$3:$AN$3000,14,FALSE)="","",(VLOOKUP($AB25,変換表貼り付け用シート!$A$3:$AN$3000,14,FALSE)))</f>
        <v>#N/A</v>
      </c>
      <c r="AH25" s="85" t="e">
        <f>IF(VLOOKUP($AB25,変換表貼り付け用シート!$A$3:$AN$3000,15,FALSE)="","",(VLOOKUP($AB25,変換表貼り付け用シート!$A$3:$AN$3000,15,FALSE)))</f>
        <v>#N/A</v>
      </c>
      <c r="AI25" s="79" t="e">
        <f>IF(VLOOKUP($AB25,変換表貼り付け用シート!$A$3:$AN$3000,16,FALSE)="","",(VLOOKUP($AB25,変換表貼り付け用シート!$A$3:$AN$3000,16,FALSE)))</f>
        <v>#N/A</v>
      </c>
      <c r="AJ25" s="81" t="e">
        <f>IF(VLOOKUP($AB25,変換表貼り付け用シート!$A$3:$AN$3000,17,FALSE)="","",(VLOOKUP($AB25,変換表貼り付け用シート!$A$3:$AN$3000,17,FALSE)))</f>
        <v>#N/A</v>
      </c>
      <c r="AK25" s="88" t="e">
        <f>IF(VLOOKUP($AB25,変換表貼り付け用シート!$A$3:$AN$3000,18,FALSE)="","",(VLOOKUP($AB25,変換表貼り付け用シート!$A$3:$AN$3000,18,FALSE)))</f>
        <v>#N/A</v>
      </c>
      <c r="AL25" s="81" t="e">
        <f>IF(VLOOKUP($AB25,変換表貼り付け用シート!$A$3:$AN$3000,19,FALSE)="","",(VLOOKUP($AB25,変換表貼り付け用シート!$A$3:$AN$3000,19,FALSE)))</f>
        <v>#N/A</v>
      </c>
      <c r="AM25" s="75" t="e">
        <f>IF(VLOOKUP($AB25,変換表貼り付け用シート!$A$3:$AN$3000,20,FALSE)="","",(VLOOKUP($AB25,変換表貼り付け用シート!$A$3:$AN$3000,20,FALSE)))</f>
        <v>#N/A</v>
      </c>
    </row>
    <row r="26" spans="2:39" ht="21" customHeight="1" x14ac:dyDescent="0.35">
      <c r="B26" s="39"/>
      <c r="C26" s="117" t="s">
        <v>730</v>
      </c>
      <c r="D26" s="96" t="s">
        <v>224</v>
      </c>
      <c r="E26" s="27" t="s">
        <v>44</v>
      </c>
      <c r="F26" s="37" t="s">
        <v>45</v>
      </c>
      <c r="G26" s="33" t="s">
        <v>206</v>
      </c>
      <c r="H26" s="27" t="s">
        <v>207</v>
      </c>
      <c r="I26" s="27" t="s">
        <v>206</v>
      </c>
      <c r="J26" s="37" t="s">
        <v>207</v>
      </c>
      <c r="K26" s="39" t="s">
        <v>68</v>
      </c>
      <c r="L26" s="28" t="s">
        <v>74</v>
      </c>
      <c r="M26" s="28" t="s">
        <v>48</v>
      </c>
      <c r="N26" s="41" t="s">
        <v>48</v>
      </c>
      <c r="O26" s="39">
        <v>68</v>
      </c>
      <c r="P26" s="28"/>
      <c r="Q26" s="28"/>
      <c r="R26" s="41"/>
      <c r="S26" s="39"/>
      <c r="T26" s="41"/>
      <c r="U26" s="39"/>
      <c r="V26" s="41"/>
      <c r="W26" s="43" t="s">
        <v>711</v>
      </c>
      <c r="X26" s="33"/>
      <c r="Y26" s="27"/>
      <c r="Z26" s="29"/>
      <c r="AB26" s="73" t="str">
        <f t="shared" si="0"/>
        <v>タイヤFR RRC (車両状態)－</v>
      </c>
      <c r="AC26" s="74" t="e">
        <f>VLOOKUP($AB26,変換表貼り付け用シート!$A$3:$AN$1133,3,FALSE)</f>
        <v>#N/A</v>
      </c>
      <c r="AD26" s="74" t="e">
        <f t="shared" si="1"/>
        <v>#N/A</v>
      </c>
      <c r="AE26" s="79" t="e">
        <f>IF(VLOOKUP($AB26,変換表貼り付け用シート!$A$3:$AN$3000,12,FALSE)="","",(VLOOKUP($AB26,変換表貼り付け用シート!$A$3:$AN$3000,12,FALSE)))</f>
        <v>#N/A</v>
      </c>
      <c r="AF26" s="80" t="e">
        <f>IF(VLOOKUP($AB26,変換表貼り付け用シート!$A$3:$AN$3000,13,FALSE)="","",(VLOOKUP($AB26,変換表貼り付け用シート!$A$3:$AN$3000,13,FALSE)))</f>
        <v>#N/A</v>
      </c>
      <c r="AG26" s="80" t="e">
        <f>IF(VLOOKUP($AB26,変換表貼り付け用シート!$A$3:$AN$3000,14,FALSE)="","",(VLOOKUP($AB26,変換表貼り付け用シート!$A$3:$AN$3000,14,FALSE)))</f>
        <v>#N/A</v>
      </c>
      <c r="AH26" s="85" t="e">
        <f>IF(VLOOKUP($AB26,変換表貼り付け用シート!$A$3:$AN$3000,15,FALSE)="","",(VLOOKUP($AB26,変換表貼り付け用シート!$A$3:$AN$3000,15,FALSE)))</f>
        <v>#N/A</v>
      </c>
      <c r="AI26" s="79" t="e">
        <f>IF(VLOOKUP($AB26,変換表貼り付け用シート!$A$3:$AN$3000,16,FALSE)="","",(VLOOKUP($AB26,変換表貼り付け用シート!$A$3:$AN$3000,16,FALSE)))</f>
        <v>#N/A</v>
      </c>
      <c r="AJ26" s="81" t="e">
        <f>IF(VLOOKUP($AB26,変換表貼り付け用シート!$A$3:$AN$3000,17,FALSE)="","",(VLOOKUP($AB26,変換表貼り付け用シート!$A$3:$AN$3000,17,FALSE)))</f>
        <v>#N/A</v>
      </c>
      <c r="AK26" s="88" t="e">
        <f>IF(VLOOKUP($AB26,変換表貼り付け用シート!$A$3:$AN$3000,18,FALSE)="","",(VLOOKUP($AB26,変換表貼り付け用シート!$A$3:$AN$3000,18,FALSE)))</f>
        <v>#N/A</v>
      </c>
      <c r="AL26" s="81" t="e">
        <f>IF(VLOOKUP($AB26,変換表貼り付け用シート!$A$3:$AN$3000,19,FALSE)="","",(VLOOKUP($AB26,変換表貼り付け用シート!$A$3:$AN$3000,19,FALSE)))</f>
        <v>#N/A</v>
      </c>
      <c r="AM26" s="75" t="e">
        <f>IF(VLOOKUP($AB26,変換表貼り付け用シート!$A$3:$AN$3000,20,FALSE)="","",(VLOOKUP($AB26,変換表貼り付け用シート!$A$3:$AN$3000,20,FALSE)))</f>
        <v>#N/A</v>
      </c>
    </row>
    <row r="27" spans="2:39" ht="21" customHeight="1" x14ac:dyDescent="0.35">
      <c r="B27" s="39"/>
      <c r="C27" s="117" t="s">
        <v>731</v>
      </c>
      <c r="D27" s="96" t="s">
        <v>225</v>
      </c>
      <c r="E27" s="27" t="s">
        <v>44</v>
      </c>
      <c r="F27" s="37" t="s">
        <v>45</v>
      </c>
      <c r="G27" s="33" t="s">
        <v>206</v>
      </c>
      <c r="H27" s="27" t="s">
        <v>207</v>
      </c>
      <c r="I27" s="27" t="s">
        <v>206</v>
      </c>
      <c r="J27" s="37" t="s">
        <v>207</v>
      </c>
      <c r="K27" s="39" t="s">
        <v>68</v>
      </c>
      <c r="L27" s="28" t="s">
        <v>75</v>
      </c>
      <c r="M27" s="28" t="s">
        <v>48</v>
      </c>
      <c r="N27" s="41" t="s">
        <v>76</v>
      </c>
      <c r="O27" s="39">
        <v>240</v>
      </c>
      <c r="P27" s="28"/>
      <c r="Q27" s="28"/>
      <c r="R27" s="41"/>
      <c r="S27" s="39"/>
      <c r="T27" s="41"/>
      <c r="U27" s="39"/>
      <c r="V27" s="41"/>
      <c r="W27" s="43" t="s">
        <v>711</v>
      </c>
      <c r="X27" s="33"/>
      <c r="Y27" s="27"/>
      <c r="Z27" s="29"/>
      <c r="AB27" s="73" t="str">
        <f t="shared" si="0"/>
        <v>タイヤFR RRC (車両状態)空気圧－</v>
      </c>
      <c r="AC27" s="74" t="e">
        <f>VLOOKUP($AB27,変換表貼り付け用シート!$A$3:$AN$1133,3,FALSE)</f>
        <v>#N/A</v>
      </c>
      <c r="AD27" s="74" t="e">
        <f t="shared" si="1"/>
        <v>#N/A</v>
      </c>
      <c r="AE27" s="79" t="e">
        <f>IF(VLOOKUP($AB27,変換表貼り付け用シート!$A$3:$AN$3000,12,FALSE)="","",(VLOOKUP($AB27,変換表貼り付け用シート!$A$3:$AN$3000,12,FALSE)))</f>
        <v>#N/A</v>
      </c>
      <c r="AF27" s="80" t="e">
        <f>IF(VLOOKUP($AB27,変換表貼り付け用シート!$A$3:$AN$3000,13,FALSE)="","",(VLOOKUP($AB27,変換表貼り付け用シート!$A$3:$AN$3000,13,FALSE)))</f>
        <v>#N/A</v>
      </c>
      <c r="AG27" s="80" t="e">
        <f>IF(VLOOKUP($AB27,変換表貼り付け用シート!$A$3:$AN$3000,14,FALSE)="","",(VLOOKUP($AB27,変換表貼り付け用シート!$A$3:$AN$3000,14,FALSE)))</f>
        <v>#N/A</v>
      </c>
      <c r="AH27" s="85" t="e">
        <f>IF(VLOOKUP($AB27,変換表貼り付け用シート!$A$3:$AN$3000,15,FALSE)="","",(VLOOKUP($AB27,変換表貼り付け用シート!$A$3:$AN$3000,15,FALSE)))</f>
        <v>#N/A</v>
      </c>
      <c r="AI27" s="79" t="e">
        <f>IF(VLOOKUP($AB27,変換表貼り付け用シート!$A$3:$AN$3000,16,FALSE)="","",(VLOOKUP($AB27,変換表貼り付け用シート!$A$3:$AN$3000,16,FALSE)))</f>
        <v>#N/A</v>
      </c>
      <c r="AJ27" s="81" t="e">
        <f>IF(VLOOKUP($AB27,変換表貼り付け用シート!$A$3:$AN$3000,17,FALSE)="","",(VLOOKUP($AB27,変換表貼り付け用シート!$A$3:$AN$3000,17,FALSE)))</f>
        <v>#N/A</v>
      </c>
      <c r="AK27" s="88" t="e">
        <f>IF(VLOOKUP($AB27,変換表貼り付け用シート!$A$3:$AN$3000,18,FALSE)="","",(VLOOKUP($AB27,変換表貼り付け用シート!$A$3:$AN$3000,18,FALSE)))</f>
        <v>#N/A</v>
      </c>
      <c r="AL27" s="81" t="e">
        <f>IF(VLOOKUP($AB27,変換表貼り付け用シート!$A$3:$AN$3000,19,FALSE)="","",(VLOOKUP($AB27,変換表貼り付け用シート!$A$3:$AN$3000,19,FALSE)))</f>
        <v>#N/A</v>
      </c>
      <c r="AM27" s="75" t="e">
        <f>IF(VLOOKUP($AB27,変換表貼り付け用シート!$A$3:$AN$3000,20,FALSE)="","",(VLOOKUP($AB27,変換表貼り付け用シート!$A$3:$AN$3000,20,FALSE)))</f>
        <v>#N/A</v>
      </c>
    </row>
    <row r="28" spans="2:39" ht="21" customHeight="1" x14ac:dyDescent="0.35">
      <c r="B28" s="39"/>
      <c r="C28" s="117" t="s">
        <v>732</v>
      </c>
      <c r="D28" s="96" t="s">
        <v>226</v>
      </c>
      <c r="E28" s="27" t="s">
        <v>44</v>
      </c>
      <c r="F28" s="37" t="s">
        <v>45</v>
      </c>
      <c r="G28" s="33" t="s">
        <v>206</v>
      </c>
      <c r="H28" s="27" t="s">
        <v>207</v>
      </c>
      <c r="I28" s="27" t="s">
        <v>206</v>
      </c>
      <c r="J28" s="37" t="s">
        <v>207</v>
      </c>
      <c r="K28" s="39" t="s">
        <v>68</v>
      </c>
      <c r="L28" s="28" t="s">
        <v>77</v>
      </c>
      <c r="M28" s="28" t="s">
        <v>48</v>
      </c>
      <c r="N28" s="41" t="s">
        <v>78</v>
      </c>
      <c r="O28" s="39">
        <v>0.49</v>
      </c>
      <c r="P28" s="28"/>
      <c r="Q28" s="28"/>
      <c r="R28" s="41"/>
      <c r="S28" s="39"/>
      <c r="T28" s="41"/>
      <c r="U28" s="39"/>
      <c r="V28" s="41"/>
      <c r="W28" s="43" t="s">
        <v>711</v>
      </c>
      <c r="X28" s="33"/>
      <c r="Y28" s="27"/>
      <c r="Z28" s="29"/>
      <c r="AB28" s="73" t="str">
        <f t="shared" si="0"/>
        <v>タイヤFR イナーシャ(1本) －</v>
      </c>
      <c r="AC28" s="74" t="e">
        <f>VLOOKUP($AB28,変換表貼り付け用シート!$A$3:$AN$1133,3,FALSE)</f>
        <v>#N/A</v>
      </c>
      <c r="AD28" s="74" t="e">
        <f t="shared" si="1"/>
        <v>#N/A</v>
      </c>
      <c r="AE28" s="79" t="e">
        <f>IF(VLOOKUP($AB28,変換表貼り付け用シート!$A$3:$AN$3000,12,FALSE)="","",(VLOOKUP($AB28,変換表貼り付け用シート!$A$3:$AN$3000,12,FALSE)))</f>
        <v>#N/A</v>
      </c>
      <c r="AF28" s="80" t="e">
        <f>IF(VLOOKUP($AB28,変換表貼り付け用シート!$A$3:$AN$3000,13,FALSE)="","",(VLOOKUP($AB28,変換表貼り付け用シート!$A$3:$AN$3000,13,FALSE)))</f>
        <v>#N/A</v>
      </c>
      <c r="AG28" s="80" t="e">
        <f>IF(VLOOKUP($AB28,変換表貼り付け用シート!$A$3:$AN$3000,14,FALSE)="","",(VLOOKUP($AB28,変換表貼り付け用シート!$A$3:$AN$3000,14,FALSE)))</f>
        <v>#N/A</v>
      </c>
      <c r="AH28" s="85" t="e">
        <f>IF(VLOOKUP($AB28,変換表貼り付け用シート!$A$3:$AN$3000,15,FALSE)="","",(VLOOKUP($AB28,変換表貼り付け用シート!$A$3:$AN$3000,15,FALSE)))</f>
        <v>#N/A</v>
      </c>
      <c r="AI28" s="79" t="e">
        <f>IF(VLOOKUP($AB28,変換表貼り付け用シート!$A$3:$AN$3000,16,FALSE)="","",(VLOOKUP($AB28,変換表貼り付け用シート!$A$3:$AN$3000,16,FALSE)))</f>
        <v>#N/A</v>
      </c>
      <c r="AJ28" s="81" t="e">
        <f>IF(VLOOKUP($AB28,変換表貼り付け用シート!$A$3:$AN$3000,17,FALSE)="","",(VLOOKUP($AB28,変換表貼り付け用シート!$A$3:$AN$3000,17,FALSE)))</f>
        <v>#N/A</v>
      </c>
      <c r="AK28" s="88" t="e">
        <f>IF(VLOOKUP($AB28,変換表貼り付け用シート!$A$3:$AN$3000,18,FALSE)="","",(VLOOKUP($AB28,変換表貼り付け用シート!$A$3:$AN$3000,18,FALSE)))</f>
        <v>#N/A</v>
      </c>
      <c r="AL28" s="81" t="e">
        <f>IF(VLOOKUP($AB28,変換表貼り付け用シート!$A$3:$AN$3000,19,FALSE)="","",(VLOOKUP($AB28,変換表貼り付け用シート!$A$3:$AN$3000,19,FALSE)))</f>
        <v>#N/A</v>
      </c>
      <c r="AM28" s="75" t="e">
        <f>IF(VLOOKUP($AB28,変換表貼り付け用シート!$A$3:$AN$3000,20,FALSE)="","",(VLOOKUP($AB28,変換表貼り付け用シート!$A$3:$AN$3000,20,FALSE)))</f>
        <v>#N/A</v>
      </c>
    </row>
    <row r="29" spans="2:39" ht="21" customHeight="1" x14ac:dyDescent="0.35">
      <c r="B29" s="39"/>
      <c r="C29" s="117" t="s">
        <v>733</v>
      </c>
      <c r="D29" s="96" t="s">
        <v>227</v>
      </c>
      <c r="E29" s="27" t="s">
        <v>44</v>
      </c>
      <c r="F29" s="37" t="s">
        <v>45</v>
      </c>
      <c r="G29" s="33" t="s">
        <v>206</v>
      </c>
      <c r="H29" s="27" t="s">
        <v>207</v>
      </c>
      <c r="I29" s="27" t="s">
        <v>206</v>
      </c>
      <c r="J29" s="37" t="s">
        <v>207</v>
      </c>
      <c r="K29" s="39" t="s">
        <v>68</v>
      </c>
      <c r="L29" s="28" t="s">
        <v>79</v>
      </c>
      <c r="M29" s="28" t="s">
        <v>48</v>
      </c>
      <c r="N29" s="41" t="s">
        <v>48</v>
      </c>
      <c r="O29" s="39" t="s">
        <v>70</v>
      </c>
      <c r="P29" s="28"/>
      <c r="Q29" s="28"/>
      <c r="R29" s="41"/>
      <c r="S29" s="39"/>
      <c r="T29" s="41"/>
      <c r="U29" s="39"/>
      <c r="V29" s="41"/>
      <c r="W29" s="43" t="s">
        <v>711</v>
      </c>
      <c r="X29" s="33"/>
      <c r="Y29" s="27"/>
      <c r="Z29" s="29"/>
      <c r="AB29" s="73" t="str">
        <f t="shared" si="0"/>
        <v>タイヤRRサイズ－</v>
      </c>
      <c r="AC29" s="74" t="e">
        <f>VLOOKUP($AB29,変換表貼り付け用シート!$A$3:$AN$1133,3,FALSE)</f>
        <v>#N/A</v>
      </c>
      <c r="AD29" s="74" t="e">
        <f t="shared" si="1"/>
        <v>#N/A</v>
      </c>
      <c r="AE29" s="79" t="e">
        <f>IF(VLOOKUP($AB29,変換表貼り付け用シート!$A$3:$AN$3000,12,FALSE)="","",(VLOOKUP($AB29,変換表貼り付け用シート!$A$3:$AN$3000,12,FALSE)))</f>
        <v>#N/A</v>
      </c>
      <c r="AF29" s="80" t="e">
        <f>IF(VLOOKUP($AB29,変換表貼り付け用シート!$A$3:$AN$3000,13,FALSE)="","",(VLOOKUP($AB29,変換表貼り付け用シート!$A$3:$AN$3000,13,FALSE)))</f>
        <v>#N/A</v>
      </c>
      <c r="AG29" s="80" t="e">
        <f>IF(VLOOKUP($AB29,変換表貼り付け用シート!$A$3:$AN$3000,14,FALSE)="","",(VLOOKUP($AB29,変換表貼り付け用シート!$A$3:$AN$3000,14,FALSE)))</f>
        <v>#N/A</v>
      </c>
      <c r="AH29" s="85" t="e">
        <f>IF(VLOOKUP($AB29,変換表貼り付け用シート!$A$3:$AN$3000,15,FALSE)="","",(VLOOKUP($AB29,変換表貼り付け用シート!$A$3:$AN$3000,15,FALSE)))</f>
        <v>#N/A</v>
      </c>
      <c r="AI29" s="79" t="e">
        <f>IF(VLOOKUP($AB29,変換表貼り付け用シート!$A$3:$AN$3000,16,FALSE)="","",(VLOOKUP($AB29,変換表貼り付け用シート!$A$3:$AN$3000,16,FALSE)))</f>
        <v>#N/A</v>
      </c>
      <c r="AJ29" s="81" t="e">
        <f>IF(VLOOKUP($AB29,変換表貼り付け用シート!$A$3:$AN$3000,17,FALSE)="","",(VLOOKUP($AB29,変換表貼り付け用シート!$A$3:$AN$3000,17,FALSE)))</f>
        <v>#N/A</v>
      </c>
      <c r="AK29" s="88" t="e">
        <f>IF(VLOOKUP($AB29,変換表貼り付け用シート!$A$3:$AN$3000,18,FALSE)="","",(VLOOKUP($AB29,変換表貼り付け用シート!$A$3:$AN$3000,18,FALSE)))</f>
        <v>#N/A</v>
      </c>
      <c r="AL29" s="81" t="e">
        <f>IF(VLOOKUP($AB29,変換表貼り付け用シート!$A$3:$AN$3000,19,FALSE)="","",(VLOOKUP($AB29,変換表貼り付け用シート!$A$3:$AN$3000,19,FALSE)))</f>
        <v>#N/A</v>
      </c>
      <c r="AM29" s="75" t="e">
        <f>IF(VLOOKUP($AB29,変換表貼り付け用シート!$A$3:$AN$3000,20,FALSE)="","",(VLOOKUP($AB29,変換表貼り付け用シート!$A$3:$AN$3000,20,FALSE)))</f>
        <v>#N/A</v>
      </c>
    </row>
    <row r="30" spans="2:39" ht="21" customHeight="1" x14ac:dyDescent="0.35">
      <c r="B30" s="39"/>
      <c r="C30" s="117" t="s">
        <v>734</v>
      </c>
      <c r="D30" s="96" t="s">
        <v>228</v>
      </c>
      <c r="E30" s="27" t="s">
        <v>44</v>
      </c>
      <c r="F30" s="37" t="s">
        <v>45</v>
      </c>
      <c r="G30" s="33" t="s">
        <v>206</v>
      </c>
      <c r="H30" s="27" t="s">
        <v>207</v>
      </c>
      <c r="I30" s="27" t="s">
        <v>206</v>
      </c>
      <c r="J30" s="37" t="s">
        <v>207</v>
      </c>
      <c r="K30" s="39" t="s">
        <v>68</v>
      </c>
      <c r="L30" s="28" t="s">
        <v>80</v>
      </c>
      <c r="M30" s="28" t="s">
        <v>48</v>
      </c>
      <c r="N30" s="41" t="s">
        <v>72</v>
      </c>
      <c r="O30" s="39">
        <v>0.27100000000000002</v>
      </c>
      <c r="P30" s="28"/>
      <c r="Q30" s="28"/>
      <c r="R30" s="41"/>
      <c r="S30" s="39"/>
      <c r="T30" s="41"/>
      <c r="U30" s="39"/>
      <c r="V30" s="41"/>
      <c r="W30" s="43" t="s">
        <v>711</v>
      </c>
      <c r="X30" s="33"/>
      <c r="Y30" s="27"/>
      <c r="Z30" s="29"/>
      <c r="AB30" s="73" t="str">
        <f t="shared" si="0"/>
        <v>タイヤRR動半径－</v>
      </c>
      <c r="AC30" s="74" t="e">
        <f>VLOOKUP($AB30,変換表貼り付け用シート!$A$3:$AN$1133,3,FALSE)</f>
        <v>#N/A</v>
      </c>
      <c r="AD30" s="74" t="e">
        <f t="shared" si="1"/>
        <v>#N/A</v>
      </c>
      <c r="AE30" s="79" t="e">
        <f>IF(VLOOKUP($AB30,変換表貼り付け用シート!$A$3:$AN$3000,12,FALSE)="","",(VLOOKUP($AB30,変換表貼り付け用シート!$A$3:$AN$3000,12,FALSE)))</f>
        <v>#N/A</v>
      </c>
      <c r="AF30" s="80" t="e">
        <f>IF(VLOOKUP($AB30,変換表貼り付け用シート!$A$3:$AN$3000,13,FALSE)="","",(VLOOKUP($AB30,変換表貼り付け用シート!$A$3:$AN$3000,13,FALSE)))</f>
        <v>#N/A</v>
      </c>
      <c r="AG30" s="80" t="e">
        <f>IF(VLOOKUP($AB30,変換表貼り付け用シート!$A$3:$AN$3000,14,FALSE)="","",(VLOOKUP($AB30,変換表貼り付け用シート!$A$3:$AN$3000,14,FALSE)))</f>
        <v>#N/A</v>
      </c>
      <c r="AH30" s="85" t="e">
        <f>IF(VLOOKUP($AB30,変換表貼り付け用シート!$A$3:$AN$3000,15,FALSE)="","",(VLOOKUP($AB30,変換表貼り付け用シート!$A$3:$AN$3000,15,FALSE)))</f>
        <v>#N/A</v>
      </c>
      <c r="AI30" s="79" t="e">
        <f>IF(VLOOKUP($AB30,変換表貼り付け用シート!$A$3:$AN$3000,16,FALSE)="","",(VLOOKUP($AB30,変換表貼り付け用シート!$A$3:$AN$3000,16,FALSE)))</f>
        <v>#N/A</v>
      </c>
      <c r="AJ30" s="81" t="e">
        <f>IF(VLOOKUP($AB30,変換表貼り付け用シート!$A$3:$AN$3000,17,FALSE)="","",(VLOOKUP($AB30,変換表貼り付け用シート!$A$3:$AN$3000,17,FALSE)))</f>
        <v>#N/A</v>
      </c>
      <c r="AK30" s="88" t="e">
        <f>IF(VLOOKUP($AB30,変換表貼り付け用シート!$A$3:$AN$3000,18,FALSE)="","",(VLOOKUP($AB30,変換表貼り付け用シート!$A$3:$AN$3000,18,FALSE)))</f>
        <v>#N/A</v>
      </c>
      <c r="AL30" s="81" t="e">
        <f>IF(VLOOKUP($AB30,変換表貼り付け用シート!$A$3:$AN$3000,19,FALSE)="","",(VLOOKUP($AB30,変換表貼り付け用シート!$A$3:$AN$3000,19,FALSE)))</f>
        <v>#N/A</v>
      </c>
      <c r="AM30" s="75" t="e">
        <f>IF(VLOOKUP($AB30,変換表貼り付け用シート!$A$3:$AN$3000,20,FALSE)="","",(VLOOKUP($AB30,変換表貼り付け用シート!$A$3:$AN$3000,20,FALSE)))</f>
        <v>#N/A</v>
      </c>
    </row>
    <row r="31" spans="2:39" ht="21" customHeight="1" x14ac:dyDescent="0.35">
      <c r="B31" s="39"/>
      <c r="C31" s="117" t="s">
        <v>735</v>
      </c>
      <c r="D31" s="96" t="s">
        <v>229</v>
      </c>
      <c r="E31" s="27" t="s">
        <v>44</v>
      </c>
      <c r="F31" s="37" t="s">
        <v>45</v>
      </c>
      <c r="G31" s="33" t="s">
        <v>206</v>
      </c>
      <c r="H31" s="27" t="s">
        <v>207</v>
      </c>
      <c r="I31" s="27" t="s">
        <v>206</v>
      </c>
      <c r="J31" s="37" t="s">
        <v>207</v>
      </c>
      <c r="K31" s="39" t="s">
        <v>68</v>
      </c>
      <c r="L31" s="28" t="s">
        <v>81</v>
      </c>
      <c r="M31" s="28" t="s">
        <v>48</v>
      </c>
      <c r="N31" s="41" t="s">
        <v>48</v>
      </c>
      <c r="O31" s="39" t="s">
        <v>57</v>
      </c>
      <c r="P31" s="28"/>
      <c r="Q31" s="28"/>
      <c r="R31" s="41"/>
      <c r="S31" s="39"/>
      <c r="T31" s="41"/>
      <c r="U31" s="39"/>
      <c r="V31" s="41"/>
      <c r="W31" s="43" t="s">
        <v>711</v>
      </c>
      <c r="X31" s="33"/>
      <c r="Y31" s="27"/>
      <c r="Z31" s="29"/>
      <c r="AB31" s="73" t="str">
        <f t="shared" si="0"/>
        <v>タイヤRR RRC (ISO 28560 80kmh,210kPa)－</v>
      </c>
      <c r="AC31" s="74" t="e">
        <f>VLOOKUP($AB31,変換表貼り付け用シート!$A$3:$AN$1133,3,FALSE)</f>
        <v>#N/A</v>
      </c>
      <c r="AD31" s="74" t="e">
        <f t="shared" si="1"/>
        <v>#N/A</v>
      </c>
      <c r="AE31" s="79" t="e">
        <f>IF(VLOOKUP($AB31,変換表貼り付け用シート!$A$3:$AN$3000,12,FALSE)="","",(VLOOKUP($AB31,変換表貼り付け用シート!$A$3:$AN$3000,12,FALSE)))</f>
        <v>#N/A</v>
      </c>
      <c r="AF31" s="80" t="e">
        <f>IF(VLOOKUP($AB31,変換表貼り付け用シート!$A$3:$AN$3000,13,FALSE)="","",(VLOOKUP($AB31,変換表貼り付け用シート!$A$3:$AN$3000,13,FALSE)))</f>
        <v>#N/A</v>
      </c>
      <c r="AG31" s="80" t="e">
        <f>IF(VLOOKUP($AB31,変換表貼り付け用シート!$A$3:$AN$3000,14,FALSE)="","",(VLOOKUP($AB31,変換表貼り付け用シート!$A$3:$AN$3000,14,FALSE)))</f>
        <v>#N/A</v>
      </c>
      <c r="AH31" s="85" t="e">
        <f>IF(VLOOKUP($AB31,変換表貼り付け用シート!$A$3:$AN$3000,15,FALSE)="","",(VLOOKUP($AB31,変換表貼り付け用シート!$A$3:$AN$3000,15,FALSE)))</f>
        <v>#N/A</v>
      </c>
      <c r="AI31" s="79" t="e">
        <f>IF(VLOOKUP($AB31,変換表貼り付け用シート!$A$3:$AN$3000,16,FALSE)="","",(VLOOKUP($AB31,変換表貼り付け用シート!$A$3:$AN$3000,16,FALSE)))</f>
        <v>#N/A</v>
      </c>
      <c r="AJ31" s="81" t="e">
        <f>IF(VLOOKUP($AB31,変換表貼り付け用シート!$A$3:$AN$3000,17,FALSE)="","",(VLOOKUP($AB31,変換表貼り付け用シート!$A$3:$AN$3000,17,FALSE)))</f>
        <v>#N/A</v>
      </c>
      <c r="AK31" s="88" t="e">
        <f>IF(VLOOKUP($AB31,変換表貼り付け用シート!$A$3:$AN$3000,18,FALSE)="","",(VLOOKUP($AB31,変換表貼り付け用シート!$A$3:$AN$3000,18,FALSE)))</f>
        <v>#N/A</v>
      </c>
      <c r="AL31" s="81" t="e">
        <f>IF(VLOOKUP($AB31,変換表貼り付け用シート!$A$3:$AN$3000,19,FALSE)="","",(VLOOKUP($AB31,変換表貼り付け用シート!$A$3:$AN$3000,19,FALSE)))</f>
        <v>#N/A</v>
      </c>
      <c r="AM31" s="75" t="e">
        <f>IF(VLOOKUP($AB31,変換表貼り付け用シート!$A$3:$AN$3000,20,FALSE)="","",(VLOOKUP($AB31,変換表貼り付け用シート!$A$3:$AN$3000,20,FALSE)))</f>
        <v>#N/A</v>
      </c>
    </row>
    <row r="32" spans="2:39" ht="21" customHeight="1" x14ac:dyDescent="0.35">
      <c r="B32" s="39"/>
      <c r="C32" s="117" t="s">
        <v>736</v>
      </c>
      <c r="D32" s="96" t="s">
        <v>230</v>
      </c>
      <c r="E32" s="27" t="s">
        <v>44</v>
      </c>
      <c r="F32" s="37" t="s">
        <v>45</v>
      </c>
      <c r="G32" s="33" t="s">
        <v>206</v>
      </c>
      <c r="H32" s="27" t="s">
        <v>207</v>
      </c>
      <c r="I32" s="27" t="s">
        <v>206</v>
      </c>
      <c r="J32" s="37" t="s">
        <v>207</v>
      </c>
      <c r="K32" s="39" t="s">
        <v>68</v>
      </c>
      <c r="L32" s="28" t="s">
        <v>82</v>
      </c>
      <c r="M32" s="28" t="s">
        <v>48</v>
      </c>
      <c r="N32" s="41" t="s">
        <v>48</v>
      </c>
      <c r="O32" s="39">
        <v>68</v>
      </c>
      <c r="P32" s="28"/>
      <c r="Q32" s="28"/>
      <c r="R32" s="41"/>
      <c r="S32" s="39"/>
      <c r="T32" s="41"/>
      <c r="U32" s="39"/>
      <c r="V32" s="41"/>
      <c r="W32" s="43" t="s">
        <v>711</v>
      </c>
      <c r="X32" s="33"/>
      <c r="Y32" s="27"/>
      <c r="Z32" s="29"/>
      <c r="AB32" s="73" t="str">
        <f t="shared" si="0"/>
        <v>タイヤRR RRC (車両状態)－</v>
      </c>
      <c r="AC32" s="74" t="e">
        <f>VLOOKUP($AB32,変換表貼り付け用シート!$A$3:$AN$1133,3,FALSE)</f>
        <v>#N/A</v>
      </c>
      <c r="AD32" s="74" t="e">
        <f t="shared" si="1"/>
        <v>#N/A</v>
      </c>
      <c r="AE32" s="79" t="e">
        <f>IF(VLOOKUP($AB32,変換表貼り付け用シート!$A$3:$AN$3000,12,FALSE)="","",(VLOOKUP($AB32,変換表貼り付け用シート!$A$3:$AN$3000,12,FALSE)))</f>
        <v>#N/A</v>
      </c>
      <c r="AF32" s="80" t="e">
        <f>IF(VLOOKUP($AB32,変換表貼り付け用シート!$A$3:$AN$3000,13,FALSE)="","",(VLOOKUP($AB32,変換表貼り付け用シート!$A$3:$AN$3000,13,FALSE)))</f>
        <v>#N/A</v>
      </c>
      <c r="AG32" s="80" t="e">
        <f>IF(VLOOKUP($AB32,変換表貼り付け用シート!$A$3:$AN$3000,14,FALSE)="","",(VLOOKUP($AB32,変換表貼り付け用シート!$A$3:$AN$3000,14,FALSE)))</f>
        <v>#N/A</v>
      </c>
      <c r="AH32" s="85" t="e">
        <f>IF(VLOOKUP($AB32,変換表貼り付け用シート!$A$3:$AN$3000,15,FALSE)="","",(VLOOKUP($AB32,変換表貼り付け用シート!$A$3:$AN$3000,15,FALSE)))</f>
        <v>#N/A</v>
      </c>
      <c r="AI32" s="79" t="e">
        <f>IF(VLOOKUP($AB32,変換表貼り付け用シート!$A$3:$AN$3000,16,FALSE)="","",(VLOOKUP($AB32,変換表貼り付け用シート!$A$3:$AN$3000,16,FALSE)))</f>
        <v>#N/A</v>
      </c>
      <c r="AJ32" s="81" t="e">
        <f>IF(VLOOKUP($AB32,変換表貼り付け用シート!$A$3:$AN$3000,17,FALSE)="","",(VLOOKUP($AB32,変換表貼り付け用シート!$A$3:$AN$3000,17,FALSE)))</f>
        <v>#N/A</v>
      </c>
      <c r="AK32" s="88" t="e">
        <f>IF(VLOOKUP($AB32,変換表貼り付け用シート!$A$3:$AN$3000,18,FALSE)="","",(VLOOKUP($AB32,変換表貼り付け用シート!$A$3:$AN$3000,18,FALSE)))</f>
        <v>#N/A</v>
      </c>
      <c r="AL32" s="81" t="e">
        <f>IF(VLOOKUP($AB32,変換表貼り付け用シート!$A$3:$AN$3000,19,FALSE)="","",(VLOOKUP($AB32,変換表貼り付け用シート!$A$3:$AN$3000,19,FALSE)))</f>
        <v>#N/A</v>
      </c>
      <c r="AM32" s="75" t="e">
        <f>IF(VLOOKUP($AB32,変換表貼り付け用シート!$A$3:$AN$3000,20,FALSE)="","",(VLOOKUP($AB32,変換表貼り付け用シート!$A$3:$AN$3000,20,FALSE)))</f>
        <v>#N/A</v>
      </c>
    </row>
    <row r="33" spans="2:39" ht="21" customHeight="1" x14ac:dyDescent="0.35">
      <c r="B33" s="39"/>
      <c r="C33" s="117" t="s">
        <v>737</v>
      </c>
      <c r="D33" s="96" t="s">
        <v>231</v>
      </c>
      <c r="E33" s="27" t="s">
        <v>44</v>
      </c>
      <c r="F33" s="37" t="s">
        <v>45</v>
      </c>
      <c r="G33" s="33" t="s">
        <v>206</v>
      </c>
      <c r="H33" s="27" t="s">
        <v>207</v>
      </c>
      <c r="I33" s="27" t="s">
        <v>206</v>
      </c>
      <c r="J33" s="37" t="s">
        <v>207</v>
      </c>
      <c r="K33" s="39" t="s">
        <v>68</v>
      </c>
      <c r="L33" s="28" t="s">
        <v>83</v>
      </c>
      <c r="M33" s="28" t="s">
        <v>48</v>
      </c>
      <c r="N33" s="41" t="s">
        <v>76</v>
      </c>
      <c r="O33" s="39">
        <v>240</v>
      </c>
      <c r="P33" s="28"/>
      <c r="Q33" s="28"/>
      <c r="R33" s="41"/>
      <c r="S33" s="39"/>
      <c r="T33" s="41"/>
      <c r="U33" s="39"/>
      <c r="V33" s="41"/>
      <c r="W33" s="43" t="s">
        <v>711</v>
      </c>
      <c r="X33" s="33"/>
      <c r="Y33" s="27"/>
      <c r="Z33" s="29"/>
      <c r="AB33" s="73" t="str">
        <f t="shared" si="0"/>
        <v>タイヤRR RRC (車両状態)空気圧－</v>
      </c>
      <c r="AC33" s="74" t="e">
        <f>VLOOKUP($AB33,変換表貼り付け用シート!$A$3:$AN$1133,3,FALSE)</f>
        <v>#N/A</v>
      </c>
      <c r="AD33" s="74" t="e">
        <f t="shared" si="1"/>
        <v>#N/A</v>
      </c>
      <c r="AE33" s="79" t="e">
        <f>IF(VLOOKUP($AB33,変換表貼り付け用シート!$A$3:$AN$3000,12,FALSE)="","",(VLOOKUP($AB33,変換表貼り付け用シート!$A$3:$AN$3000,12,FALSE)))</f>
        <v>#N/A</v>
      </c>
      <c r="AF33" s="80" t="e">
        <f>IF(VLOOKUP($AB33,変換表貼り付け用シート!$A$3:$AN$3000,13,FALSE)="","",(VLOOKUP($AB33,変換表貼り付け用シート!$A$3:$AN$3000,13,FALSE)))</f>
        <v>#N/A</v>
      </c>
      <c r="AG33" s="80" t="e">
        <f>IF(VLOOKUP($AB33,変換表貼り付け用シート!$A$3:$AN$3000,14,FALSE)="","",(VLOOKUP($AB33,変換表貼り付け用シート!$A$3:$AN$3000,14,FALSE)))</f>
        <v>#N/A</v>
      </c>
      <c r="AH33" s="85" t="e">
        <f>IF(VLOOKUP($AB33,変換表貼り付け用シート!$A$3:$AN$3000,15,FALSE)="","",(VLOOKUP($AB33,変換表貼り付け用シート!$A$3:$AN$3000,15,FALSE)))</f>
        <v>#N/A</v>
      </c>
      <c r="AI33" s="79" t="e">
        <f>IF(VLOOKUP($AB33,変換表貼り付け用シート!$A$3:$AN$3000,16,FALSE)="","",(VLOOKUP($AB33,変換表貼り付け用シート!$A$3:$AN$3000,16,FALSE)))</f>
        <v>#N/A</v>
      </c>
      <c r="AJ33" s="81" t="e">
        <f>IF(VLOOKUP($AB33,変換表貼り付け用シート!$A$3:$AN$3000,17,FALSE)="","",(VLOOKUP($AB33,変換表貼り付け用シート!$A$3:$AN$3000,17,FALSE)))</f>
        <v>#N/A</v>
      </c>
      <c r="AK33" s="88" t="e">
        <f>IF(VLOOKUP($AB33,変換表貼り付け用シート!$A$3:$AN$3000,18,FALSE)="","",(VLOOKUP($AB33,変換表貼り付け用シート!$A$3:$AN$3000,18,FALSE)))</f>
        <v>#N/A</v>
      </c>
      <c r="AL33" s="81" t="e">
        <f>IF(VLOOKUP($AB33,変換表貼り付け用シート!$A$3:$AN$3000,19,FALSE)="","",(VLOOKUP($AB33,変換表貼り付け用シート!$A$3:$AN$3000,19,FALSE)))</f>
        <v>#N/A</v>
      </c>
      <c r="AM33" s="75" t="e">
        <f>IF(VLOOKUP($AB33,変換表貼り付け用シート!$A$3:$AN$3000,20,FALSE)="","",(VLOOKUP($AB33,変換表貼り付け用シート!$A$3:$AN$3000,20,FALSE)))</f>
        <v>#N/A</v>
      </c>
    </row>
    <row r="34" spans="2:39" ht="21" customHeight="1" x14ac:dyDescent="0.35">
      <c r="B34" s="39"/>
      <c r="C34" s="117" t="s">
        <v>738</v>
      </c>
      <c r="D34" s="96" t="s">
        <v>232</v>
      </c>
      <c r="E34" s="27" t="s">
        <v>44</v>
      </c>
      <c r="F34" s="37" t="s">
        <v>45</v>
      </c>
      <c r="G34" s="33" t="s">
        <v>206</v>
      </c>
      <c r="H34" s="27" t="s">
        <v>207</v>
      </c>
      <c r="I34" s="27" t="s">
        <v>206</v>
      </c>
      <c r="J34" s="37" t="s">
        <v>207</v>
      </c>
      <c r="K34" s="39" t="s">
        <v>68</v>
      </c>
      <c r="L34" s="28" t="s">
        <v>84</v>
      </c>
      <c r="M34" s="28" t="s">
        <v>48</v>
      </c>
      <c r="N34" s="41" t="s">
        <v>78</v>
      </c>
      <c r="O34" s="39">
        <v>0.49</v>
      </c>
      <c r="P34" s="28"/>
      <c r="Q34" s="28"/>
      <c r="R34" s="41"/>
      <c r="S34" s="39"/>
      <c r="T34" s="41"/>
      <c r="U34" s="39"/>
      <c r="V34" s="41"/>
      <c r="W34" s="43" t="s">
        <v>711</v>
      </c>
      <c r="X34" s="33"/>
      <c r="Y34" s="27"/>
      <c r="Z34" s="29"/>
      <c r="AB34" s="73" t="str">
        <f t="shared" si="0"/>
        <v>タイヤRR イナーシャ(1本) －</v>
      </c>
      <c r="AC34" s="74" t="e">
        <f>VLOOKUP($AB34,変換表貼り付け用シート!$A$3:$AN$1133,3,FALSE)</f>
        <v>#N/A</v>
      </c>
      <c r="AD34" s="74" t="e">
        <f t="shared" si="1"/>
        <v>#N/A</v>
      </c>
      <c r="AE34" s="79" t="e">
        <f>IF(VLOOKUP($AB34,変換表貼り付け用シート!$A$3:$AN$3000,12,FALSE)="","",(VLOOKUP($AB34,変換表貼り付け用シート!$A$3:$AN$3000,12,FALSE)))</f>
        <v>#N/A</v>
      </c>
      <c r="AF34" s="80" t="e">
        <f>IF(VLOOKUP($AB34,変換表貼り付け用シート!$A$3:$AN$3000,13,FALSE)="","",(VLOOKUP($AB34,変換表貼り付け用シート!$A$3:$AN$3000,13,FALSE)))</f>
        <v>#N/A</v>
      </c>
      <c r="AG34" s="80" t="e">
        <f>IF(VLOOKUP($AB34,変換表貼り付け用シート!$A$3:$AN$3000,14,FALSE)="","",(VLOOKUP($AB34,変換表貼り付け用シート!$A$3:$AN$3000,14,FALSE)))</f>
        <v>#N/A</v>
      </c>
      <c r="AH34" s="85" t="e">
        <f>IF(VLOOKUP($AB34,変換表貼り付け用シート!$A$3:$AN$3000,15,FALSE)="","",(VLOOKUP($AB34,変換表貼り付け用シート!$A$3:$AN$3000,15,FALSE)))</f>
        <v>#N/A</v>
      </c>
      <c r="AI34" s="79" t="e">
        <f>IF(VLOOKUP($AB34,変換表貼り付け用シート!$A$3:$AN$3000,16,FALSE)="","",(VLOOKUP($AB34,変換表貼り付け用シート!$A$3:$AN$3000,16,FALSE)))</f>
        <v>#N/A</v>
      </c>
      <c r="AJ34" s="81" t="e">
        <f>IF(VLOOKUP($AB34,変換表貼り付け用シート!$A$3:$AN$3000,17,FALSE)="","",(VLOOKUP($AB34,変換表貼り付け用シート!$A$3:$AN$3000,17,FALSE)))</f>
        <v>#N/A</v>
      </c>
      <c r="AK34" s="88" t="e">
        <f>IF(VLOOKUP($AB34,変換表貼り付け用シート!$A$3:$AN$3000,18,FALSE)="","",(VLOOKUP($AB34,変換表貼り付け用シート!$A$3:$AN$3000,18,FALSE)))</f>
        <v>#N/A</v>
      </c>
      <c r="AL34" s="81" t="e">
        <f>IF(VLOOKUP($AB34,変換表貼り付け用シート!$A$3:$AN$3000,19,FALSE)="","",(VLOOKUP($AB34,変換表貼り付け用シート!$A$3:$AN$3000,19,FALSE)))</f>
        <v>#N/A</v>
      </c>
      <c r="AM34" s="75" t="e">
        <f>IF(VLOOKUP($AB34,変換表貼り付け用シート!$A$3:$AN$3000,20,FALSE)="","",(VLOOKUP($AB34,変換表貼り付け用シート!$A$3:$AN$3000,20,FALSE)))</f>
        <v>#N/A</v>
      </c>
    </row>
    <row r="35" spans="2:39" ht="21" customHeight="1" x14ac:dyDescent="0.35">
      <c r="B35" s="39"/>
      <c r="C35" s="117" t="s">
        <v>739</v>
      </c>
      <c r="D35" s="96" t="s">
        <v>233</v>
      </c>
      <c r="E35" s="27" t="s">
        <v>44</v>
      </c>
      <c r="F35" s="37" t="s">
        <v>45</v>
      </c>
      <c r="G35" s="33" t="s">
        <v>206</v>
      </c>
      <c r="H35" s="27" t="s">
        <v>207</v>
      </c>
      <c r="I35" s="27" t="s">
        <v>206</v>
      </c>
      <c r="J35" s="37" t="s">
        <v>207</v>
      </c>
      <c r="K35" s="39" t="s">
        <v>85</v>
      </c>
      <c r="L35" s="28" t="s">
        <v>86</v>
      </c>
      <c r="M35" s="28" t="s">
        <v>48</v>
      </c>
      <c r="N35" s="41" t="s">
        <v>48</v>
      </c>
      <c r="O35" s="39" t="s">
        <v>57</v>
      </c>
      <c r="P35" s="28"/>
      <c r="Q35" s="28"/>
      <c r="R35" s="41"/>
      <c r="S35" s="39"/>
      <c r="T35" s="41"/>
      <c r="U35" s="39"/>
      <c r="V35" s="41"/>
      <c r="W35" s="43" t="s">
        <v>711</v>
      </c>
      <c r="X35" s="33"/>
      <c r="Y35" s="27"/>
      <c r="Z35" s="29"/>
      <c r="AB35" s="73" t="str">
        <f t="shared" si="0"/>
        <v>ホイール仕様－</v>
      </c>
      <c r="AC35" s="74" t="e">
        <f>VLOOKUP($AB35,変換表貼り付け用シート!$A$3:$AN$1133,3,FALSE)</f>
        <v>#N/A</v>
      </c>
      <c r="AD35" s="74" t="e">
        <f t="shared" si="1"/>
        <v>#N/A</v>
      </c>
      <c r="AE35" s="79" t="e">
        <f>IF(VLOOKUP($AB35,変換表貼り付け用シート!$A$3:$AN$3000,12,FALSE)="","",(VLOOKUP($AB35,変換表貼り付け用シート!$A$3:$AN$3000,12,FALSE)))</f>
        <v>#N/A</v>
      </c>
      <c r="AF35" s="80" t="e">
        <f>IF(VLOOKUP($AB35,変換表貼り付け用シート!$A$3:$AN$3000,13,FALSE)="","",(VLOOKUP($AB35,変換表貼り付け用シート!$A$3:$AN$3000,13,FALSE)))</f>
        <v>#N/A</v>
      </c>
      <c r="AG35" s="80" t="e">
        <f>IF(VLOOKUP($AB35,変換表貼り付け用シート!$A$3:$AN$3000,14,FALSE)="","",(VLOOKUP($AB35,変換表貼り付け用シート!$A$3:$AN$3000,14,FALSE)))</f>
        <v>#N/A</v>
      </c>
      <c r="AH35" s="85" t="e">
        <f>IF(VLOOKUP($AB35,変換表貼り付け用シート!$A$3:$AN$3000,15,FALSE)="","",(VLOOKUP($AB35,変換表貼り付け用シート!$A$3:$AN$3000,15,FALSE)))</f>
        <v>#N/A</v>
      </c>
      <c r="AI35" s="79" t="e">
        <f>IF(VLOOKUP($AB35,変換表貼り付け用シート!$A$3:$AN$3000,16,FALSE)="","",(VLOOKUP($AB35,変換表貼り付け用シート!$A$3:$AN$3000,16,FALSE)))</f>
        <v>#N/A</v>
      </c>
      <c r="AJ35" s="81" t="e">
        <f>IF(VLOOKUP($AB35,変換表貼り付け用シート!$A$3:$AN$3000,17,FALSE)="","",(VLOOKUP($AB35,変換表貼り付け用シート!$A$3:$AN$3000,17,FALSE)))</f>
        <v>#N/A</v>
      </c>
      <c r="AK35" s="88" t="e">
        <f>IF(VLOOKUP($AB35,変換表貼り付け用シート!$A$3:$AN$3000,18,FALSE)="","",(VLOOKUP($AB35,変換表貼り付け用シート!$A$3:$AN$3000,18,FALSE)))</f>
        <v>#N/A</v>
      </c>
      <c r="AL35" s="81" t="e">
        <f>IF(VLOOKUP($AB35,変換表貼り付け用シート!$A$3:$AN$3000,19,FALSE)="","",(VLOOKUP($AB35,変換表貼り付け用シート!$A$3:$AN$3000,19,FALSE)))</f>
        <v>#N/A</v>
      </c>
      <c r="AM35" s="75" t="e">
        <f>IF(VLOOKUP($AB35,変換表貼り付け用シート!$A$3:$AN$3000,20,FALSE)="","",(VLOOKUP($AB35,変換表貼り付け用シート!$A$3:$AN$3000,20,FALSE)))</f>
        <v>#N/A</v>
      </c>
    </row>
    <row r="36" spans="2:39" ht="21" customHeight="1" x14ac:dyDescent="0.35">
      <c r="B36" s="39"/>
      <c r="C36" s="117" t="s">
        <v>740</v>
      </c>
      <c r="D36" s="96" t="s">
        <v>234</v>
      </c>
      <c r="E36" s="27" t="s">
        <v>44</v>
      </c>
      <c r="F36" s="37" t="s">
        <v>45</v>
      </c>
      <c r="G36" s="33" t="s">
        <v>206</v>
      </c>
      <c r="H36" s="27" t="s">
        <v>207</v>
      </c>
      <c r="I36" s="27" t="s">
        <v>206</v>
      </c>
      <c r="J36" s="37" t="s">
        <v>207</v>
      </c>
      <c r="K36" s="39" t="s">
        <v>85</v>
      </c>
      <c r="L36" s="28" t="s">
        <v>87</v>
      </c>
      <c r="M36" s="28" t="s">
        <v>48</v>
      </c>
      <c r="N36" s="41" t="s">
        <v>78</v>
      </c>
      <c r="O36" s="39" t="s">
        <v>53</v>
      </c>
      <c r="P36" s="28"/>
      <c r="Q36" s="28"/>
      <c r="R36" s="41"/>
      <c r="S36" s="39"/>
      <c r="T36" s="41"/>
      <c r="U36" s="39"/>
      <c r="V36" s="41"/>
      <c r="W36" s="43" t="s">
        <v>711</v>
      </c>
      <c r="X36" s="33"/>
      <c r="Y36" s="27"/>
      <c r="Z36" s="29"/>
      <c r="AB36" s="73" t="str">
        <f t="shared" si="0"/>
        <v>ホイールイナーシャ(1本)－</v>
      </c>
      <c r="AC36" s="74" t="e">
        <f>VLOOKUP($AB36,変換表貼り付け用シート!$A$3:$AN$1133,3,FALSE)</f>
        <v>#N/A</v>
      </c>
      <c r="AD36" s="74" t="e">
        <f t="shared" si="1"/>
        <v>#N/A</v>
      </c>
      <c r="AE36" s="79" t="e">
        <f>IF(VLOOKUP($AB36,変換表貼り付け用シート!$A$3:$AN$3000,12,FALSE)="","",(VLOOKUP($AB36,変換表貼り付け用シート!$A$3:$AN$3000,12,FALSE)))</f>
        <v>#N/A</v>
      </c>
      <c r="AF36" s="80" t="e">
        <f>IF(VLOOKUP($AB36,変換表貼り付け用シート!$A$3:$AN$3000,13,FALSE)="","",(VLOOKUP($AB36,変換表貼り付け用シート!$A$3:$AN$3000,13,FALSE)))</f>
        <v>#N/A</v>
      </c>
      <c r="AG36" s="80" t="e">
        <f>IF(VLOOKUP($AB36,変換表貼り付け用シート!$A$3:$AN$3000,14,FALSE)="","",(VLOOKUP($AB36,変換表貼り付け用シート!$A$3:$AN$3000,14,FALSE)))</f>
        <v>#N/A</v>
      </c>
      <c r="AH36" s="85" t="e">
        <f>IF(VLOOKUP($AB36,変換表貼り付け用シート!$A$3:$AN$3000,15,FALSE)="","",(VLOOKUP($AB36,変換表貼り付け用シート!$A$3:$AN$3000,15,FALSE)))</f>
        <v>#N/A</v>
      </c>
      <c r="AI36" s="79" t="e">
        <f>IF(VLOOKUP($AB36,変換表貼り付け用シート!$A$3:$AN$3000,16,FALSE)="","",(VLOOKUP($AB36,変換表貼り付け用シート!$A$3:$AN$3000,16,FALSE)))</f>
        <v>#N/A</v>
      </c>
      <c r="AJ36" s="81" t="e">
        <f>IF(VLOOKUP($AB36,変換表貼り付け用シート!$A$3:$AN$3000,17,FALSE)="","",(VLOOKUP($AB36,変換表貼り付け用シート!$A$3:$AN$3000,17,FALSE)))</f>
        <v>#N/A</v>
      </c>
      <c r="AK36" s="88" t="e">
        <f>IF(VLOOKUP($AB36,変換表貼り付け用シート!$A$3:$AN$3000,18,FALSE)="","",(VLOOKUP($AB36,変換表貼り付け用シート!$A$3:$AN$3000,18,FALSE)))</f>
        <v>#N/A</v>
      </c>
      <c r="AL36" s="81" t="e">
        <f>IF(VLOOKUP($AB36,変換表貼り付け用シート!$A$3:$AN$3000,19,FALSE)="","",(VLOOKUP($AB36,変換表貼り付け用シート!$A$3:$AN$3000,19,FALSE)))</f>
        <v>#N/A</v>
      </c>
      <c r="AM36" s="75" t="e">
        <f>IF(VLOOKUP($AB36,変換表貼り付け用シート!$A$3:$AN$3000,20,FALSE)="","",(VLOOKUP($AB36,変換表貼り付け用シート!$A$3:$AN$3000,20,FALSE)))</f>
        <v>#N/A</v>
      </c>
    </row>
    <row r="37" spans="2:39" ht="21" customHeight="1" x14ac:dyDescent="0.35">
      <c r="B37" s="39"/>
      <c r="C37" s="117" t="s">
        <v>741</v>
      </c>
      <c r="D37" s="96" t="s">
        <v>235</v>
      </c>
      <c r="E37" s="27" t="s">
        <v>44</v>
      </c>
      <c r="F37" s="37" t="s">
        <v>45</v>
      </c>
      <c r="G37" s="33" t="s">
        <v>206</v>
      </c>
      <c r="H37" s="27" t="s">
        <v>207</v>
      </c>
      <c r="I37" s="27" t="s">
        <v>206</v>
      </c>
      <c r="J37" s="37" t="s">
        <v>207</v>
      </c>
      <c r="K37" s="39" t="s">
        <v>88</v>
      </c>
      <c r="L37" s="28" t="s">
        <v>89</v>
      </c>
      <c r="M37" s="28" t="s">
        <v>48</v>
      </c>
      <c r="N37" s="41" t="s">
        <v>90</v>
      </c>
      <c r="O37" s="39">
        <v>1.75</v>
      </c>
      <c r="P37" s="28"/>
      <c r="Q37" s="28"/>
      <c r="R37" s="41"/>
      <c r="S37" s="39"/>
      <c r="T37" s="41"/>
      <c r="U37" s="39"/>
      <c r="V37" s="41"/>
      <c r="W37" s="43" t="s">
        <v>711</v>
      </c>
      <c r="X37" s="33"/>
      <c r="Y37" s="27"/>
      <c r="Z37" s="29"/>
      <c r="AB37" s="73" t="str">
        <f t="shared" si="0"/>
        <v>HUBTotal引き摺りトルク (@80km/h)－</v>
      </c>
      <c r="AC37" s="74" t="e">
        <f>VLOOKUP($AB37,変換表貼り付け用シート!$A$3:$AN$1133,3,FALSE)</f>
        <v>#N/A</v>
      </c>
      <c r="AD37" s="74" t="e">
        <f t="shared" si="1"/>
        <v>#N/A</v>
      </c>
      <c r="AE37" s="79" t="e">
        <f>IF(VLOOKUP($AB37,変換表貼り付け用シート!$A$3:$AN$3000,12,FALSE)="","",(VLOOKUP($AB37,変換表貼り付け用シート!$A$3:$AN$3000,12,FALSE)))</f>
        <v>#N/A</v>
      </c>
      <c r="AF37" s="80" t="e">
        <f>IF(VLOOKUP($AB37,変換表貼り付け用シート!$A$3:$AN$3000,13,FALSE)="","",(VLOOKUP($AB37,変換表貼り付け用シート!$A$3:$AN$3000,13,FALSE)))</f>
        <v>#N/A</v>
      </c>
      <c r="AG37" s="80" t="e">
        <f>IF(VLOOKUP($AB37,変換表貼り付け用シート!$A$3:$AN$3000,14,FALSE)="","",(VLOOKUP($AB37,変換表貼り付け用シート!$A$3:$AN$3000,14,FALSE)))</f>
        <v>#N/A</v>
      </c>
      <c r="AH37" s="85" t="e">
        <f>IF(VLOOKUP($AB37,変換表貼り付け用シート!$A$3:$AN$3000,15,FALSE)="","",(VLOOKUP($AB37,変換表貼り付け用シート!$A$3:$AN$3000,15,FALSE)))</f>
        <v>#N/A</v>
      </c>
      <c r="AI37" s="79" t="e">
        <f>IF(VLOOKUP($AB37,変換表貼り付け用シート!$A$3:$AN$3000,16,FALSE)="","",(VLOOKUP($AB37,変換表貼り付け用シート!$A$3:$AN$3000,16,FALSE)))</f>
        <v>#N/A</v>
      </c>
      <c r="AJ37" s="81" t="e">
        <f>IF(VLOOKUP($AB37,変換表貼り付け用シート!$A$3:$AN$3000,17,FALSE)="","",(VLOOKUP($AB37,変換表貼り付け用シート!$A$3:$AN$3000,17,FALSE)))</f>
        <v>#N/A</v>
      </c>
      <c r="AK37" s="88" t="e">
        <f>IF(VLOOKUP($AB37,変換表貼り付け用シート!$A$3:$AN$3000,18,FALSE)="","",(VLOOKUP($AB37,変換表貼り付け用シート!$A$3:$AN$3000,18,FALSE)))</f>
        <v>#N/A</v>
      </c>
      <c r="AL37" s="81" t="e">
        <f>IF(VLOOKUP($AB37,変換表貼り付け用シート!$A$3:$AN$3000,19,FALSE)="","",(VLOOKUP($AB37,変換表貼り付け用シート!$A$3:$AN$3000,19,FALSE)))</f>
        <v>#N/A</v>
      </c>
      <c r="AM37" s="75" t="e">
        <f>IF(VLOOKUP($AB37,変換表貼り付け用シート!$A$3:$AN$3000,20,FALSE)="","",(VLOOKUP($AB37,変換表貼り付け用シート!$A$3:$AN$3000,20,FALSE)))</f>
        <v>#N/A</v>
      </c>
    </row>
    <row r="38" spans="2:39" ht="21" customHeight="1" x14ac:dyDescent="0.35">
      <c r="B38" s="39"/>
      <c r="C38" s="117" t="s">
        <v>742</v>
      </c>
      <c r="D38" s="96" t="s">
        <v>236</v>
      </c>
      <c r="E38" s="27" t="s">
        <v>44</v>
      </c>
      <c r="F38" s="37" t="s">
        <v>45</v>
      </c>
      <c r="G38" s="33" t="s">
        <v>206</v>
      </c>
      <c r="H38" s="27" t="s">
        <v>207</v>
      </c>
      <c r="I38" s="27" t="s">
        <v>206</v>
      </c>
      <c r="J38" s="37" t="s">
        <v>207</v>
      </c>
      <c r="K38" s="39" t="s">
        <v>88</v>
      </c>
      <c r="L38" s="28" t="s">
        <v>91</v>
      </c>
      <c r="M38" s="28" t="s">
        <v>48</v>
      </c>
      <c r="N38" s="41" t="s">
        <v>90</v>
      </c>
      <c r="O38" s="39" t="s">
        <v>92</v>
      </c>
      <c r="P38" s="28"/>
      <c r="Q38" s="28"/>
      <c r="R38" s="41"/>
      <c r="S38" s="39"/>
      <c r="T38" s="41"/>
      <c r="U38" s="39"/>
      <c r="V38" s="41"/>
      <c r="W38" s="43" t="s">
        <v>711</v>
      </c>
      <c r="X38" s="33"/>
      <c r="Y38" s="27"/>
      <c r="Z38" s="29"/>
      <c r="AB38" s="73" t="str">
        <f t="shared" si="0"/>
        <v>HUBFR 引き摺りトルク (@80km/h)－</v>
      </c>
      <c r="AC38" s="74" t="e">
        <f>VLOOKUP($AB38,変換表貼り付け用シート!$A$3:$AN$1133,3,FALSE)</f>
        <v>#N/A</v>
      </c>
      <c r="AD38" s="74" t="e">
        <f t="shared" si="1"/>
        <v>#N/A</v>
      </c>
      <c r="AE38" s="79" t="e">
        <f>IF(VLOOKUP($AB38,変換表貼り付け用シート!$A$3:$AN$3000,12,FALSE)="","",(VLOOKUP($AB38,変換表貼り付け用シート!$A$3:$AN$3000,12,FALSE)))</f>
        <v>#N/A</v>
      </c>
      <c r="AF38" s="80" t="e">
        <f>IF(VLOOKUP($AB38,変換表貼り付け用シート!$A$3:$AN$3000,13,FALSE)="","",(VLOOKUP($AB38,変換表貼り付け用シート!$A$3:$AN$3000,13,FALSE)))</f>
        <v>#N/A</v>
      </c>
      <c r="AG38" s="80" t="e">
        <f>IF(VLOOKUP($AB38,変換表貼り付け用シート!$A$3:$AN$3000,14,FALSE)="","",(VLOOKUP($AB38,変換表貼り付け用シート!$A$3:$AN$3000,14,FALSE)))</f>
        <v>#N/A</v>
      </c>
      <c r="AH38" s="85" t="e">
        <f>IF(VLOOKUP($AB38,変換表貼り付け用シート!$A$3:$AN$3000,15,FALSE)="","",(VLOOKUP($AB38,変換表貼り付け用シート!$A$3:$AN$3000,15,FALSE)))</f>
        <v>#N/A</v>
      </c>
      <c r="AI38" s="79" t="e">
        <f>IF(VLOOKUP($AB38,変換表貼り付け用シート!$A$3:$AN$3000,16,FALSE)="","",(VLOOKUP($AB38,変換表貼り付け用シート!$A$3:$AN$3000,16,FALSE)))</f>
        <v>#N/A</v>
      </c>
      <c r="AJ38" s="81" t="e">
        <f>IF(VLOOKUP($AB38,変換表貼り付け用シート!$A$3:$AN$3000,17,FALSE)="","",(VLOOKUP($AB38,変換表貼り付け用シート!$A$3:$AN$3000,17,FALSE)))</f>
        <v>#N/A</v>
      </c>
      <c r="AK38" s="88" t="e">
        <f>IF(VLOOKUP($AB38,変換表貼り付け用シート!$A$3:$AN$3000,18,FALSE)="","",(VLOOKUP($AB38,変換表貼り付け用シート!$A$3:$AN$3000,18,FALSE)))</f>
        <v>#N/A</v>
      </c>
      <c r="AL38" s="81" t="e">
        <f>IF(VLOOKUP($AB38,変換表貼り付け用シート!$A$3:$AN$3000,19,FALSE)="","",(VLOOKUP($AB38,変換表貼り付け用シート!$A$3:$AN$3000,19,FALSE)))</f>
        <v>#N/A</v>
      </c>
      <c r="AM38" s="75" t="e">
        <f>IF(VLOOKUP($AB38,変換表貼り付け用シート!$A$3:$AN$3000,20,FALSE)="","",(VLOOKUP($AB38,変換表貼り付け用シート!$A$3:$AN$3000,20,FALSE)))</f>
        <v>#N/A</v>
      </c>
    </row>
    <row r="39" spans="2:39" ht="21" customHeight="1" x14ac:dyDescent="0.35">
      <c r="B39" s="39"/>
      <c r="C39" s="117" t="s">
        <v>743</v>
      </c>
      <c r="D39" s="96" t="s">
        <v>237</v>
      </c>
      <c r="E39" s="27" t="s">
        <v>44</v>
      </c>
      <c r="F39" s="37" t="s">
        <v>45</v>
      </c>
      <c r="G39" s="33" t="s">
        <v>206</v>
      </c>
      <c r="H39" s="27" t="s">
        <v>207</v>
      </c>
      <c r="I39" s="27" t="s">
        <v>206</v>
      </c>
      <c r="J39" s="37" t="s">
        <v>207</v>
      </c>
      <c r="K39" s="39" t="s">
        <v>88</v>
      </c>
      <c r="L39" s="28" t="s">
        <v>93</v>
      </c>
      <c r="M39" s="28" t="s">
        <v>48</v>
      </c>
      <c r="N39" s="41" t="s">
        <v>90</v>
      </c>
      <c r="O39" s="39" t="s">
        <v>92</v>
      </c>
      <c r="P39" s="28"/>
      <c r="Q39" s="28"/>
      <c r="R39" s="41"/>
      <c r="S39" s="39"/>
      <c r="T39" s="41"/>
      <c r="U39" s="39"/>
      <c r="V39" s="41"/>
      <c r="W39" s="43" t="s">
        <v>711</v>
      </c>
      <c r="X39" s="33"/>
      <c r="Y39" s="27"/>
      <c r="Z39" s="29"/>
      <c r="AB39" s="73" t="str">
        <f t="shared" si="0"/>
        <v>HUBRR 引き摺りトルク (@80km/h)－</v>
      </c>
      <c r="AC39" s="74" t="e">
        <f>VLOOKUP($AB39,変換表貼り付け用シート!$A$3:$AN$1133,3,FALSE)</f>
        <v>#N/A</v>
      </c>
      <c r="AD39" s="74" t="e">
        <f t="shared" si="1"/>
        <v>#N/A</v>
      </c>
      <c r="AE39" s="79" t="e">
        <f>IF(VLOOKUP($AB39,変換表貼り付け用シート!$A$3:$AN$3000,12,FALSE)="","",(VLOOKUP($AB39,変換表貼り付け用シート!$A$3:$AN$3000,12,FALSE)))</f>
        <v>#N/A</v>
      </c>
      <c r="AF39" s="80" t="e">
        <f>IF(VLOOKUP($AB39,変換表貼り付け用シート!$A$3:$AN$3000,13,FALSE)="","",(VLOOKUP($AB39,変換表貼り付け用シート!$A$3:$AN$3000,13,FALSE)))</f>
        <v>#N/A</v>
      </c>
      <c r="AG39" s="80" t="e">
        <f>IF(VLOOKUP($AB39,変換表貼り付け用シート!$A$3:$AN$3000,14,FALSE)="","",(VLOOKUP($AB39,変換表貼り付け用シート!$A$3:$AN$3000,14,FALSE)))</f>
        <v>#N/A</v>
      </c>
      <c r="AH39" s="85" t="e">
        <f>IF(VLOOKUP($AB39,変換表貼り付け用シート!$A$3:$AN$3000,15,FALSE)="","",(VLOOKUP($AB39,変換表貼り付け用シート!$A$3:$AN$3000,15,FALSE)))</f>
        <v>#N/A</v>
      </c>
      <c r="AI39" s="79" t="e">
        <f>IF(VLOOKUP($AB39,変換表貼り付け用シート!$A$3:$AN$3000,16,FALSE)="","",(VLOOKUP($AB39,変換表貼り付け用シート!$A$3:$AN$3000,16,FALSE)))</f>
        <v>#N/A</v>
      </c>
      <c r="AJ39" s="81" t="e">
        <f>IF(VLOOKUP($AB39,変換表貼り付け用シート!$A$3:$AN$3000,17,FALSE)="","",(VLOOKUP($AB39,変換表貼り付け用シート!$A$3:$AN$3000,17,FALSE)))</f>
        <v>#N/A</v>
      </c>
      <c r="AK39" s="88" t="e">
        <f>IF(VLOOKUP($AB39,変換表貼り付け用シート!$A$3:$AN$3000,18,FALSE)="","",(VLOOKUP($AB39,変換表貼り付け用シート!$A$3:$AN$3000,18,FALSE)))</f>
        <v>#N/A</v>
      </c>
      <c r="AL39" s="81" t="e">
        <f>IF(VLOOKUP($AB39,変換表貼り付け用シート!$A$3:$AN$3000,19,FALSE)="","",(VLOOKUP($AB39,変換表貼り付け用シート!$A$3:$AN$3000,19,FALSE)))</f>
        <v>#N/A</v>
      </c>
      <c r="AM39" s="75" t="e">
        <f>IF(VLOOKUP($AB39,変換表貼り付け用シート!$A$3:$AN$3000,20,FALSE)="","",(VLOOKUP($AB39,変換表貼り付け用シート!$A$3:$AN$3000,20,FALSE)))</f>
        <v>#N/A</v>
      </c>
    </row>
    <row r="40" spans="2:39" ht="21" customHeight="1" x14ac:dyDescent="0.35">
      <c r="B40" s="39"/>
      <c r="C40" s="117" t="s">
        <v>744</v>
      </c>
      <c r="D40" s="96" t="s">
        <v>238</v>
      </c>
      <c r="E40" s="27" t="s">
        <v>44</v>
      </c>
      <c r="F40" s="37" t="s">
        <v>45</v>
      </c>
      <c r="G40" s="33" t="s">
        <v>206</v>
      </c>
      <c r="H40" s="27" t="s">
        <v>207</v>
      </c>
      <c r="I40" s="27" t="s">
        <v>206</v>
      </c>
      <c r="J40" s="37" t="s">
        <v>207</v>
      </c>
      <c r="K40" s="39" t="s">
        <v>88</v>
      </c>
      <c r="L40" s="28" t="s">
        <v>94</v>
      </c>
      <c r="M40" s="28" t="s">
        <v>48</v>
      </c>
      <c r="N40" s="41" t="s">
        <v>78</v>
      </c>
      <c r="O40" s="39" t="s">
        <v>57</v>
      </c>
      <c r="P40" s="28"/>
      <c r="Q40" s="28"/>
      <c r="R40" s="41"/>
      <c r="S40" s="39"/>
      <c r="T40" s="41"/>
      <c r="U40" s="39"/>
      <c r="V40" s="41"/>
      <c r="W40" s="43" t="s">
        <v>711</v>
      </c>
      <c r="X40" s="33"/>
      <c r="Y40" s="27"/>
      <c r="Z40" s="29"/>
      <c r="AB40" s="73" t="str">
        <f t="shared" si="0"/>
        <v>HUBFR イナーシャ－</v>
      </c>
      <c r="AC40" s="74" t="e">
        <f>VLOOKUP($AB40,変換表貼り付け用シート!$A$3:$AN$1133,3,FALSE)</f>
        <v>#N/A</v>
      </c>
      <c r="AD40" s="74" t="e">
        <f t="shared" si="1"/>
        <v>#N/A</v>
      </c>
      <c r="AE40" s="79" t="e">
        <f>IF(VLOOKUP($AB40,変換表貼り付け用シート!$A$3:$AN$3000,12,FALSE)="","",(VLOOKUP($AB40,変換表貼り付け用シート!$A$3:$AN$3000,12,FALSE)))</f>
        <v>#N/A</v>
      </c>
      <c r="AF40" s="80" t="e">
        <f>IF(VLOOKUP($AB40,変換表貼り付け用シート!$A$3:$AN$3000,13,FALSE)="","",(VLOOKUP($AB40,変換表貼り付け用シート!$A$3:$AN$3000,13,FALSE)))</f>
        <v>#N/A</v>
      </c>
      <c r="AG40" s="80" t="e">
        <f>IF(VLOOKUP($AB40,変換表貼り付け用シート!$A$3:$AN$3000,14,FALSE)="","",(VLOOKUP($AB40,変換表貼り付け用シート!$A$3:$AN$3000,14,FALSE)))</f>
        <v>#N/A</v>
      </c>
      <c r="AH40" s="85" t="e">
        <f>IF(VLOOKUP($AB40,変換表貼り付け用シート!$A$3:$AN$3000,15,FALSE)="","",(VLOOKUP($AB40,変換表貼り付け用シート!$A$3:$AN$3000,15,FALSE)))</f>
        <v>#N/A</v>
      </c>
      <c r="AI40" s="79" t="e">
        <f>IF(VLOOKUP($AB40,変換表貼り付け用シート!$A$3:$AN$3000,16,FALSE)="","",(VLOOKUP($AB40,変換表貼り付け用シート!$A$3:$AN$3000,16,FALSE)))</f>
        <v>#N/A</v>
      </c>
      <c r="AJ40" s="81" t="e">
        <f>IF(VLOOKUP($AB40,変換表貼り付け用シート!$A$3:$AN$3000,17,FALSE)="","",(VLOOKUP($AB40,変換表貼り付け用シート!$A$3:$AN$3000,17,FALSE)))</f>
        <v>#N/A</v>
      </c>
      <c r="AK40" s="88" t="e">
        <f>IF(VLOOKUP($AB40,変換表貼り付け用シート!$A$3:$AN$3000,18,FALSE)="","",(VLOOKUP($AB40,変換表貼り付け用シート!$A$3:$AN$3000,18,FALSE)))</f>
        <v>#N/A</v>
      </c>
      <c r="AL40" s="81" t="e">
        <f>IF(VLOOKUP($AB40,変換表貼り付け用シート!$A$3:$AN$3000,19,FALSE)="","",(VLOOKUP($AB40,変換表貼り付け用シート!$A$3:$AN$3000,19,FALSE)))</f>
        <v>#N/A</v>
      </c>
      <c r="AM40" s="75" t="e">
        <f>IF(VLOOKUP($AB40,変換表貼り付け用シート!$A$3:$AN$3000,20,FALSE)="","",(VLOOKUP($AB40,変換表貼り付け用シート!$A$3:$AN$3000,20,FALSE)))</f>
        <v>#N/A</v>
      </c>
    </row>
    <row r="41" spans="2:39" ht="21" customHeight="1" x14ac:dyDescent="0.35">
      <c r="B41" s="39"/>
      <c r="C41" s="117" t="s">
        <v>745</v>
      </c>
      <c r="D41" s="96" t="s">
        <v>239</v>
      </c>
      <c r="E41" s="27" t="s">
        <v>44</v>
      </c>
      <c r="F41" s="37" t="s">
        <v>45</v>
      </c>
      <c r="G41" s="33" t="s">
        <v>206</v>
      </c>
      <c r="H41" s="27" t="s">
        <v>207</v>
      </c>
      <c r="I41" s="27" t="s">
        <v>206</v>
      </c>
      <c r="J41" s="37" t="s">
        <v>207</v>
      </c>
      <c r="K41" s="39" t="s">
        <v>88</v>
      </c>
      <c r="L41" s="28" t="s">
        <v>95</v>
      </c>
      <c r="M41" s="28" t="s">
        <v>48</v>
      </c>
      <c r="N41" s="41" t="s">
        <v>78</v>
      </c>
      <c r="O41" s="39" t="s">
        <v>57</v>
      </c>
      <c r="P41" s="28"/>
      <c r="Q41" s="28"/>
      <c r="R41" s="41"/>
      <c r="S41" s="39"/>
      <c r="T41" s="41"/>
      <c r="U41" s="39"/>
      <c r="V41" s="41"/>
      <c r="W41" s="43" t="s">
        <v>711</v>
      </c>
      <c r="X41" s="33"/>
      <c r="Y41" s="27"/>
      <c r="Z41" s="29"/>
      <c r="AB41" s="73" t="str">
        <f t="shared" si="0"/>
        <v>HUBRR イナーシャ－</v>
      </c>
      <c r="AC41" s="74" t="e">
        <f>VLOOKUP($AB41,変換表貼り付け用シート!$A$3:$AN$1133,3,FALSE)</f>
        <v>#N/A</v>
      </c>
      <c r="AD41" s="74" t="e">
        <f t="shared" si="1"/>
        <v>#N/A</v>
      </c>
      <c r="AE41" s="79" t="e">
        <f>IF(VLOOKUP($AB41,変換表貼り付け用シート!$A$3:$AN$3000,12,FALSE)="","",(VLOOKUP($AB41,変換表貼り付け用シート!$A$3:$AN$3000,12,FALSE)))</f>
        <v>#N/A</v>
      </c>
      <c r="AF41" s="80" t="e">
        <f>IF(VLOOKUP($AB41,変換表貼り付け用シート!$A$3:$AN$3000,13,FALSE)="","",(VLOOKUP($AB41,変換表貼り付け用シート!$A$3:$AN$3000,13,FALSE)))</f>
        <v>#N/A</v>
      </c>
      <c r="AG41" s="80" t="e">
        <f>IF(VLOOKUP($AB41,変換表貼り付け用シート!$A$3:$AN$3000,14,FALSE)="","",(VLOOKUP($AB41,変換表貼り付け用シート!$A$3:$AN$3000,14,FALSE)))</f>
        <v>#N/A</v>
      </c>
      <c r="AH41" s="85" t="e">
        <f>IF(VLOOKUP($AB41,変換表貼り付け用シート!$A$3:$AN$3000,15,FALSE)="","",(VLOOKUP($AB41,変換表貼り付け用シート!$A$3:$AN$3000,15,FALSE)))</f>
        <v>#N/A</v>
      </c>
      <c r="AI41" s="79" t="e">
        <f>IF(VLOOKUP($AB41,変換表貼り付け用シート!$A$3:$AN$3000,16,FALSE)="","",(VLOOKUP($AB41,変換表貼り付け用シート!$A$3:$AN$3000,16,FALSE)))</f>
        <v>#N/A</v>
      </c>
      <c r="AJ41" s="81" t="e">
        <f>IF(VLOOKUP($AB41,変換表貼り付け用シート!$A$3:$AN$3000,17,FALSE)="","",(VLOOKUP($AB41,変換表貼り付け用シート!$A$3:$AN$3000,17,FALSE)))</f>
        <v>#N/A</v>
      </c>
      <c r="AK41" s="88" t="e">
        <f>IF(VLOOKUP($AB41,変換表貼り付け用シート!$A$3:$AN$3000,18,FALSE)="","",(VLOOKUP($AB41,変換表貼り付け用シート!$A$3:$AN$3000,18,FALSE)))</f>
        <v>#N/A</v>
      </c>
      <c r="AL41" s="81" t="e">
        <f>IF(VLOOKUP($AB41,変換表貼り付け用シート!$A$3:$AN$3000,19,FALSE)="","",(VLOOKUP($AB41,変換表貼り付け用シート!$A$3:$AN$3000,19,FALSE)))</f>
        <v>#N/A</v>
      </c>
      <c r="AM41" s="75" t="e">
        <f>IF(VLOOKUP($AB41,変換表貼り付け用シート!$A$3:$AN$3000,20,FALSE)="","",(VLOOKUP($AB41,変換表貼り付け用シート!$A$3:$AN$3000,20,FALSE)))</f>
        <v>#N/A</v>
      </c>
    </row>
    <row r="42" spans="2:39" ht="21" customHeight="1" x14ac:dyDescent="0.35">
      <c r="B42" s="39"/>
      <c r="C42" s="117" t="s">
        <v>746</v>
      </c>
      <c r="D42" s="96" t="s">
        <v>240</v>
      </c>
      <c r="E42" s="27" t="s">
        <v>44</v>
      </c>
      <c r="F42" s="37" t="s">
        <v>45</v>
      </c>
      <c r="G42" s="33" t="s">
        <v>206</v>
      </c>
      <c r="H42" s="27" t="s">
        <v>207</v>
      </c>
      <c r="I42" s="27" t="s">
        <v>206</v>
      </c>
      <c r="J42" s="37" t="s">
        <v>207</v>
      </c>
      <c r="K42" s="39" t="s">
        <v>96</v>
      </c>
      <c r="L42" s="28" t="s">
        <v>97</v>
      </c>
      <c r="M42" s="28" t="s">
        <v>48</v>
      </c>
      <c r="N42" s="41" t="s">
        <v>90</v>
      </c>
      <c r="O42" s="39">
        <v>2</v>
      </c>
      <c r="P42" s="28"/>
      <c r="Q42" s="28"/>
      <c r="R42" s="41"/>
      <c r="S42" s="39"/>
      <c r="T42" s="41"/>
      <c r="U42" s="39"/>
      <c r="V42" s="41"/>
      <c r="W42" s="43" t="s">
        <v>711</v>
      </c>
      <c r="X42" s="33"/>
      <c r="Y42" s="27"/>
      <c r="Z42" s="29"/>
      <c r="AB42" s="73" t="str">
        <f t="shared" si="0"/>
        <v>ブレーキ引き摺りトルク (＠経験圧3Mpa) －</v>
      </c>
      <c r="AC42" s="74" t="e">
        <f>VLOOKUP($AB42,変換表貼り付け用シート!$A$3:$AN$1133,3,FALSE)</f>
        <v>#N/A</v>
      </c>
      <c r="AD42" s="74" t="e">
        <f t="shared" si="1"/>
        <v>#N/A</v>
      </c>
      <c r="AE42" s="79" t="e">
        <f>IF(VLOOKUP($AB42,変換表貼り付け用シート!$A$3:$AN$3000,12,FALSE)="","",(VLOOKUP($AB42,変換表貼り付け用シート!$A$3:$AN$3000,12,FALSE)))</f>
        <v>#N/A</v>
      </c>
      <c r="AF42" s="80" t="e">
        <f>IF(VLOOKUP($AB42,変換表貼り付け用シート!$A$3:$AN$3000,13,FALSE)="","",(VLOOKUP($AB42,変換表貼り付け用シート!$A$3:$AN$3000,13,FALSE)))</f>
        <v>#N/A</v>
      </c>
      <c r="AG42" s="80" t="e">
        <f>IF(VLOOKUP($AB42,変換表貼り付け用シート!$A$3:$AN$3000,14,FALSE)="","",(VLOOKUP($AB42,変換表貼り付け用シート!$A$3:$AN$3000,14,FALSE)))</f>
        <v>#N/A</v>
      </c>
      <c r="AH42" s="85" t="e">
        <f>IF(VLOOKUP($AB42,変換表貼り付け用シート!$A$3:$AN$3000,15,FALSE)="","",(VLOOKUP($AB42,変換表貼り付け用シート!$A$3:$AN$3000,15,FALSE)))</f>
        <v>#N/A</v>
      </c>
      <c r="AI42" s="79" t="e">
        <f>IF(VLOOKUP($AB42,変換表貼り付け用シート!$A$3:$AN$3000,16,FALSE)="","",(VLOOKUP($AB42,変換表貼り付け用シート!$A$3:$AN$3000,16,FALSE)))</f>
        <v>#N/A</v>
      </c>
      <c r="AJ42" s="81" t="e">
        <f>IF(VLOOKUP($AB42,変換表貼り付け用シート!$A$3:$AN$3000,17,FALSE)="","",(VLOOKUP($AB42,変換表貼り付け用シート!$A$3:$AN$3000,17,FALSE)))</f>
        <v>#N/A</v>
      </c>
      <c r="AK42" s="88" t="e">
        <f>IF(VLOOKUP($AB42,変換表貼り付け用シート!$A$3:$AN$3000,18,FALSE)="","",(VLOOKUP($AB42,変換表貼り付け用シート!$A$3:$AN$3000,18,FALSE)))</f>
        <v>#N/A</v>
      </c>
      <c r="AL42" s="81" t="e">
        <f>IF(VLOOKUP($AB42,変換表貼り付け用シート!$A$3:$AN$3000,19,FALSE)="","",(VLOOKUP($AB42,変換表貼り付け用シート!$A$3:$AN$3000,19,FALSE)))</f>
        <v>#N/A</v>
      </c>
      <c r="AM42" s="75" t="e">
        <f>IF(VLOOKUP($AB42,変換表貼り付け用シート!$A$3:$AN$3000,20,FALSE)="","",(VLOOKUP($AB42,変換表貼り付け用シート!$A$3:$AN$3000,20,FALSE)))</f>
        <v>#N/A</v>
      </c>
    </row>
    <row r="43" spans="2:39" ht="21" customHeight="1" x14ac:dyDescent="0.35">
      <c r="B43" s="39"/>
      <c r="C43" s="117" t="s">
        <v>747</v>
      </c>
      <c r="D43" s="96" t="s">
        <v>241</v>
      </c>
      <c r="E43" s="27" t="s">
        <v>44</v>
      </c>
      <c r="F43" s="37" t="s">
        <v>45</v>
      </c>
      <c r="G43" s="33" t="s">
        <v>206</v>
      </c>
      <c r="H43" s="27" t="s">
        <v>207</v>
      </c>
      <c r="I43" s="27" t="s">
        <v>206</v>
      </c>
      <c r="J43" s="37" t="s">
        <v>207</v>
      </c>
      <c r="K43" s="39" t="s">
        <v>96</v>
      </c>
      <c r="L43" s="28" t="s">
        <v>98</v>
      </c>
      <c r="M43" s="28" t="s">
        <v>48</v>
      </c>
      <c r="N43" s="41" t="s">
        <v>90</v>
      </c>
      <c r="O43" s="39" t="s">
        <v>57</v>
      </c>
      <c r="P43" s="28"/>
      <c r="Q43" s="28"/>
      <c r="R43" s="41"/>
      <c r="S43" s="39"/>
      <c r="T43" s="41"/>
      <c r="U43" s="39"/>
      <c r="V43" s="41"/>
      <c r="W43" s="43" t="s">
        <v>711</v>
      </c>
      <c r="X43" s="33"/>
      <c r="Y43" s="27"/>
      <c r="Z43" s="29"/>
      <c r="AB43" s="73" t="str">
        <f t="shared" si="0"/>
        <v>ブレーキFR引き摺りトルク (経験圧3Mpa＠60kph)－</v>
      </c>
      <c r="AC43" s="74" t="e">
        <f>VLOOKUP($AB43,変換表貼り付け用シート!$A$3:$AN$1133,3,FALSE)</f>
        <v>#N/A</v>
      </c>
      <c r="AD43" s="74" t="e">
        <f t="shared" si="1"/>
        <v>#N/A</v>
      </c>
      <c r="AE43" s="79" t="e">
        <f>IF(VLOOKUP($AB43,変換表貼り付け用シート!$A$3:$AN$3000,12,FALSE)="","",(VLOOKUP($AB43,変換表貼り付け用シート!$A$3:$AN$3000,12,FALSE)))</f>
        <v>#N/A</v>
      </c>
      <c r="AF43" s="80" t="e">
        <f>IF(VLOOKUP($AB43,変換表貼り付け用シート!$A$3:$AN$3000,13,FALSE)="","",(VLOOKUP($AB43,変換表貼り付け用シート!$A$3:$AN$3000,13,FALSE)))</f>
        <v>#N/A</v>
      </c>
      <c r="AG43" s="80" t="e">
        <f>IF(VLOOKUP($AB43,変換表貼り付け用シート!$A$3:$AN$3000,14,FALSE)="","",(VLOOKUP($AB43,変換表貼り付け用シート!$A$3:$AN$3000,14,FALSE)))</f>
        <v>#N/A</v>
      </c>
      <c r="AH43" s="85" t="e">
        <f>IF(VLOOKUP($AB43,変換表貼り付け用シート!$A$3:$AN$3000,15,FALSE)="","",(VLOOKUP($AB43,変換表貼り付け用シート!$A$3:$AN$3000,15,FALSE)))</f>
        <v>#N/A</v>
      </c>
      <c r="AI43" s="79" t="e">
        <f>IF(VLOOKUP($AB43,変換表貼り付け用シート!$A$3:$AN$3000,16,FALSE)="","",(VLOOKUP($AB43,変換表貼り付け用シート!$A$3:$AN$3000,16,FALSE)))</f>
        <v>#N/A</v>
      </c>
      <c r="AJ43" s="81" t="e">
        <f>IF(VLOOKUP($AB43,変換表貼り付け用シート!$A$3:$AN$3000,17,FALSE)="","",(VLOOKUP($AB43,変換表貼り付け用シート!$A$3:$AN$3000,17,FALSE)))</f>
        <v>#N/A</v>
      </c>
      <c r="AK43" s="88" t="e">
        <f>IF(VLOOKUP($AB43,変換表貼り付け用シート!$A$3:$AN$3000,18,FALSE)="","",(VLOOKUP($AB43,変換表貼り付け用シート!$A$3:$AN$3000,18,FALSE)))</f>
        <v>#N/A</v>
      </c>
      <c r="AL43" s="81" t="e">
        <f>IF(VLOOKUP($AB43,変換表貼り付け用シート!$A$3:$AN$3000,19,FALSE)="","",(VLOOKUP($AB43,変換表貼り付け用シート!$A$3:$AN$3000,19,FALSE)))</f>
        <v>#N/A</v>
      </c>
      <c r="AM43" s="75" t="e">
        <f>IF(VLOOKUP($AB43,変換表貼り付け用シート!$A$3:$AN$3000,20,FALSE)="","",(VLOOKUP($AB43,変換表貼り付け用シート!$A$3:$AN$3000,20,FALSE)))</f>
        <v>#N/A</v>
      </c>
    </row>
    <row r="44" spans="2:39" ht="21" customHeight="1" x14ac:dyDescent="0.35">
      <c r="B44" s="39"/>
      <c r="C44" s="117" t="s">
        <v>748</v>
      </c>
      <c r="D44" s="96" t="s">
        <v>242</v>
      </c>
      <c r="E44" s="27" t="s">
        <v>44</v>
      </c>
      <c r="F44" s="37" t="s">
        <v>45</v>
      </c>
      <c r="G44" s="33" t="s">
        <v>206</v>
      </c>
      <c r="H44" s="27" t="s">
        <v>207</v>
      </c>
      <c r="I44" s="27" t="s">
        <v>206</v>
      </c>
      <c r="J44" s="37" t="s">
        <v>207</v>
      </c>
      <c r="K44" s="39" t="s">
        <v>96</v>
      </c>
      <c r="L44" s="28" t="s">
        <v>99</v>
      </c>
      <c r="M44" s="28" t="s">
        <v>48</v>
      </c>
      <c r="N44" s="41" t="s">
        <v>90</v>
      </c>
      <c r="O44" s="39" t="s">
        <v>57</v>
      </c>
      <c r="P44" s="28"/>
      <c r="Q44" s="28"/>
      <c r="R44" s="41"/>
      <c r="S44" s="39"/>
      <c r="T44" s="41"/>
      <c r="U44" s="39"/>
      <c r="V44" s="41"/>
      <c r="W44" s="43" t="s">
        <v>711</v>
      </c>
      <c r="X44" s="33"/>
      <c r="Y44" s="27"/>
      <c r="Z44" s="29"/>
      <c r="AB44" s="73" t="str">
        <f t="shared" si="0"/>
        <v>ブレーキRR引き摺りトルク(経験圧3Mpa＠60kph)－</v>
      </c>
      <c r="AC44" s="74" t="e">
        <f>VLOOKUP($AB44,変換表貼り付け用シート!$A$3:$AN$1133,3,FALSE)</f>
        <v>#N/A</v>
      </c>
      <c r="AD44" s="74" t="e">
        <f t="shared" si="1"/>
        <v>#N/A</v>
      </c>
      <c r="AE44" s="79" t="e">
        <f>IF(VLOOKUP($AB44,変換表貼り付け用シート!$A$3:$AN$3000,12,FALSE)="","",(VLOOKUP($AB44,変換表貼り付け用シート!$A$3:$AN$3000,12,FALSE)))</f>
        <v>#N/A</v>
      </c>
      <c r="AF44" s="80" t="e">
        <f>IF(VLOOKUP($AB44,変換表貼り付け用シート!$A$3:$AN$3000,13,FALSE)="","",(VLOOKUP($AB44,変換表貼り付け用シート!$A$3:$AN$3000,13,FALSE)))</f>
        <v>#N/A</v>
      </c>
      <c r="AG44" s="80" t="e">
        <f>IF(VLOOKUP($AB44,変換表貼り付け用シート!$A$3:$AN$3000,14,FALSE)="","",(VLOOKUP($AB44,変換表貼り付け用シート!$A$3:$AN$3000,14,FALSE)))</f>
        <v>#N/A</v>
      </c>
      <c r="AH44" s="85" t="e">
        <f>IF(VLOOKUP($AB44,変換表貼り付け用シート!$A$3:$AN$3000,15,FALSE)="","",(VLOOKUP($AB44,変換表貼り付け用シート!$A$3:$AN$3000,15,FALSE)))</f>
        <v>#N/A</v>
      </c>
      <c r="AI44" s="79" t="e">
        <f>IF(VLOOKUP($AB44,変換表貼り付け用シート!$A$3:$AN$3000,16,FALSE)="","",(VLOOKUP($AB44,変換表貼り付け用シート!$A$3:$AN$3000,16,FALSE)))</f>
        <v>#N/A</v>
      </c>
      <c r="AJ44" s="81" t="e">
        <f>IF(VLOOKUP($AB44,変換表貼り付け用シート!$A$3:$AN$3000,17,FALSE)="","",(VLOOKUP($AB44,変換表貼り付け用シート!$A$3:$AN$3000,17,FALSE)))</f>
        <v>#N/A</v>
      </c>
      <c r="AK44" s="88" t="e">
        <f>IF(VLOOKUP($AB44,変換表貼り付け用シート!$A$3:$AN$3000,18,FALSE)="","",(VLOOKUP($AB44,変換表貼り付け用シート!$A$3:$AN$3000,18,FALSE)))</f>
        <v>#N/A</v>
      </c>
      <c r="AL44" s="81" t="e">
        <f>IF(VLOOKUP($AB44,変換表貼り付け用シート!$A$3:$AN$3000,19,FALSE)="","",(VLOOKUP($AB44,変換表貼り付け用シート!$A$3:$AN$3000,19,FALSE)))</f>
        <v>#N/A</v>
      </c>
      <c r="AM44" s="75" t="e">
        <f>IF(VLOOKUP($AB44,変換表貼り付け用シート!$A$3:$AN$3000,20,FALSE)="","",(VLOOKUP($AB44,変換表貼り付け用シート!$A$3:$AN$3000,20,FALSE)))</f>
        <v>#N/A</v>
      </c>
    </row>
    <row r="45" spans="2:39" ht="21" customHeight="1" x14ac:dyDescent="0.35">
      <c r="B45" s="39"/>
      <c r="C45" s="117" t="s">
        <v>749</v>
      </c>
      <c r="D45" s="96" t="s">
        <v>243</v>
      </c>
      <c r="E45" s="27" t="s">
        <v>44</v>
      </c>
      <c r="F45" s="37" t="s">
        <v>45</v>
      </c>
      <c r="G45" s="33" t="s">
        <v>206</v>
      </c>
      <c r="H45" s="27" t="s">
        <v>207</v>
      </c>
      <c r="I45" s="27" t="s">
        <v>206</v>
      </c>
      <c r="J45" s="37" t="s">
        <v>207</v>
      </c>
      <c r="K45" s="39" t="s">
        <v>96</v>
      </c>
      <c r="L45" s="28" t="s">
        <v>100</v>
      </c>
      <c r="M45" s="28" t="s">
        <v>48</v>
      </c>
      <c r="N45" s="41" t="s">
        <v>78</v>
      </c>
      <c r="O45" s="39">
        <v>0</v>
      </c>
      <c r="P45" s="28"/>
      <c r="Q45" s="28"/>
      <c r="R45" s="41"/>
      <c r="S45" s="39"/>
      <c r="T45" s="41"/>
      <c r="U45" s="39"/>
      <c r="V45" s="41"/>
      <c r="W45" s="43" t="s">
        <v>711</v>
      </c>
      <c r="X45" s="33"/>
      <c r="Y45" s="27"/>
      <c r="Z45" s="29"/>
      <c r="AB45" s="73" t="str">
        <f t="shared" si="0"/>
        <v>ブレーキFRイナーシャ－</v>
      </c>
      <c r="AC45" s="74" t="e">
        <f>VLOOKUP($AB45,変換表貼り付け用シート!$A$3:$AN$1133,3,FALSE)</f>
        <v>#N/A</v>
      </c>
      <c r="AD45" s="74" t="e">
        <f t="shared" si="1"/>
        <v>#N/A</v>
      </c>
      <c r="AE45" s="79" t="e">
        <f>IF(VLOOKUP($AB45,変換表貼り付け用シート!$A$3:$AN$3000,12,FALSE)="","",(VLOOKUP($AB45,変換表貼り付け用シート!$A$3:$AN$3000,12,FALSE)))</f>
        <v>#N/A</v>
      </c>
      <c r="AF45" s="80" t="e">
        <f>IF(VLOOKUP($AB45,変換表貼り付け用シート!$A$3:$AN$3000,13,FALSE)="","",(VLOOKUP($AB45,変換表貼り付け用シート!$A$3:$AN$3000,13,FALSE)))</f>
        <v>#N/A</v>
      </c>
      <c r="AG45" s="80" t="e">
        <f>IF(VLOOKUP($AB45,変換表貼り付け用シート!$A$3:$AN$3000,14,FALSE)="","",(VLOOKUP($AB45,変換表貼り付け用シート!$A$3:$AN$3000,14,FALSE)))</f>
        <v>#N/A</v>
      </c>
      <c r="AH45" s="85" t="e">
        <f>IF(VLOOKUP($AB45,変換表貼り付け用シート!$A$3:$AN$3000,15,FALSE)="","",(VLOOKUP($AB45,変換表貼り付け用シート!$A$3:$AN$3000,15,FALSE)))</f>
        <v>#N/A</v>
      </c>
      <c r="AI45" s="79" t="e">
        <f>IF(VLOOKUP($AB45,変換表貼り付け用シート!$A$3:$AN$3000,16,FALSE)="","",(VLOOKUP($AB45,変換表貼り付け用シート!$A$3:$AN$3000,16,FALSE)))</f>
        <v>#N/A</v>
      </c>
      <c r="AJ45" s="81" t="e">
        <f>IF(VLOOKUP($AB45,変換表貼り付け用シート!$A$3:$AN$3000,17,FALSE)="","",(VLOOKUP($AB45,変換表貼り付け用シート!$A$3:$AN$3000,17,FALSE)))</f>
        <v>#N/A</v>
      </c>
      <c r="AK45" s="88" t="e">
        <f>IF(VLOOKUP($AB45,変換表貼り付け用シート!$A$3:$AN$3000,18,FALSE)="","",(VLOOKUP($AB45,変換表貼り付け用シート!$A$3:$AN$3000,18,FALSE)))</f>
        <v>#N/A</v>
      </c>
      <c r="AL45" s="81" t="e">
        <f>IF(VLOOKUP($AB45,変換表貼り付け用シート!$A$3:$AN$3000,19,FALSE)="","",(VLOOKUP($AB45,変換表貼り付け用シート!$A$3:$AN$3000,19,FALSE)))</f>
        <v>#N/A</v>
      </c>
      <c r="AM45" s="75" t="e">
        <f>IF(VLOOKUP($AB45,変換表貼り付け用シート!$A$3:$AN$3000,20,FALSE)="","",(VLOOKUP($AB45,変換表貼り付け用シート!$A$3:$AN$3000,20,FALSE)))</f>
        <v>#N/A</v>
      </c>
    </row>
    <row r="46" spans="2:39" ht="21" customHeight="1" x14ac:dyDescent="0.35">
      <c r="B46" s="39"/>
      <c r="C46" s="117" t="s">
        <v>750</v>
      </c>
      <c r="D46" s="96" t="s">
        <v>244</v>
      </c>
      <c r="E46" s="27" t="s">
        <v>44</v>
      </c>
      <c r="F46" s="37" t="s">
        <v>45</v>
      </c>
      <c r="G46" s="33" t="s">
        <v>206</v>
      </c>
      <c r="H46" s="27" t="s">
        <v>207</v>
      </c>
      <c r="I46" s="27" t="s">
        <v>206</v>
      </c>
      <c r="J46" s="37" t="s">
        <v>207</v>
      </c>
      <c r="K46" s="39" t="s">
        <v>96</v>
      </c>
      <c r="L46" s="28" t="s">
        <v>101</v>
      </c>
      <c r="M46" s="28" t="s">
        <v>48</v>
      </c>
      <c r="N46" s="41" t="s">
        <v>78</v>
      </c>
      <c r="O46" s="39">
        <v>0</v>
      </c>
      <c r="P46" s="28"/>
      <c r="Q46" s="28"/>
      <c r="R46" s="41"/>
      <c r="S46" s="39"/>
      <c r="T46" s="41"/>
      <c r="U46" s="39"/>
      <c r="V46" s="41"/>
      <c r="W46" s="43" t="s">
        <v>711</v>
      </c>
      <c r="X46" s="33"/>
      <c r="Y46" s="27"/>
      <c r="Z46" s="29"/>
      <c r="AB46" s="73" t="str">
        <f t="shared" si="0"/>
        <v>ブレーキRRイナーシャ－</v>
      </c>
      <c r="AC46" s="74" t="e">
        <f>VLOOKUP($AB46,変換表貼り付け用シート!$A$3:$AN$1133,3,FALSE)</f>
        <v>#N/A</v>
      </c>
      <c r="AD46" s="74" t="e">
        <f t="shared" si="1"/>
        <v>#N/A</v>
      </c>
      <c r="AE46" s="79" t="e">
        <f>IF(VLOOKUP($AB46,変換表貼り付け用シート!$A$3:$AN$3000,12,FALSE)="","",(VLOOKUP($AB46,変換表貼り付け用シート!$A$3:$AN$3000,12,FALSE)))</f>
        <v>#N/A</v>
      </c>
      <c r="AF46" s="80" t="e">
        <f>IF(VLOOKUP($AB46,変換表貼り付け用シート!$A$3:$AN$3000,13,FALSE)="","",(VLOOKUP($AB46,変換表貼り付け用シート!$A$3:$AN$3000,13,FALSE)))</f>
        <v>#N/A</v>
      </c>
      <c r="AG46" s="80" t="e">
        <f>IF(VLOOKUP($AB46,変換表貼り付け用シート!$A$3:$AN$3000,14,FALSE)="","",(VLOOKUP($AB46,変換表貼り付け用シート!$A$3:$AN$3000,14,FALSE)))</f>
        <v>#N/A</v>
      </c>
      <c r="AH46" s="85" t="e">
        <f>IF(VLOOKUP($AB46,変換表貼り付け用シート!$A$3:$AN$3000,15,FALSE)="","",(VLOOKUP($AB46,変換表貼り付け用シート!$A$3:$AN$3000,15,FALSE)))</f>
        <v>#N/A</v>
      </c>
      <c r="AI46" s="79" t="e">
        <f>IF(VLOOKUP($AB46,変換表貼り付け用シート!$A$3:$AN$3000,16,FALSE)="","",(VLOOKUP($AB46,変換表貼り付け用シート!$A$3:$AN$3000,16,FALSE)))</f>
        <v>#N/A</v>
      </c>
      <c r="AJ46" s="81" t="e">
        <f>IF(VLOOKUP($AB46,変換表貼り付け用シート!$A$3:$AN$3000,17,FALSE)="","",(VLOOKUP($AB46,変換表貼り付け用シート!$A$3:$AN$3000,17,FALSE)))</f>
        <v>#N/A</v>
      </c>
      <c r="AK46" s="88" t="e">
        <f>IF(VLOOKUP($AB46,変換表貼り付け用シート!$A$3:$AN$3000,18,FALSE)="","",(VLOOKUP($AB46,変換表貼り付け用シート!$A$3:$AN$3000,18,FALSE)))</f>
        <v>#N/A</v>
      </c>
      <c r="AL46" s="81" t="e">
        <f>IF(VLOOKUP($AB46,変換表貼り付け用シート!$A$3:$AN$3000,19,FALSE)="","",(VLOOKUP($AB46,変換表貼り付け用シート!$A$3:$AN$3000,19,FALSE)))</f>
        <v>#N/A</v>
      </c>
      <c r="AM46" s="75" t="e">
        <f>IF(VLOOKUP($AB46,変換表貼り付け用シート!$A$3:$AN$3000,20,FALSE)="","",(VLOOKUP($AB46,変換表貼り付け用シート!$A$3:$AN$3000,20,FALSE)))</f>
        <v>#N/A</v>
      </c>
    </row>
    <row r="47" spans="2:39" ht="21" customHeight="1" x14ac:dyDescent="0.35">
      <c r="B47" s="39"/>
      <c r="C47" s="117" t="s">
        <v>751</v>
      </c>
      <c r="D47" s="96" t="s">
        <v>245</v>
      </c>
      <c r="E47" s="27" t="s">
        <v>44</v>
      </c>
      <c r="F47" s="37" t="s">
        <v>45</v>
      </c>
      <c r="G47" s="33" t="s">
        <v>206</v>
      </c>
      <c r="H47" s="27" t="s">
        <v>207</v>
      </c>
      <c r="I47" s="27" t="s">
        <v>206</v>
      </c>
      <c r="J47" s="37" t="s">
        <v>207</v>
      </c>
      <c r="K47" s="39" t="s">
        <v>102</v>
      </c>
      <c r="L47" s="28" t="s">
        <v>103</v>
      </c>
      <c r="M47" s="28" t="s">
        <v>48</v>
      </c>
      <c r="N47" s="41" t="s">
        <v>104</v>
      </c>
      <c r="O47" s="39" t="s">
        <v>57</v>
      </c>
      <c r="P47" s="28"/>
      <c r="Q47" s="28"/>
      <c r="R47" s="41"/>
      <c r="S47" s="39"/>
      <c r="T47" s="41"/>
      <c r="U47" s="39"/>
      <c r="V47" s="41"/>
      <c r="W47" s="43" t="s">
        <v>711</v>
      </c>
      <c r="X47" s="33"/>
      <c r="Y47" s="27"/>
      <c r="Z47" s="29"/>
      <c r="AB47" s="73" t="str">
        <f t="shared" si="0"/>
        <v>車両姿勢グランドクリアランスMin－</v>
      </c>
      <c r="AC47" s="74" t="e">
        <f>VLOOKUP($AB47,変換表貼り付け用シート!$A$3:$AN$1133,3,FALSE)</f>
        <v>#N/A</v>
      </c>
      <c r="AD47" s="74" t="e">
        <f t="shared" si="1"/>
        <v>#N/A</v>
      </c>
      <c r="AE47" s="79" t="e">
        <f>IF(VLOOKUP($AB47,変換表貼り付け用シート!$A$3:$AN$3000,12,FALSE)="","",(VLOOKUP($AB47,変換表貼り付け用シート!$A$3:$AN$3000,12,FALSE)))</f>
        <v>#N/A</v>
      </c>
      <c r="AF47" s="80" t="e">
        <f>IF(VLOOKUP($AB47,変換表貼り付け用シート!$A$3:$AN$3000,13,FALSE)="","",(VLOOKUP($AB47,変換表貼り付け用シート!$A$3:$AN$3000,13,FALSE)))</f>
        <v>#N/A</v>
      </c>
      <c r="AG47" s="80" t="e">
        <f>IF(VLOOKUP($AB47,変換表貼り付け用シート!$A$3:$AN$3000,14,FALSE)="","",(VLOOKUP($AB47,変換表貼り付け用シート!$A$3:$AN$3000,14,FALSE)))</f>
        <v>#N/A</v>
      </c>
      <c r="AH47" s="85" t="e">
        <f>IF(VLOOKUP($AB47,変換表貼り付け用シート!$A$3:$AN$3000,15,FALSE)="","",(VLOOKUP($AB47,変換表貼り付け用シート!$A$3:$AN$3000,15,FALSE)))</f>
        <v>#N/A</v>
      </c>
      <c r="AI47" s="79" t="e">
        <f>IF(VLOOKUP($AB47,変換表貼り付け用シート!$A$3:$AN$3000,16,FALSE)="","",(VLOOKUP($AB47,変換表貼り付け用シート!$A$3:$AN$3000,16,FALSE)))</f>
        <v>#N/A</v>
      </c>
      <c r="AJ47" s="81" t="e">
        <f>IF(VLOOKUP($AB47,変換表貼り付け用シート!$A$3:$AN$3000,17,FALSE)="","",(VLOOKUP($AB47,変換表貼り付け用シート!$A$3:$AN$3000,17,FALSE)))</f>
        <v>#N/A</v>
      </c>
      <c r="AK47" s="88" t="e">
        <f>IF(VLOOKUP($AB47,変換表貼り付け用シート!$A$3:$AN$3000,18,FALSE)="","",(VLOOKUP($AB47,変換表貼り付け用シート!$A$3:$AN$3000,18,FALSE)))</f>
        <v>#N/A</v>
      </c>
      <c r="AL47" s="81" t="e">
        <f>IF(VLOOKUP($AB47,変換表貼り付け用シート!$A$3:$AN$3000,19,FALSE)="","",(VLOOKUP($AB47,変換表貼り付け用シート!$A$3:$AN$3000,19,FALSE)))</f>
        <v>#N/A</v>
      </c>
      <c r="AM47" s="75" t="e">
        <f>IF(VLOOKUP($AB47,変換表貼り付け用シート!$A$3:$AN$3000,20,FALSE)="","",(VLOOKUP($AB47,変換表貼り付け用シート!$A$3:$AN$3000,20,FALSE)))</f>
        <v>#N/A</v>
      </c>
    </row>
    <row r="48" spans="2:39" ht="21" customHeight="1" x14ac:dyDescent="0.35">
      <c r="B48" s="39"/>
      <c r="C48" s="117" t="s">
        <v>752</v>
      </c>
      <c r="D48" s="96" t="s">
        <v>246</v>
      </c>
      <c r="E48" s="27" t="s">
        <v>44</v>
      </c>
      <c r="F48" s="37" t="s">
        <v>45</v>
      </c>
      <c r="G48" s="33" t="s">
        <v>206</v>
      </c>
      <c r="H48" s="27" t="s">
        <v>207</v>
      </c>
      <c r="I48" s="27" t="s">
        <v>206</v>
      </c>
      <c r="J48" s="37" t="s">
        <v>207</v>
      </c>
      <c r="K48" s="39" t="s">
        <v>105</v>
      </c>
      <c r="L48" s="28" t="s">
        <v>106</v>
      </c>
      <c r="M48" s="28" t="s">
        <v>48</v>
      </c>
      <c r="N48" s="41" t="s">
        <v>49</v>
      </c>
      <c r="O48" s="39">
        <v>1237</v>
      </c>
      <c r="P48" s="28"/>
      <c r="Q48" s="28"/>
      <c r="R48" s="41"/>
      <c r="S48" s="39"/>
      <c r="T48" s="41"/>
      <c r="U48" s="39"/>
      <c r="V48" s="41"/>
      <c r="W48" s="43" t="s">
        <v>711</v>
      </c>
      <c r="X48" s="33"/>
      <c r="Y48" s="27"/>
      <c r="Z48" s="29"/>
      <c r="AB48" s="73" t="str">
        <f t="shared" si="0"/>
        <v>Test Weight航続距離試験(ETW)Total－</v>
      </c>
      <c r="AC48" s="74" t="e">
        <f>VLOOKUP($AB48,変換表貼り付け用シート!$A$3:$AN$1133,3,FALSE)</f>
        <v>#N/A</v>
      </c>
      <c r="AD48" s="74" t="e">
        <f t="shared" si="1"/>
        <v>#N/A</v>
      </c>
      <c r="AE48" s="79" t="e">
        <f>IF(VLOOKUP($AB48,変換表貼り付け用シート!$A$3:$AN$3000,12,FALSE)="","",(VLOOKUP($AB48,変換表貼り付け用シート!$A$3:$AN$3000,12,FALSE)))</f>
        <v>#N/A</v>
      </c>
      <c r="AF48" s="80" t="e">
        <f>IF(VLOOKUP($AB48,変換表貼り付け用シート!$A$3:$AN$3000,13,FALSE)="","",(VLOOKUP($AB48,変換表貼り付け用シート!$A$3:$AN$3000,13,FALSE)))</f>
        <v>#N/A</v>
      </c>
      <c r="AG48" s="80" t="e">
        <f>IF(VLOOKUP($AB48,変換表貼り付け用シート!$A$3:$AN$3000,14,FALSE)="","",(VLOOKUP($AB48,変換表貼り付け用シート!$A$3:$AN$3000,14,FALSE)))</f>
        <v>#N/A</v>
      </c>
      <c r="AH48" s="85" t="e">
        <f>IF(VLOOKUP($AB48,変換表貼り付け用シート!$A$3:$AN$3000,15,FALSE)="","",(VLOOKUP($AB48,変換表貼り付け用シート!$A$3:$AN$3000,15,FALSE)))</f>
        <v>#N/A</v>
      </c>
      <c r="AI48" s="79" t="e">
        <f>IF(VLOOKUP($AB48,変換表貼り付け用シート!$A$3:$AN$3000,16,FALSE)="","",(VLOOKUP($AB48,変換表貼り付け用シート!$A$3:$AN$3000,16,FALSE)))</f>
        <v>#N/A</v>
      </c>
      <c r="AJ48" s="81" t="e">
        <f>IF(VLOOKUP($AB48,変換表貼り付け用シート!$A$3:$AN$3000,17,FALSE)="","",(VLOOKUP($AB48,変換表貼り付け用シート!$A$3:$AN$3000,17,FALSE)))</f>
        <v>#N/A</v>
      </c>
      <c r="AK48" s="88" t="e">
        <f>IF(VLOOKUP($AB48,変換表貼り付け用シート!$A$3:$AN$3000,18,FALSE)="","",(VLOOKUP($AB48,変換表貼り付け用シート!$A$3:$AN$3000,18,FALSE)))</f>
        <v>#N/A</v>
      </c>
      <c r="AL48" s="81" t="e">
        <f>IF(VLOOKUP($AB48,変換表貼り付け用シート!$A$3:$AN$3000,19,FALSE)="","",(VLOOKUP($AB48,変換表貼り付け用シート!$A$3:$AN$3000,19,FALSE)))</f>
        <v>#N/A</v>
      </c>
      <c r="AM48" s="75" t="e">
        <f>IF(VLOOKUP($AB48,変換表貼り付け用シート!$A$3:$AN$3000,20,FALSE)="","",(VLOOKUP($AB48,変換表貼り付け用シート!$A$3:$AN$3000,20,FALSE)))</f>
        <v>#N/A</v>
      </c>
    </row>
    <row r="49" spans="2:39" ht="21" customHeight="1" x14ac:dyDescent="0.35">
      <c r="B49" s="39"/>
      <c r="C49" s="117" t="s">
        <v>753</v>
      </c>
      <c r="D49" s="96" t="s">
        <v>247</v>
      </c>
      <c r="E49" s="27" t="s">
        <v>44</v>
      </c>
      <c r="F49" s="37" t="s">
        <v>45</v>
      </c>
      <c r="G49" s="33" t="s">
        <v>206</v>
      </c>
      <c r="H49" s="27" t="s">
        <v>207</v>
      </c>
      <c r="I49" s="27" t="s">
        <v>206</v>
      </c>
      <c r="J49" s="37" t="s">
        <v>207</v>
      </c>
      <c r="K49" s="39" t="s">
        <v>105</v>
      </c>
      <c r="L49" s="28" t="s">
        <v>107</v>
      </c>
      <c r="M49" s="28" t="s">
        <v>48</v>
      </c>
      <c r="N49" s="41" t="s">
        <v>49</v>
      </c>
      <c r="O49" s="39" t="s">
        <v>108</v>
      </c>
      <c r="P49" s="28"/>
      <c r="Q49" s="28"/>
      <c r="R49" s="41"/>
      <c r="S49" s="39"/>
      <c r="T49" s="41"/>
      <c r="U49" s="39"/>
      <c r="V49" s="41"/>
      <c r="W49" s="43" t="s">
        <v>711</v>
      </c>
      <c r="X49" s="33"/>
      <c r="Y49" s="27"/>
      <c r="Z49" s="29"/>
      <c r="AB49" s="73" t="str">
        <f t="shared" si="0"/>
        <v>Test Weight航続距離試験(ETW)FR－</v>
      </c>
      <c r="AC49" s="74" t="e">
        <f>VLOOKUP($AB49,変換表貼り付け用シート!$A$3:$AN$1133,3,FALSE)</f>
        <v>#N/A</v>
      </c>
      <c r="AD49" s="74" t="e">
        <f t="shared" si="1"/>
        <v>#N/A</v>
      </c>
      <c r="AE49" s="79" t="e">
        <f>IF(VLOOKUP($AB49,変換表貼り付け用シート!$A$3:$AN$3000,12,FALSE)="","",(VLOOKUP($AB49,変換表貼り付け用シート!$A$3:$AN$3000,12,FALSE)))</f>
        <v>#N/A</v>
      </c>
      <c r="AF49" s="80" t="e">
        <f>IF(VLOOKUP($AB49,変換表貼り付け用シート!$A$3:$AN$3000,13,FALSE)="","",(VLOOKUP($AB49,変換表貼り付け用シート!$A$3:$AN$3000,13,FALSE)))</f>
        <v>#N/A</v>
      </c>
      <c r="AG49" s="80" t="e">
        <f>IF(VLOOKUP($AB49,変換表貼り付け用シート!$A$3:$AN$3000,14,FALSE)="","",(VLOOKUP($AB49,変換表貼り付け用シート!$A$3:$AN$3000,14,FALSE)))</f>
        <v>#N/A</v>
      </c>
      <c r="AH49" s="85" t="e">
        <f>IF(VLOOKUP($AB49,変換表貼り付け用シート!$A$3:$AN$3000,15,FALSE)="","",(VLOOKUP($AB49,変換表貼り付け用シート!$A$3:$AN$3000,15,FALSE)))</f>
        <v>#N/A</v>
      </c>
      <c r="AI49" s="79" t="e">
        <f>IF(VLOOKUP($AB49,変換表貼り付け用シート!$A$3:$AN$3000,16,FALSE)="","",(VLOOKUP($AB49,変換表貼り付け用シート!$A$3:$AN$3000,16,FALSE)))</f>
        <v>#N/A</v>
      </c>
      <c r="AJ49" s="81" t="e">
        <f>IF(VLOOKUP($AB49,変換表貼り付け用シート!$A$3:$AN$3000,17,FALSE)="","",(VLOOKUP($AB49,変換表貼り付け用シート!$A$3:$AN$3000,17,FALSE)))</f>
        <v>#N/A</v>
      </c>
      <c r="AK49" s="88" t="e">
        <f>IF(VLOOKUP($AB49,変換表貼り付け用シート!$A$3:$AN$3000,18,FALSE)="","",(VLOOKUP($AB49,変換表貼り付け用シート!$A$3:$AN$3000,18,FALSE)))</f>
        <v>#N/A</v>
      </c>
      <c r="AL49" s="81" t="e">
        <f>IF(VLOOKUP($AB49,変換表貼り付け用シート!$A$3:$AN$3000,19,FALSE)="","",(VLOOKUP($AB49,変換表貼り付け用シート!$A$3:$AN$3000,19,FALSE)))</f>
        <v>#N/A</v>
      </c>
      <c r="AM49" s="75" t="e">
        <f>IF(VLOOKUP($AB49,変換表貼り付け用シート!$A$3:$AN$3000,20,FALSE)="","",(VLOOKUP($AB49,変換表貼り付け用シート!$A$3:$AN$3000,20,FALSE)))</f>
        <v>#N/A</v>
      </c>
    </row>
    <row r="50" spans="2:39" ht="21" customHeight="1" x14ac:dyDescent="0.35">
      <c r="B50" s="39"/>
      <c r="C50" s="117" t="s">
        <v>754</v>
      </c>
      <c r="D50" s="96" t="s">
        <v>248</v>
      </c>
      <c r="E50" s="27" t="s">
        <v>44</v>
      </c>
      <c r="F50" s="37" t="s">
        <v>45</v>
      </c>
      <c r="G50" s="33" t="s">
        <v>206</v>
      </c>
      <c r="H50" s="27" t="s">
        <v>207</v>
      </c>
      <c r="I50" s="27" t="s">
        <v>206</v>
      </c>
      <c r="J50" s="37" t="s">
        <v>207</v>
      </c>
      <c r="K50" s="39" t="s">
        <v>105</v>
      </c>
      <c r="L50" s="28" t="s">
        <v>109</v>
      </c>
      <c r="M50" s="28" t="s">
        <v>48</v>
      </c>
      <c r="N50" s="41" t="s">
        <v>49</v>
      </c>
      <c r="O50" s="39" t="s">
        <v>108</v>
      </c>
      <c r="P50" s="28"/>
      <c r="Q50" s="28"/>
      <c r="R50" s="41"/>
      <c r="S50" s="39"/>
      <c r="T50" s="41"/>
      <c r="U50" s="39"/>
      <c r="V50" s="41"/>
      <c r="W50" s="43" t="s">
        <v>711</v>
      </c>
      <c r="X50" s="33"/>
      <c r="Y50" s="27"/>
      <c r="Z50" s="29"/>
      <c r="AB50" s="73" t="str">
        <f t="shared" si="0"/>
        <v>Test Weight航続距離試験(ETW)RR－</v>
      </c>
      <c r="AC50" s="74" t="e">
        <f>VLOOKUP($AB50,変換表貼り付け用シート!$A$3:$AN$1133,3,FALSE)</f>
        <v>#N/A</v>
      </c>
      <c r="AD50" s="74" t="e">
        <f t="shared" si="1"/>
        <v>#N/A</v>
      </c>
      <c r="AE50" s="79" t="e">
        <f>IF(VLOOKUP($AB50,変換表貼り付け用シート!$A$3:$AN$3000,12,FALSE)="","",(VLOOKUP($AB50,変換表貼り付け用シート!$A$3:$AN$3000,12,FALSE)))</f>
        <v>#N/A</v>
      </c>
      <c r="AF50" s="80" t="e">
        <f>IF(VLOOKUP($AB50,変換表貼り付け用シート!$A$3:$AN$3000,13,FALSE)="","",(VLOOKUP($AB50,変換表貼り付け用シート!$A$3:$AN$3000,13,FALSE)))</f>
        <v>#N/A</v>
      </c>
      <c r="AG50" s="80" t="e">
        <f>IF(VLOOKUP($AB50,変換表貼り付け用シート!$A$3:$AN$3000,14,FALSE)="","",(VLOOKUP($AB50,変換表貼り付け用シート!$A$3:$AN$3000,14,FALSE)))</f>
        <v>#N/A</v>
      </c>
      <c r="AH50" s="85" t="e">
        <f>IF(VLOOKUP($AB50,変換表貼り付け用シート!$A$3:$AN$3000,15,FALSE)="","",(VLOOKUP($AB50,変換表貼り付け用シート!$A$3:$AN$3000,15,FALSE)))</f>
        <v>#N/A</v>
      </c>
      <c r="AI50" s="79" t="e">
        <f>IF(VLOOKUP($AB50,変換表貼り付け用シート!$A$3:$AN$3000,16,FALSE)="","",(VLOOKUP($AB50,変換表貼り付け用シート!$A$3:$AN$3000,16,FALSE)))</f>
        <v>#N/A</v>
      </c>
      <c r="AJ50" s="81" t="e">
        <f>IF(VLOOKUP($AB50,変換表貼り付け用シート!$A$3:$AN$3000,17,FALSE)="","",(VLOOKUP($AB50,変換表貼り付け用シート!$A$3:$AN$3000,17,FALSE)))</f>
        <v>#N/A</v>
      </c>
      <c r="AK50" s="88" t="e">
        <f>IF(VLOOKUP($AB50,変換表貼り付け用シート!$A$3:$AN$3000,18,FALSE)="","",(VLOOKUP($AB50,変換表貼り付け用シート!$A$3:$AN$3000,18,FALSE)))</f>
        <v>#N/A</v>
      </c>
      <c r="AL50" s="81" t="e">
        <f>IF(VLOOKUP($AB50,変換表貼り付け用シート!$A$3:$AN$3000,19,FALSE)="","",(VLOOKUP($AB50,変換表貼り付け用シート!$A$3:$AN$3000,19,FALSE)))</f>
        <v>#N/A</v>
      </c>
      <c r="AM50" s="75" t="e">
        <f>IF(VLOOKUP($AB50,変換表貼り付け用シート!$A$3:$AN$3000,20,FALSE)="","",(VLOOKUP($AB50,変換表貼り付け用シート!$A$3:$AN$3000,20,FALSE)))</f>
        <v>#N/A</v>
      </c>
    </row>
    <row r="51" spans="2:39" ht="21" customHeight="1" x14ac:dyDescent="0.35">
      <c r="B51" s="39"/>
      <c r="C51" s="117" t="s">
        <v>755</v>
      </c>
      <c r="D51" s="96" t="s">
        <v>249</v>
      </c>
      <c r="E51" s="27" t="s">
        <v>44</v>
      </c>
      <c r="F51" s="37" t="s">
        <v>45</v>
      </c>
      <c r="G51" s="33" t="s">
        <v>206</v>
      </c>
      <c r="H51" s="27" t="s">
        <v>207</v>
      </c>
      <c r="I51" s="27" t="s">
        <v>206</v>
      </c>
      <c r="J51" s="37" t="s">
        <v>207</v>
      </c>
      <c r="K51" s="39" t="s">
        <v>105</v>
      </c>
      <c r="L51" s="28" t="s">
        <v>110</v>
      </c>
      <c r="M51" s="28" t="s">
        <v>48</v>
      </c>
      <c r="N51" s="41" t="s">
        <v>49</v>
      </c>
      <c r="O51" s="39">
        <v>1322</v>
      </c>
      <c r="P51" s="28"/>
      <c r="Q51" s="28"/>
      <c r="R51" s="41"/>
      <c r="S51" s="39"/>
      <c r="T51" s="41"/>
      <c r="U51" s="39"/>
      <c r="V51" s="41"/>
      <c r="W51" s="43" t="s">
        <v>711</v>
      </c>
      <c r="X51" s="33"/>
      <c r="Y51" s="27"/>
      <c r="Z51" s="29"/>
      <c r="AB51" s="73" t="str">
        <f t="shared" si="0"/>
        <v>Test Weight動力当り前性能 －</v>
      </c>
      <c r="AC51" s="74" t="e">
        <f>VLOOKUP($AB51,変換表貼り付け用シート!$A$3:$AN$1133,3,FALSE)</f>
        <v>#N/A</v>
      </c>
      <c r="AD51" s="74" t="e">
        <f t="shared" si="1"/>
        <v>#N/A</v>
      </c>
      <c r="AE51" s="79" t="e">
        <f>IF(VLOOKUP($AB51,変換表貼り付け用シート!$A$3:$AN$3000,12,FALSE)="","",(VLOOKUP($AB51,変換表貼り付け用シート!$A$3:$AN$3000,12,FALSE)))</f>
        <v>#N/A</v>
      </c>
      <c r="AF51" s="80" t="e">
        <f>IF(VLOOKUP($AB51,変換表貼り付け用シート!$A$3:$AN$3000,13,FALSE)="","",(VLOOKUP($AB51,変換表貼り付け用シート!$A$3:$AN$3000,13,FALSE)))</f>
        <v>#N/A</v>
      </c>
      <c r="AG51" s="80" t="e">
        <f>IF(VLOOKUP($AB51,変換表貼り付け用シート!$A$3:$AN$3000,14,FALSE)="","",(VLOOKUP($AB51,変換表貼り付け用シート!$A$3:$AN$3000,14,FALSE)))</f>
        <v>#N/A</v>
      </c>
      <c r="AH51" s="85" t="e">
        <f>IF(VLOOKUP($AB51,変換表貼り付け用シート!$A$3:$AN$3000,15,FALSE)="","",(VLOOKUP($AB51,変換表貼り付け用シート!$A$3:$AN$3000,15,FALSE)))</f>
        <v>#N/A</v>
      </c>
      <c r="AI51" s="79" t="e">
        <f>IF(VLOOKUP($AB51,変換表貼り付け用シート!$A$3:$AN$3000,16,FALSE)="","",(VLOOKUP($AB51,変換表貼り付け用シート!$A$3:$AN$3000,16,FALSE)))</f>
        <v>#N/A</v>
      </c>
      <c r="AJ51" s="81" t="e">
        <f>IF(VLOOKUP($AB51,変換表貼り付け用シート!$A$3:$AN$3000,17,FALSE)="","",(VLOOKUP($AB51,変換表貼り付け用シート!$A$3:$AN$3000,17,FALSE)))</f>
        <v>#N/A</v>
      </c>
      <c r="AK51" s="88" t="e">
        <f>IF(VLOOKUP($AB51,変換表貼り付け用シート!$A$3:$AN$3000,18,FALSE)="","",(VLOOKUP($AB51,変換表貼り付け用シート!$A$3:$AN$3000,18,FALSE)))</f>
        <v>#N/A</v>
      </c>
      <c r="AL51" s="81" t="e">
        <f>IF(VLOOKUP($AB51,変換表貼り付け用シート!$A$3:$AN$3000,19,FALSE)="","",(VLOOKUP($AB51,変換表貼り付け用シート!$A$3:$AN$3000,19,FALSE)))</f>
        <v>#N/A</v>
      </c>
      <c r="AM51" s="75" t="e">
        <f>IF(VLOOKUP($AB51,変換表貼り付け用シート!$A$3:$AN$3000,20,FALSE)="","",(VLOOKUP($AB51,変換表貼り付け用シート!$A$3:$AN$3000,20,FALSE)))</f>
        <v>#N/A</v>
      </c>
    </row>
    <row r="52" spans="2:39" ht="21" customHeight="1" x14ac:dyDescent="0.35">
      <c r="B52" s="39"/>
      <c r="C52" s="117" t="s">
        <v>756</v>
      </c>
      <c r="D52" s="96" t="s">
        <v>250</v>
      </c>
      <c r="E52" s="27" t="s">
        <v>44</v>
      </c>
      <c r="F52" s="37" t="s">
        <v>45</v>
      </c>
      <c r="G52" s="33" t="s">
        <v>206</v>
      </c>
      <c r="H52" s="27" t="s">
        <v>207</v>
      </c>
      <c r="I52" s="27" t="s">
        <v>206</v>
      </c>
      <c r="J52" s="37" t="s">
        <v>207</v>
      </c>
      <c r="K52" s="39" t="s">
        <v>105</v>
      </c>
      <c r="L52" s="28" t="s">
        <v>111</v>
      </c>
      <c r="M52" s="28" t="s">
        <v>48</v>
      </c>
      <c r="N52" s="41" t="s">
        <v>49</v>
      </c>
      <c r="O52" s="39">
        <v>1247</v>
      </c>
      <c r="P52" s="28"/>
      <c r="Q52" s="28"/>
      <c r="R52" s="41"/>
      <c r="S52" s="39"/>
      <c r="T52" s="41"/>
      <c r="U52" s="39"/>
      <c r="V52" s="41"/>
      <c r="W52" s="43" t="s">
        <v>711</v>
      </c>
      <c r="X52" s="33"/>
      <c r="Y52" s="27"/>
      <c r="Z52" s="29"/>
      <c r="AB52" s="73" t="str">
        <f t="shared" si="0"/>
        <v>Test Weight動力Accerelation－</v>
      </c>
      <c r="AC52" s="74" t="e">
        <f>VLOOKUP($AB52,変換表貼り付け用シート!$A$3:$AN$1133,3,FALSE)</f>
        <v>#N/A</v>
      </c>
      <c r="AD52" s="74" t="e">
        <f t="shared" si="1"/>
        <v>#N/A</v>
      </c>
      <c r="AE52" s="79" t="e">
        <f>IF(VLOOKUP($AB52,変換表貼り付け用シート!$A$3:$AN$3000,12,FALSE)="","",(VLOOKUP($AB52,変換表貼り付け用シート!$A$3:$AN$3000,12,FALSE)))</f>
        <v>#N/A</v>
      </c>
      <c r="AF52" s="80" t="e">
        <f>IF(VLOOKUP($AB52,変換表貼り付け用シート!$A$3:$AN$3000,13,FALSE)="","",(VLOOKUP($AB52,変換表貼り付け用シート!$A$3:$AN$3000,13,FALSE)))</f>
        <v>#N/A</v>
      </c>
      <c r="AG52" s="80" t="e">
        <f>IF(VLOOKUP($AB52,変換表貼り付け用シート!$A$3:$AN$3000,14,FALSE)="","",(VLOOKUP($AB52,変換表貼り付け用シート!$A$3:$AN$3000,14,FALSE)))</f>
        <v>#N/A</v>
      </c>
      <c r="AH52" s="85" t="e">
        <f>IF(VLOOKUP($AB52,変換表貼り付け用シート!$A$3:$AN$3000,15,FALSE)="","",(VLOOKUP($AB52,変換表貼り付け用シート!$A$3:$AN$3000,15,FALSE)))</f>
        <v>#N/A</v>
      </c>
      <c r="AI52" s="79" t="e">
        <f>IF(VLOOKUP($AB52,変換表貼り付け用シート!$A$3:$AN$3000,16,FALSE)="","",(VLOOKUP($AB52,変換表貼り付け用シート!$A$3:$AN$3000,16,FALSE)))</f>
        <v>#N/A</v>
      </c>
      <c r="AJ52" s="81" t="e">
        <f>IF(VLOOKUP($AB52,変換表貼り付け用シート!$A$3:$AN$3000,17,FALSE)="","",(VLOOKUP($AB52,変換表貼り付け用シート!$A$3:$AN$3000,17,FALSE)))</f>
        <v>#N/A</v>
      </c>
      <c r="AK52" s="88" t="e">
        <f>IF(VLOOKUP($AB52,変換表貼り付け用シート!$A$3:$AN$3000,18,FALSE)="","",(VLOOKUP($AB52,変換表貼り付け用シート!$A$3:$AN$3000,18,FALSE)))</f>
        <v>#N/A</v>
      </c>
      <c r="AL52" s="81" t="e">
        <f>IF(VLOOKUP($AB52,変換表貼り付け用シート!$A$3:$AN$3000,19,FALSE)="","",(VLOOKUP($AB52,変換表貼り付け用シート!$A$3:$AN$3000,19,FALSE)))</f>
        <v>#N/A</v>
      </c>
      <c r="AM52" s="75" t="e">
        <f>IF(VLOOKUP($AB52,変換表貼り付け用シート!$A$3:$AN$3000,20,FALSE)="","",(VLOOKUP($AB52,変換表貼り付け用シート!$A$3:$AN$3000,20,FALSE)))</f>
        <v>#N/A</v>
      </c>
    </row>
    <row r="53" spans="2:39" ht="21" customHeight="1" x14ac:dyDescent="0.35">
      <c r="B53" s="39"/>
      <c r="C53" s="117" t="s">
        <v>757</v>
      </c>
      <c r="D53" s="96" t="s">
        <v>251</v>
      </c>
      <c r="E53" s="27" t="s">
        <v>44</v>
      </c>
      <c r="F53" s="37" t="s">
        <v>45</v>
      </c>
      <c r="G53" s="33" t="s">
        <v>206</v>
      </c>
      <c r="H53" s="27" t="s">
        <v>207</v>
      </c>
      <c r="I53" s="27" t="s">
        <v>206</v>
      </c>
      <c r="J53" s="37" t="s">
        <v>207</v>
      </c>
      <c r="K53" s="39" t="s">
        <v>105</v>
      </c>
      <c r="L53" s="28" t="s">
        <v>112</v>
      </c>
      <c r="M53" s="28" t="s">
        <v>48</v>
      </c>
      <c r="N53" s="41" t="s">
        <v>49</v>
      </c>
      <c r="O53" s="39">
        <v>1247</v>
      </c>
      <c r="P53" s="28"/>
      <c r="Q53" s="28"/>
      <c r="R53" s="41"/>
      <c r="S53" s="39"/>
      <c r="T53" s="41"/>
      <c r="U53" s="39"/>
      <c r="V53" s="41"/>
      <c r="W53" s="43" t="s">
        <v>711</v>
      </c>
      <c r="X53" s="33"/>
      <c r="Y53" s="27"/>
      <c r="Z53" s="29"/>
      <c r="AB53" s="73" t="str">
        <f t="shared" si="0"/>
        <v>Test Weight動力Vmax－</v>
      </c>
      <c r="AC53" s="74" t="e">
        <f>VLOOKUP($AB53,変換表貼り付け用シート!$A$3:$AN$1133,3,FALSE)</f>
        <v>#N/A</v>
      </c>
      <c r="AD53" s="74" t="e">
        <f t="shared" si="1"/>
        <v>#N/A</v>
      </c>
      <c r="AE53" s="79" t="e">
        <f>IF(VLOOKUP($AB53,変換表貼り付け用シート!$A$3:$AN$3000,12,FALSE)="","",(VLOOKUP($AB53,変換表貼り付け用シート!$A$3:$AN$3000,12,FALSE)))</f>
        <v>#N/A</v>
      </c>
      <c r="AF53" s="80" t="e">
        <f>IF(VLOOKUP($AB53,変換表貼り付け用シート!$A$3:$AN$3000,13,FALSE)="","",(VLOOKUP($AB53,変換表貼り付け用シート!$A$3:$AN$3000,13,FALSE)))</f>
        <v>#N/A</v>
      </c>
      <c r="AG53" s="80" t="e">
        <f>IF(VLOOKUP($AB53,変換表貼り付け用シート!$A$3:$AN$3000,14,FALSE)="","",(VLOOKUP($AB53,変換表貼り付け用シート!$A$3:$AN$3000,14,FALSE)))</f>
        <v>#N/A</v>
      </c>
      <c r="AH53" s="85" t="e">
        <f>IF(VLOOKUP($AB53,変換表貼り付け用シート!$A$3:$AN$3000,15,FALSE)="","",(VLOOKUP($AB53,変換表貼り付け用シート!$A$3:$AN$3000,15,FALSE)))</f>
        <v>#N/A</v>
      </c>
      <c r="AI53" s="79" t="e">
        <f>IF(VLOOKUP($AB53,変換表貼り付け用シート!$A$3:$AN$3000,16,FALSE)="","",(VLOOKUP($AB53,変換表貼り付け用シート!$A$3:$AN$3000,16,FALSE)))</f>
        <v>#N/A</v>
      </c>
      <c r="AJ53" s="81" t="e">
        <f>IF(VLOOKUP($AB53,変換表貼り付け用シート!$A$3:$AN$3000,17,FALSE)="","",(VLOOKUP($AB53,変換表貼り付け用シート!$A$3:$AN$3000,17,FALSE)))</f>
        <v>#N/A</v>
      </c>
      <c r="AK53" s="88" t="e">
        <f>IF(VLOOKUP($AB53,変換表貼り付け用シート!$A$3:$AN$3000,18,FALSE)="","",(VLOOKUP($AB53,変換表貼り付け用シート!$A$3:$AN$3000,18,FALSE)))</f>
        <v>#N/A</v>
      </c>
      <c r="AL53" s="81" t="e">
        <f>IF(VLOOKUP($AB53,変換表貼り付け用シート!$A$3:$AN$3000,19,FALSE)="","",(VLOOKUP($AB53,変換表貼り付け用シート!$A$3:$AN$3000,19,FALSE)))</f>
        <v>#N/A</v>
      </c>
      <c r="AM53" s="75" t="e">
        <f>IF(VLOOKUP($AB53,変換表貼り付け用シート!$A$3:$AN$3000,20,FALSE)="","",(VLOOKUP($AB53,変換表貼り付け用シート!$A$3:$AN$3000,20,FALSE)))</f>
        <v>#N/A</v>
      </c>
    </row>
    <row r="54" spans="2:39" ht="21" customHeight="1" x14ac:dyDescent="0.35">
      <c r="B54" s="39"/>
      <c r="C54" s="117" t="s">
        <v>758</v>
      </c>
      <c r="D54" s="96" t="s">
        <v>252</v>
      </c>
      <c r="E54" s="27" t="s">
        <v>44</v>
      </c>
      <c r="F54" s="37" t="s">
        <v>45</v>
      </c>
      <c r="G54" s="33" t="s">
        <v>206</v>
      </c>
      <c r="H54" s="27" t="s">
        <v>207</v>
      </c>
      <c r="I54" s="27" t="s">
        <v>206</v>
      </c>
      <c r="J54" s="37" t="s">
        <v>207</v>
      </c>
      <c r="K54" s="39" t="s">
        <v>105</v>
      </c>
      <c r="L54" s="28" t="s">
        <v>113</v>
      </c>
      <c r="M54" s="28" t="s">
        <v>48</v>
      </c>
      <c r="N54" s="41" t="s">
        <v>49</v>
      </c>
      <c r="O54" s="39">
        <v>1380</v>
      </c>
      <c r="P54" s="28"/>
      <c r="Q54" s="28"/>
      <c r="R54" s="41"/>
      <c r="S54" s="39"/>
      <c r="T54" s="41"/>
      <c r="U54" s="39"/>
      <c r="V54" s="41"/>
      <c r="W54" s="43" t="s">
        <v>711</v>
      </c>
      <c r="X54" s="33"/>
      <c r="Y54" s="27"/>
      <c r="Z54" s="29"/>
      <c r="AB54" s="73" t="str">
        <f t="shared" si="0"/>
        <v>Test Weight熱NEMシビアシーン－</v>
      </c>
      <c r="AC54" s="74" t="e">
        <f>VLOOKUP($AB54,変換表貼り付け用シート!$A$3:$AN$1133,3,FALSE)</f>
        <v>#N/A</v>
      </c>
      <c r="AD54" s="74" t="e">
        <f t="shared" si="1"/>
        <v>#N/A</v>
      </c>
      <c r="AE54" s="79" t="e">
        <f>IF(VLOOKUP($AB54,変換表貼り付け用シート!$A$3:$AN$3000,12,FALSE)="","",(VLOOKUP($AB54,変換表貼り付け用シート!$A$3:$AN$3000,12,FALSE)))</f>
        <v>#N/A</v>
      </c>
      <c r="AF54" s="80" t="e">
        <f>IF(VLOOKUP($AB54,変換表貼り付け用シート!$A$3:$AN$3000,13,FALSE)="","",(VLOOKUP($AB54,変換表貼り付け用シート!$A$3:$AN$3000,13,FALSE)))</f>
        <v>#N/A</v>
      </c>
      <c r="AG54" s="80" t="e">
        <f>IF(VLOOKUP($AB54,変換表貼り付け用シート!$A$3:$AN$3000,14,FALSE)="","",(VLOOKUP($AB54,変換表貼り付け用シート!$A$3:$AN$3000,14,FALSE)))</f>
        <v>#N/A</v>
      </c>
      <c r="AH54" s="85" t="e">
        <f>IF(VLOOKUP($AB54,変換表貼り付け用シート!$A$3:$AN$3000,15,FALSE)="","",(VLOOKUP($AB54,変換表貼り付け用シート!$A$3:$AN$3000,15,FALSE)))</f>
        <v>#N/A</v>
      </c>
      <c r="AI54" s="79" t="e">
        <f>IF(VLOOKUP($AB54,変換表貼り付け用シート!$A$3:$AN$3000,16,FALSE)="","",(VLOOKUP($AB54,変換表貼り付け用シート!$A$3:$AN$3000,16,FALSE)))</f>
        <v>#N/A</v>
      </c>
      <c r="AJ54" s="81" t="e">
        <f>IF(VLOOKUP($AB54,変換表貼り付け用シート!$A$3:$AN$3000,17,FALSE)="","",(VLOOKUP($AB54,変換表貼り付け用シート!$A$3:$AN$3000,17,FALSE)))</f>
        <v>#N/A</v>
      </c>
      <c r="AK54" s="88" t="e">
        <f>IF(VLOOKUP($AB54,変換表貼り付け用シート!$A$3:$AN$3000,18,FALSE)="","",(VLOOKUP($AB54,変換表貼り付け用シート!$A$3:$AN$3000,18,FALSE)))</f>
        <v>#N/A</v>
      </c>
      <c r="AL54" s="81" t="e">
        <f>IF(VLOOKUP($AB54,変換表貼り付け用シート!$A$3:$AN$3000,19,FALSE)="","",(VLOOKUP($AB54,変換表貼り付け用シート!$A$3:$AN$3000,19,FALSE)))</f>
        <v>#N/A</v>
      </c>
      <c r="AM54" s="75" t="e">
        <f>IF(VLOOKUP($AB54,変換表貼り付け用シート!$A$3:$AN$3000,20,FALSE)="","",(VLOOKUP($AB54,変換表貼り付け用シート!$A$3:$AN$3000,20,FALSE)))</f>
        <v>#N/A</v>
      </c>
    </row>
    <row r="55" spans="2:39" ht="21" customHeight="1" x14ac:dyDescent="0.35">
      <c r="B55" s="39"/>
      <c r="C55" s="117" t="s">
        <v>759</v>
      </c>
      <c r="D55" s="96" t="s">
        <v>253</v>
      </c>
      <c r="E55" s="27" t="s">
        <v>44</v>
      </c>
      <c r="F55" s="37" t="s">
        <v>45</v>
      </c>
      <c r="G55" s="33" t="s">
        <v>206</v>
      </c>
      <c r="H55" s="27" t="s">
        <v>207</v>
      </c>
      <c r="I55" s="27" t="s">
        <v>206</v>
      </c>
      <c r="J55" s="37" t="s">
        <v>207</v>
      </c>
      <c r="K55" s="39" t="s">
        <v>105</v>
      </c>
      <c r="L55" s="28" t="s">
        <v>114</v>
      </c>
      <c r="M55" s="28" t="s">
        <v>48</v>
      </c>
      <c r="N55" s="41" t="s">
        <v>49</v>
      </c>
      <c r="O55" s="39">
        <v>1380</v>
      </c>
      <c r="P55" s="28"/>
      <c r="Q55" s="28"/>
      <c r="R55" s="41"/>
      <c r="S55" s="39"/>
      <c r="T55" s="41"/>
      <c r="U55" s="39"/>
      <c r="V55" s="41"/>
      <c r="W55" s="43" t="s">
        <v>711</v>
      </c>
      <c r="X55" s="33"/>
      <c r="Y55" s="27"/>
      <c r="Z55" s="29"/>
      <c r="AB55" s="73" t="str">
        <f t="shared" si="0"/>
        <v>Test Weight熱加減速繰り返し走行－</v>
      </c>
      <c r="AC55" s="74" t="e">
        <f>VLOOKUP($AB55,変換表貼り付け用シート!$A$3:$AN$1133,3,FALSE)</f>
        <v>#N/A</v>
      </c>
      <c r="AD55" s="74" t="e">
        <f t="shared" si="1"/>
        <v>#N/A</v>
      </c>
      <c r="AE55" s="79" t="e">
        <f>IF(VLOOKUP($AB55,変換表貼り付け用シート!$A$3:$AN$3000,12,FALSE)="","",(VLOOKUP($AB55,変換表貼り付け用シート!$A$3:$AN$3000,12,FALSE)))</f>
        <v>#N/A</v>
      </c>
      <c r="AF55" s="80" t="e">
        <f>IF(VLOOKUP($AB55,変換表貼り付け用シート!$A$3:$AN$3000,13,FALSE)="","",(VLOOKUP($AB55,変換表貼り付け用シート!$A$3:$AN$3000,13,FALSE)))</f>
        <v>#N/A</v>
      </c>
      <c r="AG55" s="80" t="e">
        <f>IF(VLOOKUP($AB55,変換表貼り付け用シート!$A$3:$AN$3000,14,FALSE)="","",(VLOOKUP($AB55,変換表貼り付け用シート!$A$3:$AN$3000,14,FALSE)))</f>
        <v>#N/A</v>
      </c>
      <c r="AH55" s="85" t="e">
        <f>IF(VLOOKUP($AB55,変換表貼り付け用シート!$A$3:$AN$3000,15,FALSE)="","",(VLOOKUP($AB55,変換表貼り付け用シート!$A$3:$AN$3000,15,FALSE)))</f>
        <v>#N/A</v>
      </c>
      <c r="AI55" s="79" t="e">
        <f>IF(VLOOKUP($AB55,変換表貼り付け用シート!$A$3:$AN$3000,16,FALSE)="","",(VLOOKUP($AB55,変換表貼り付け用シート!$A$3:$AN$3000,16,FALSE)))</f>
        <v>#N/A</v>
      </c>
      <c r="AJ55" s="81" t="e">
        <f>IF(VLOOKUP($AB55,変換表貼り付け用シート!$A$3:$AN$3000,17,FALSE)="","",(VLOOKUP($AB55,変換表貼り付け用シート!$A$3:$AN$3000,17,FALSE)))</f>
        <v>#N/A</v>
      </c>
      <c r="AK55" s="88" t="e">
        <f>IF(VLOOKUP($AB55,変換表貼り付け用シート!$A$3:$AN$3000,18,FALSE)="","",(VLOOKUP($AB55,変換表貼り付け用シート!$A$3:$AN$3000,18,FALSE)))</f>
        <v>#N/A</v>
      </c>
      <c r="AL55" s="81" t="e">
        <f>IF(VLOOKUP($AB55,変換表貼り付け用シート!$A$3:$AN$3000,19,FALSE)="","",(VLOOKUP($AB55,変換表貼り付け用シート!$A$3:$AN$3000,19,FALSE)))</f>
        <v>#N/A</v>
      </c>
      <c r="AM55" s="75" t="e">
        <f>IF(VLOOKUP($AB55,変換表貼り付け用シート!$A$3:$AN$3000,20,FALSE)="","",(VLOOKUP($AB55,変換表貼り付け用シート!$A$3:$AN$3000,20,FALSE)))</f>
        <v>#N/A</v>
      </c>
    </row>
    <row r="56" spans="2:39" ht="21" customHeight="1" x14ac:dyDescent="0.35">
      <c r="B56" s="39"/>
      <c r="C56" s="117" t="s">
        <v>760</v>
      </c>
      <c r="D56" s="96" t="s">
        <v>254</v>
      </c>
      <c r="E56" s="27" t="s">
        <v>44</v>
      </c>
      <c r="F56" s="37" t="s">
        <v>45</v>
      </c>
      <c r="G56" s="33" t="s">
        <v>206</v>
      </c>
      <c r="H56" s="27" t="s">
        <v>207</v>
      </c>
      <c r="I56" s="27" t="s">
        <v>206</v>
      </c>
      <c r="J56" s="37" t="s">
        <v>207</v>
      </c>
      <c r="K56" s="39" t="s">
        <v>105</v>
      </c>
      <c r="L56" s="28" t="s">
        <v>115</v>
      </c>
      <c r="M56" s="28" t="s">
        <v>48</v>
      </c>
      <c r="N56" s="41" t="s">
        <v>49</v>
      </c>
      <c r="O56" s="39" t="s">
        <v>116</v>
      </c>
      <c r="P56" s="28"/>
      <c r="Q56" s="28"/>
      <c r="R56" s="41"/>
      <c r="S56" s="39"/>
      <c r="T56" s="41"/>
      <c r="U56" s="39"/>
      <c r="V56" s="41"/>
      <c r="W56" s="43" t="s">
        <v>711</v>
      </c>
      <c r="X56" s="33"/>
      <c r="Y56" s="27"/>
      <c r="Z56" s="29"/>
      <c r="AB56" s="73" t="str">
        <f t="shared" si="0"/>
        <v>Test Weight熱Towing－</v>
      </c>
      <c r="AC56" s="74" t="e">
        <f>VLOOKUP($AB56,変換表貼り付け用シート!$A$3:$AN$1133,3,FALSE)</f>
        <v>#N/A</v>
      </c>
      <c r="AD56" s="74" t="e">
        <f t="shared" si="1"/>
        <v>#N/A</v>
      </c>
      <c r="AE56" s="79" t="e">
        <f>IF(VLOOKUP($AB56,変換表貼り付け用シート!$A$3:$AN$3000,12,FALSE)="","",(VLOOKUP($AB56,変換表貼り付け用シート!$A$3:$AN$3000,12,FALSE)))</f>
        <v>#N/A</v>
      </c>
      <c r="AF56" s="80" t="e">
        <f>IF(VLOOKUP($AB56,変換表貼り付け用シート!$A$3:$AN$3000,13,FALSE)="","",(VLOOKUP($AB56,変換表貼り付け用シート!$A$3:$AN$3000,13,FALSE)))</f>
        <v>#N/A</v>
      </c>
      <c r="AG56" s="80" t="e">
        <f>IF(VLOOKUP($AB56,変換表貼り付け用シート!$A$3:$AN$3000,14,FALSE)="","",(VLOOKUP($AB56,変換表貼り付け用シート!$A$3:$AN$3000,14,FALSE)))</f>
        <v>#N/A</v>
      </c>
      <c r="AH56" s="85" t="e">
        <f>IF(VLOOKUP($AB56,変換表貼り付け用シート!$A$3:$AN$3000,15,FALSE)="","",(VLOOKUP($AB56,変換表貼り付け用シート!$A$3:$AN$3000,15,FALSE)))</f>
        <v>#N/A</v>
      </c>
      <c r="AI56" s="79" t="e">
        <f>IF(VLOOKUP($AB56,変換表貼り付け用シート!$A$3:$AN$3000,16,FALSE)="","",(VLOOKUP($AB56,変換表貼り付け用シート!$A$3:$AN$3000,16,FALSE)))</f>
        <v>#N/A</v>
      </c>
      <c r="AJ56" s="81" t="e">
        <f>IF(VLOOKUP($AB56,変換表貼り付け用シート!$A$3:$AN$3000,17,FALSE)="","",(VLOOKUP($AB56,変換表貼り付け用シート!$A$3:$AN$3000,17,FALSE)))</f>
        <v>#N/A</v>
      </c>
      <c r="AK56" s="88" t="e">
        <f>IF(VLOOKUP($AB56,変換表貼り付け用シート!$A$3:$AN$3000,18,FALSE)="","",(VLOOKUP($AB56,変換表貼り付け用シート!$A$3:$AN$3000,18,FALSE)))</f>
        <v>#N/A</v>
      </c>
      <c r="AL56" s="81" t="e">
        <f>IF(VLOOKUP($AB56,変換表貼り付け用シート!$A$3:$AN$3000,19,FALSE)="","",(VLOOKUP($AB56,変換表貼り付け用シート!$A$3:$AN$3000,19,FALSE)))</f>
        <v>#N/A</v>
      </c>
      <c r="AM56" s="75" t="e">
        <f>IF(VLOOKUP($AB56,変換表貼り付け用シート!$A$3:$AN$3000,20,FALSE)="","",(VLOOKUP($AB56,変換表貼り付け用シート!$A$3:$AN$3000,20,FALSE)))</f>
        <v>#N/A</v>
      </c>
    </row>
    <row r="57" spans="2:39" ht="21" customHeight="1" x14ac:dyDescent="0.35">
      <c r="B57" s="39"/>
      <c r="C57" s="117" t="s">
        <v>761</v>
      </c>
      <c r="D57" s="96" t="s">
        <v>255</v>
      </c>
      <c r="E57" s="27" t="s">
        <v>44</v>
      </c>
      <c r="F57" s="37" t="s">
        <v>45</v>
      </c>
      <c r="G57" s="33" t="s">
        <v>206</v>
      </c>
      <c r="H57" s="27" t="s">
        <v>207</v>
      </c>
      <c r="I57" s="27" t="s">
        <v>206</v>
      </c>
      <c r="J57" s="37" t="s">
        <v>207</v>
      </c>
      <c r="K57" s="39" t="s">
        <v>105</v>
      </c>
      <c r="L57" s="28" t="s">
        <v>117</v>
      </c>
      <c r="M57" s="28" t="s">
        <v>48</v>
      </c>
      <c r="N57" s="41" t="s">
        <v>49</v>
      </c>
      <c r="O57" s="39">
        <v>1380</v>
      </c>
      <c r="P57" s="28"/>
      <c r="Q57" s="28"/>
      <c r="R57" s="41"/>
      <c r="S57" s="39"/>
      <c r="T57" s="41"/>
      <c r="U57" s="39"/>
      <c r="V57" s="41"/>
      <c r="W57" s="43" t="s">
        <v>711</v>
      </c>
      <c r="X57" s="33"/>
      <c r="Y57" s="27"/>
      <c r="Z57" s="29"/>
      <c r="AB57" s="73" t="str">
        <f t="shared" si="0"/>
        <v>Test Weight熱低温性能－</v>
      </c>
      <c r="AC57" s="74" t="e">
        <f>VLOOKUP($AB57,変換表貼り付け用シート!$A$3:$AN$1133,3,FALSE)</f>
        <v>#N/A</v>
      </c>
      <c r="AD57" s="74" t="e">
        <f t="shared" si="1"/>
        <v>#N/A</v>
      </c>
      <c r="AE57" s="79" t="e">
        <f>IF(VLOOKUP($AB57,変換表貼り付け用シート!$A$3:$AN$3000,12,FALSE)="","",(VLOOKUP($AB57,変換表貼り付け用シート!$A$3:$AN$3000,12,FALSE)))</f>
        <v>#N/A</v>
      </c>
      <c r="AF57" s="80" t="e">
        <f>IF(VLOOKUP($AB57,変換表貼り付け用シート!$A$3:$AN$3000,13,FALSE)="","",(VLOOKUP($AB57,変換表貼り付け用シート!$A$3:$AN$3000,13,FALSE)))</f>
        <v>#N/A</v>
      </c>
      <c r="AG57" s="80" t="e">
        <f>IF(VLOOKUP($AB57,変換表貼り付け用シート!$A$3:$AN$3000,14,FALSE)="","",(VLOOKUP($AB57,変換表貼り付け用シート!$A$3:$AN$3000,14,FALSE)))</f>
        <v>#N/A</v>
      </c>
      <c r="AH57" s="85" t="e">
        <f>IF(VLOOKUP($AB57,変換表貼り付け用シート!$A$3:$AN$3000,15,FALSE)="","",(VLOOKUP($AB57,変換表貼り付け用シート!$A$3:$AN$3000,15,FALSE)))</f>
        <v>#N/A</v>
      </c>
      <c r="AI57" s="79" t="e">
        <f>IF(VLOOKUP($AB57,変換表貼り付け用シート!$A$3:$AN$3000,16,FALSE)="","",(VLOOKUP($AB57,変換表貼り付け用シート!$A$3:$AN$3000,16,FALSE)))</f>
        <v>#N/A</v>
      </c>
      <c r="AJ57" s="81" t="e">
        <f>IF(VLOOKUP($AB57,変換表貼り付け用シート!$A$3:$AN$3000,17,FALSE)="","",(VLOOKUP($AB57,変換表貼り付け用シート!$A$3:$AN$3000,17,FALSE)))</f>
        <v>#N/A</v>
      </c>
      <c r="AK57" s="88" t="e">
        <f>IF(VLOOKUP($AB57,変換表貼り付け用シート!$A$3:$AN$3000,18,FALSE)="","",(VLOOKUP($AB57,変換表貼り付け用シート!$A$3:$AN$3000,18,FALSE)))</f>
        <v>#N/A</v>
      </c>
      <c r="AL57" s="81" t="e">
        <f>IF(VLOOKUP($AB57,変換表貼り付け用シート!$A$3:$AN$3000,19,FALSE)="","",(VLOOKUP($AB57,変換表貼り付け用シート!$A$3:$AN$3000,19,FALSE)))</f>
        <v>#N/A</v>
      </c>
      <c r="AM57" s="75" t="e">
        <f>IF(VLOOKUP($AB57,変換表貼り付け用シート!$A$3:$AN$3000,20,FALSE)="","",(VLOOKUP($AB57,変換表貼り付け用シート!$A$3:$AN$3000,20,FALSE)))</f>
        <v>#N/A</v>
      </c>
    </row>
    <row r="58" spans="2:39" ht="21" customHeight="1" x14ac:dyDescent="0.35">
      <c r="B58" s="39"/>
      <c r="C58" s="117" t="s">
        <v>762</v>
      </c>
      <c r="D58" s="96" t="s">
        <v>256</v>
      </c>
      <c r="E58" s="27" t="s">
        <v>44</v>
      </c>
      <c r="F58" s="37" t="s">
        <v>45</v>
      </c>
      <c r="G58" s="33" t="s">
        <v>206</v>
      </c>
      <c r="H58" s="27" t="s">
        <v>207</v>
      </c>
      <c r="I58" s="27" t="s">
        <v>206</v>
      </c>
      <c r="J58" s="37" t="s">
        <v>207</v>
      </c>
      <c r="K58" s="39" t="s">
        <v>118</v>
      </c>
      <c r="L58" s="28" t="s">
        <v>119</v>
      </c>
      <c r="M58" s="28" t="s">
        <v>48</v>
      </c>
      <c r="N58" s="41" t="s">
        <v>120</v>
      </c>
      <c r="O58" s="39">
        <v>83.536000000000001</v>
      </c>
      <c r="P58" s="28"/>
      <c r="Q58" s="28"/>
      <c r="R58" s="41"/>
      <c r="S58" s="39"/>
      <c r="T58" s="41"/>
      <c r="U58" s="39"/>
      <c r="V58" s="41"/>
      <c r="W58" s="43" t="s">
        <v>711</v>
      </c>
      <c r="X58" s="33"/>
      <c r="Y58" s="27"/>
      <c r="Z58" s="29"/>
      <c r="AB58" s="73" t="str">
        <f t="shared" si="0"/>
        <v>走行抵抗届出(Target Lset式) A0－</v>
      </c>
      <c r="AC58" s="74" t="e">
        <f>VLOOKUP($AB58,変換表貼り付け用シート!$A$3:$AN$1133,3,FALSE)</f>
        <v>#N/A</v>
      </c>
      <c r="AD58" s="74" t="e">
        <f t="shared" si="1"/>
        <v>#N/A</v>
      </c>
      <c r="AE58" s="79" t="e">
        <f>IF(VLOOKUP($AB58,変換表貼り付け用シート!$A$3:$AN$3000,12,FALSE)="","",(VLOOKUP($AB58,変換表貼り付け用シート!$A$3:$AN$3000,12,FALSE)))</f>
        <v>#N/A</v>
      </c>
      <c r="AF58" s="80" t="e">
        <f>IF(VLOOKUP($AB58,変換表貼り付け用シート!$A$3:$AN$3000,13,FALSE)="","",(VLOOKUP($AB58,変換表貼り付け用シート!$A$3:$AN$3000,13,FALSE)))</f>
        <v>#N/A</v>
      </c>
      <c r="AG58" s="80" t="e">
        <f>IF(VLOOKUP($AB58,変換表貼り付け用シート!$A$3:$AN$3000,14,FALSE)="","",(VLOOKUP($AB58,変換表貼り付け用シート!$A$3:$AN$3000,14,FALSE)))</f>
        <v>#N/A</v>
      </c>
      <c r="AH58" s="85" t="e">
        <f>IF(VLOOKUP($AB58,変換表貼り付け用シート!$A$3:$AN$3000,15,FALSE)="","",(VLOOKUP($AB58,変換表貼り付け用シート!$A$3:$AN$3000,15,FALSE)))</f>
        <v>#N/A</v>
      </c>
      <c r="AI58" s="79" t="e">
        <f>IF(VLOOKUP($AB58,変換表貼り付け用シート!$A$3:$AN$3000,16,FALSE)="","",(VLOOKUP($AB58,変換表貼り付け用シート!$A$3:$AN$3000,16,FALSE)))</f>
        <v>#N/A</v>
      </c>
      <c r="AJ58" s="81" t="e">
        <f>IF(VLOOKUP($AB58,変換表貼り付け用シート!$A$3:$AN$3000,17,FALSE)="","",(VLOOKUP($AB58,変換表貼り付け用シート!$A$3:$AN$3000,17,FALSE)))</f>
        <v>#N/A</v>
      </c>
      <c r="AK58" s="88" t="e">
        <f>IF(VLOOKUP($AB58,変換表貼り付け用シート!$A$3:$AN$3000,18,FALSE)="","",(VLOOKUP($AB58,変換表貼り付け用シート!$A$3:$AN$3000,18,FALSE)))</f>
        <v>#N/A</v>
      </c>
      <c r="AL58" s="81" t="e">
        <f>IF(VLOOKUP($AB58,変換表貼り付け用シート!$A$3:$AN$3000,19,FALSE)="","",(VLOOKUP($AB58,変換表貼り付け用シート!$A$3:$AN$3000,19,FALSE)))</f>
        <v>#N/A</v>
      </c>
      <c r="AM58" s="75" t="e">
        <f>IF(VLOOKUP($AB58,変換表貼り付け用シート!$A$3:$AN$3000,20,FALSE)="","",(VLOOKUP($AB58,変換表貼り付け用シート!$A$3:$AN$3000,20,FALSE)))</f>
        <v>#N/A</v>
      </c>
    </row>
    <row r="59" spans="2:39" ht="21" customHeight="1" x14ac:dyDescent="0.35">
      <c r="B59" s="39"/>
      <c r="C59" s="117" t="s">
        <v>763</v>
      </c>
      <c r="D59" s="96" t="s">
        <v>257</v>
      </c>
      <c r="E59" s="27" t="s">
        <v>44</v>
      </c>
      <c r="F59" s="37" t="s">
        <v>45</v>
      </c>
      <c r="G59" s="33" t="s">
        <v>206</v>
      </c>
      <c r="H59" s="27" t="s">
        <v>207</v>
      </c>
      <c r="I59" s="27" t="s">
        <v>206</v>
      </c>
      <c r="J59" s="37" t="s">
        <v>207</v>
      </c>
      <c r="K59" s="39" t="s">
        <v>118</v>
      </c>
      <c r="L59" s="28" t="s">
        <v>121</v>
      </c>
      <c r="M59" s="28" t="s">
        <v>48</v>
      </c>
      <c r="N59" s="41" t="s">
        <v>122</v>
      </c>
      <c r="O59" s="39">
        <v>-0.13070000000000001</v>
      </c>
      <c r="P59" s="28"/>
      <c r="Q59" s="28"/>
      <c r="R59" s="41"/>
      <c r="S59" s="39"/>
      <c r="T59" s="41"/>
      <c r="U59" s="39"/>
      <c r="V59" s="41"/>
      <c r="W59" s="43" t="s">
        <v>711</v>
      </c>
      <c r="X59" s="33"/>
      <c r="Y59" s="27"/>
      <c r="Z59" s="29"/>
      <c r="AB59" s="73" t="str">
        <f t="shared" si="0"/>
        <v>走行抵抗届出(Target Lset式) A1－</v>
      </c>
      <c r="AC59" s="74" t="e">
        <f>VLOOKUP($AB59,変換表貼り付け用シート!$A$3:$AN$1133,3,FALSE)</f>
        <v>#N/A</v>
      </c>
      <c r="AD59" s="74" t="e">
        <f t="shared" si="1"/>
        <v>#N/A</v>
      </c>
      <c r="AE59" s="79" t="e">
        <f>IF(VLOOKUP($AB59,変換表貼り付け用シート!$A$3:$AN$3000,12,FALSE)="","",(VLOOKUP($AB59,変換表貼り付け用シート!$A$3:$AN$3000,12,FALSE)))</f>
        <v>#N/A</v>
      </c>
      <c r="AF59" s="80" t="e">
        <f>IF(VLOOKUP($AB59,変換表貼り付け用シート!$A$3:$AN$3000,13,FALSE)="","",(VLOOKUP($AB59,変換表貼り付け用シート!$A$3:$AN$3000,13,FALSE)))</f>
        <v>#N/A</v>
      </c>
      <c r="AG59" s="80" t="e">
        <f>IF(VLOOKUP($AB59,変換表貼り付け用シート!$A$3:$AN$3000,14,FALSE)="","",(VLOOKUP($AB59,変換表貼り付け用シート!$A$3:$AN$3000,14,FALSE)))</f>
        <v>#N/A</v>
      </c>
      <c r="AH59" s="85" t="e">
        <f>IF(VLOOKUP($AB59,変換表貼り付け用シート!$A$3:$AN$3000,15,FALSE)="","",(VLOOKUP($AB59,変換表貼り付け用シート!$A$3:$AN$3000,15,FALSE)))</f>
        <v>#N/A</v>
      </c>
      <c r="AI59" s="79" t="e">
        <f>IF(VLOOKUP($AB59,変換表貼り付け用シート!$A$3:$AN$3000,16,FALSE)="","",(VLOOKUP($AB59,変換表貼り付け用シート!$A$3:$AN$3000,16,FALSE)))</f>
        <v>#N/A</v>
      </c>
      <c r="AJ59" s="81" t="e">
        <f>IF(VLOOKUP($AB59,変換表貼り付け用シート!$A$3:$AN$3000,17,FALSE)="","",(VLOOKUP($AB59,変換表貼り付け用シート!$A$3:$AN$3000,17,FALSE)))</f>
        <v>#N/A</v>
      </c>
      <c r="AK59" s="88" t="e">
        <f>IF(VLOOKUP($AB59,変換表貼り付け用シート!$A$3:$AN$3000,18,FALSE)="","",(VLOOKUP($AB59,変換表貼り付け用シート!$A$3:$AN$3000,18,FALSE)))</f>
        <v>#N/A</v>
      </c>
      <c r="AL59" s="81" t="e">
        <f>IF(VLOOKUP($AB59,変換表貼り付け用シート!$A$3:$AN$3000,19,FALSE)="","",(VLOOKUP($AB59,変換表貼り付け用シート!$A$3:$AN$3000,19,FALSE)))</f>
        <v>#N/A</v>
      </c>
      <c r="AM59" s="75" t="e">
        <f>IF(VLOOKUP($AB59,変換表貼り付け用シート!$A$3:$AN$3000,20,FALSE)="","",(VLOOKUP($AB59,変換表貼り付け用シート!$A$3:$AN$3000,20,FALSE)))</f>
        <v>#N/A</v>
      </c>
    </row>
    <row r="60" spans="2:39" ht="21" customHeight="1" x14ac:dyDescent="0.35">
      <c r="B60" s="39"/>
      <c r="C60" s="117" t="s">
        <v>764</v>
      </c>
      <c r="D60" s="96" t="s">
        <v>258</v>
      </c>
      <c r="E60" s="27" t="s">
        <v>44</v>
      </c>
      <c r="F60" s="37" t="s">
        <v>45</v>
      </c>
      <c r="G60" s="33" t="s">
        <v>206</v>
      </c>
      <c r="H60" s="27" t="s">
        <v>207</v>
      </c>
      <c r="I60" s="27" t="s">
        <v>206</v>
      </c>
      <c r="J60" s="37" t="s">
        <v>207</v>
      </c>
      <c r="K60" s="39" t="s">
        <v>118</v>
      </c>
      <c r="L60" s="28" t="s">
        <v>123</v>
      </c>
      <c r="M60" s="28" t="s">
        <v>48</v>
      </c>
      <c r="N60" s="41" t="s">
        <v>124</v>
      </c>
      <c r="O60" s="39">
        <v>4.3650000000000001E-2</v>
      </c>
      <c r="P60" s="28"/>
      <c r="Q60" s="28"/>
      <c r="R60" s="41"/>
      <c r="S60" s="39"/>
      <c r="T60" s="41"/>
      <c r="U60" s="39"/>
      <c r="V60" s="41"/>
      <c r="W60" s="43" t="s">
        <v>711</v>
      </c>
      <c r="X60" s="33"/>
      <c r="Y60" s="27"/>
      <c r="Z60" s="29"/>
      <c r="AB60" s="73" t="str">
        <f t="shared" si="0"/>
        <v>走行抵抗届出(Target Lset式) A2－</v>
      </c>
      <c r="AC60" s="74" t="e">
        <f>VLOOKUP($AB60,変換表貼り付け用シート!$A$3:$AN$1133,3,FALSE)</f>
        <v>#N/A</v>
      </c>
      <c r="AD60" s="74" t="e">
        <f t="shared" si="1"/>
        <v>#N/A</v>
      </c>
      <c r="AE60" s="79" t="e">
        <f>IF(VLOOKUP($AB60,変換表貼り付け用シート!$A$3:$AN$3000,12,FALSE)="","",(VLOOKUP($AB60,変換表貼り付け用シート!$A$3:$AN$3000,12,FALSE)))</f>
        <v>#N/A</v>
      </c>
      <c r="AF60" s="80" t="e">
        <f>IF(VLOOKUP($AB60,変換表貼り付け用シート!$A$3:$AN$3000,13,FALSE)="","",(VLOOKUP($AB60,変換表貼り付け用シート!$A$3:$AN$3000,13,FALSE)))</f>
        <v>#N/A</v>
      </c>
      <c r="AG60" s="80" t="e">
        <f>IF(VLOOKUP($AB60,変換表貼り付け用シート!$A$3:$AN$3000,14,FALSE)="","",(VLOOKUP($AB60,変換表貼り付け用シート!$A$3:$AN$3000,14,FALSE)))</f>
        <v>#N/A</v>
      </c>
      <c r="AH60" s="85" t="e">
        <f>IF(VLOOKUP($AB60,変換表貼り付け用シート!$A$3:$AN$3000,15,FALSE)="","",(VLOOKUP($AB60,変換表貼り付け用シート!$A$3:$AN$3000,15,FALSE)))</f>
        <v>#N/A</v>
      </c>
      <c r="AI60" s="79" t="e">
        <f>IF(VLOOKUP($AB60,変換表貼り付け用シート!$A$3:$AN$3000,16,FALSE)="","",(VLOOKUP($AB60,変換表貼り付け用シート!$A$3:$AN$3000,16,FALSE)))</f>
        <v>#N/A</v>
      </c>
      <c r="AJ60" s="81" t="e">
        <f>IF(VLOOKUP($AB60,変換表貼り付け用シート!$A$3:$AN$3000,17,FALSE)="","",(VLOOKUP($AB60,変換表貼り付け用シート!$A$3:$AN$3000,17,FALSE)))</f>
        <v>#N/A</v>
      </c>
      <c r="AK60" s="88" t="e">
        <f>IF(VLOOKUP($AB60,変換表貼り付け用シート!$A$3:$AN$3000,18,FALSE)="","",(VLOOKUP($AB60,変換表貼り付け用シート!$A$3:$AN$3000,18,FALSE)))</f>
        <v>#N/A</v>
      </c>
      <c r="AL60" s="81" t="e">
        <f>IF(VLOOKUP($AB60,変換表貼り付け用シート!$A$3:$AN$3000,19,FALSE)="","",(VLOOKUP($AB60,変換表貼り付け用シート!$A$3:$AN$3000,19,FALSE)))</f>
        <v>#N/A</v>
      </c>
      <c r="AM60" s="75" t="e">
        <f>IF(VLOOKUP($AB60,変換表貼り付け用シート!$A$3:$AN$3000,20,FALSE)="","",(VLOOKUP($AB60,変換表貼り付け用シート!$A$3:$AN$3000,20,FALSE)))</f>
        <v>#N/A</v>
      </c>
    </row>
    <row r="61" spans="2:39" ht="21" customHeight="1" x14ac:dyDescent="0.35">
      <c r="B61" s="39"/>
      <c r="C61" s="117" t="s">
        <v>765</v>
      </c>
      <c r="D61" s="96" t="s">
        <v>259</v>
      </c>
      <c r="E61" s="27" t="s">
        <v>44</v>
      </c>
      <c r="F61" s="37" t="s">
        <v>45</v>
      </c>
      <c r="G61" s="33" t="s">
        <v>206</v>
      </c>
      <c r="H61" s="27" t="s">
        <v>207</v>
      </c>
      <c r="I61" s="27" t="s">
        <v>206</v>
      </c>
      <c r="J61" s="37" t="s">
        <v>207</v>
      </c>
      <c r="K61" s="39" t="s">
        <v>118</v>
      </c>
      <c r="L61" s="28" t="s">
        <v>125</v>
      </c>
      <c r="M61" s="28" t="s">
        <v>48</v>
      </c>
      <c r="N61" s="41" t="s">
        <v>126</v>
      </c>
      <c r="O61" s="39">
        <v>1237</v>
      </c>
      <c r="P61" s="28"/>
      <c r="Q61" s="28"/>
      <c r="R61" s="41"/>
      <c r="S61" s="39"/>
      <c r="T61" s="41"/>
      <c r="U61" s="39"/>
      <c r="V61" s="41"/>
      <c r="W61" s="43" t="s">
        <v>711</v>
      </c>
      <c r="X61" s="33"/>
      <c r="Y61" s="27"/>
      <c r="Z61" s="29"/>
      <c r="AB61" s="73" t="str">
        <f t="shared" si="0"/>
        <v>走行抵抗届出(Target Lset式) IP－</v>
      </c>
      <c r="AC61" s="74" t="e">
        <f>VLOOKUP($AB61,変換表貼り付け用シート!$A$3:$AN$1133,3,FALSE)</f>
        <v>#N/A</v>
      </c>
      <c r="AD61" s="74" t="e">
        <f t="shared" si="1"/>
        <v>#N/A</v>
      </c>
      <c r="AE61" s="79" t="e">
        <f>IF(VLOOKUP($AB61,変換表貼り付け用シート!$A$3:$AN$3000,12,FALSE)="","",(VLOOKUP($AB61,変換表貼り付け用シート!$A$3:$AN$3000,12,FALSE)))</f>
        <v>#N/A</v>
      </c>
      <c r="AF61" s="80" t="e">
        <f>IF(VLOOKUP($AB61,変換表貼り付け用シート!$A$3:$AN$3000,13,FALSE)="","",(VLOOKUP($AB61,変換表貼り付け用シート!$A$3:$AN$3000,13,FALSE)))</f>
        <v>#N/A</v>
      </c>
      <c r="AG61" s="80" t="e">
        <f>IF(VLOOKUP($AB61,変換表貼り付け用シート!$A$3:$AN$3000,14,FALSE)="","",(VLOOKUP($AB61,変換表貼り付け用シート!$A$3:$AN$3000,14,FALSE)))</f>
        <v>#N/A</v>
      </c>
      <c r="AH61" s="85" t="e">
        <f>IF(VLOOKUP($AB61,変換表貼り付け用シート!$A$3:$AN$3000,15,FALSE)="","",(VLOOKUP($AB61,変換表貼り付け用シート!$A$3:$AN$3000,15,FALSE)))</f>
        <v>#N/A</v>
      </c>
      <c r="AI61" s="79" t="e">
        <f>IF(VLOOKUP($AB61,変換表貼り付け用シート!$A$3:$AN$3000,16,FALSE)="","",(VLOOKUP($AB61,変換表貼り付け用シート!$A$3:$AN$3000,16,FALSE)))</f>
        <v>#N/A</v>
      </c>
      <c r="AJ61" s="81" t="e">
        <f>IF(VLOOKUP($AB61,変換表貼り付け用シート!$A$3:$AN$3000,17,FALSE)="","",(VLOOKUP($AB61,変換表貼り付け用シート!$A$3:$AN$3000,17,FALSE)))</f>
        <v>#N/A</v>
      </c>
      <c r="AK61" s="88" t="e">
        <f>IF(VLOOKUP($AB61,変換表貼り付け用シート!$A$3:$AN$3000,18,FALSE)="","",(VLOOKUP($AB61,変換表貼り付け用シート!$A$3:$AN$3000,18,FALSE)))</f>
        <v>#N/A</v>
      </c>
      <c r="AL61" s="81" t="e">
        <f>IF(VLOOKUP($AB61,変換表貼り付け用シート!$A$3:$AN$3000,19,FALSE)="","",(VLOOKUP($AB61,変換表貼り付け用シート!$A$3:$AN$3000,19,FALSE)))</f>
        <v>#N/A</v>
      </c>
      <c r="AM61" s="75" t="e">
        <f>IF(VLOOKUP($AB61,変換表貼り付け用シート!$A$3:$AN$3000,20,FALSE)="","",(VLOOKUP($AB61,変換表貼り付け用シート!$A$3:$AN$3000,20,FALSE)))</f>
        <v>#N/A</v>
      </c>
    </row>
    <row r="62" spans="2:39" ht="21" customHeight="1" x14ac:dyDescent="0.35">
      <c r="B62" s="39"/>
      <c r="C62" s="117" t="s">
        <v>766</v>
      </c>
      <c r="D62" s="96" t="s">
        <v>260</v>
      </c>
      <c r="E62" s="27" t="s">
        <v>44</v>
      </c>
      <c r="F62" s="37" t="s">
        <v>45</v>
      </c>
      <c r="G62" s="33" t="s">
        <v>206</v>
      </c>
      <c r="H62" s="27" t="s">
        <v>207</v>
      </c>
      <c r="I62" s="27" t="s">
        <v>206</v>
      </c>
      <c r="J62" s="37" t="s">
        <v>207</v>
      </c>
      <c r="K62" s="39" t="s">
        <v>127</v>
      </c>
      <c r="L62" s="28" t="s">
        <v>128</v>
      </c>
      <c r="M62" s="28" t="s">
        <v>48</v>
      </c>
      <c r="N62" s="41" t="s">
        <v>120</v>
      </c>
      <c r="O62" s="39">
        <v>83.536000000000001</v>
      </c>
      <c r="P62" s="28"/>
      <c r="Q62" s="28"/>
      <c r="R62" s="41"/>
      <c r="S62" s="39"/>
      <c r="T62" s="41"/>
      <c r="U62" s="39"/>
      <c r="V62" s="41"/>
      <c r="W62" s="43" t="s">
        <v>711</v>
      </c>
      <c r="X62" s="33"/>
      <c r="Y62" s="27"/>
      <c r="Z62" s="29"/>
      <c r="AB62" s="73" t="str">
        <f t="shared" si="0"/>
        <v>性能検討用走行抵抗式(ePT連れ回り排除)航続距離(C/D車載状態)A0－</v>
      </c>
      <c r="AC62" s="74" t="e">
        <f>VLOOKUP($AB62,変換表貼り付け用シート!$A$3:$AN$1133,3,FALSE)</f>
        <v>#N/A</v>
      </c>
      <c r="AD62" s="74" t="e">
        <f t="shared" si="1"/>
        <v>#N/A</v>
      </c>
      <c r="AE62" s="79" t="e">
        <f>IF(VLOOKUP($AB62,変換表貼り付け用シート!$A$3:$AN$3000,12,FALSE)="","",(VLOOKUP($AB62,変換表貼り付け用シート!$A$3:$AN$3000,12,FALSE)))</f>
        <v>#N/A</v>
      </c>
      <c r="AF62" s="80" t="e">
        <f>IF(VLOOKUP($AB62,変換表貼り付け用シート!$A$3:$AN$3000,13,FALSE)="","",(VLOOKUP($AB62,変換表貼り付け用シート!$A$3:$AN$3000,13,FALSE)))</f>
        <v>#N/A</v>
      </c>
      <c r="AG62" s="80" t="e">
        <f>IF(VLOOKUP($AB62,変換表貼り付け用シート!$A$3:$AN$3000,14,FALSE)="","",(VLOOKUP($AB62,変換表貼り付け用シート!$A$3:$AN$3000,14,FALSE)))</f>
        <v>#N/A</v>
      </c>
      <c r="AH62" s="85" t="e">
        <f>IF(VLOOKUP($AB62,変換表貼り付け用シート!$A$3:$AN$3000,15,FALSE)="","",(VLOOKUP($AB62,変換表貼り付け用シート!$A$3:$AN$3000,15,FALSE)))</f>
        <v>#N/A</v>
      </c>
      <c r="AI62" s="79" t="e">
        <f>IF(VLOOKUP($AB62,変換表貼り付け用シート!$A$3:$AN$3000,16,FALSE)="","",(VLOOKUP($AB62,変換表貼り付け用シート!$A$3:$AN$3000,16,FALSE)))</f>
        <v>#N/A</v>
      </c>
      <c r="AJ62" s="81" t="e">
        <f>IF(VLOOKUP($AB62,変換表貼り付け用シート!$A$3:$AN$3000,17,FALSE)="","",(VLOOKUP($AB62,変換表貼り付け用シート!$A$3:$AN$3000,17,FALSE)))</f>
        <v>#N/A</v>
      </c>
      <c r="AK62" s="88" t="e">
        <f>IF(VLOOKUP($AB62,変換表貼り付け用シート!$A$3:$AN$3000,18,FALSE)="","",(VLOOKUP($AB62,変換表貼り付け用シート!$A$3:$AN$3000,18,FALSE)))</f>
        <v>#N/A</v>
      </c>
      <c r="AL62" s="81" t="e">
        <f>IF(VLOOKUP($AB62,変換表貼り付け用シート!$A$3:$AN$3000,19,FALSE)="","",(VLOOKUP($AB62,変換表貼り付け用シート!$A$3:$AN$3000,19,FALSE)))</f>
        <v>#N/A</v>
      </c>
      <c r="AM62" s="75" t="e">
        <f>IF(VLOOKUP($AB62,変換表貼り付け用シート!$A$3:$AN$3000,20,FALSE)="","",(VLOOKUP($AB62,変換表貼り付け用シート!$A$3:$AN$3000,20,FALSE)))</f>
        <v>#N/A</v>
      </c>
    </row>
    <row r="63" spans="2:39" ht="21" customHeight="1" x14ac:dyDescent="0.35">
      <c r="B63" s="39"/>
      <c r="C63" s="117" t="s">
        <v>767</v>
      </c>
      <c r="D63" s="96" t="s">
        <v>261</v>
      </c>
      <c r="E63" s="27" t="s">
        <v>44</v>
      </c>
      <c r="F63" s="37" t="s">
        <v>45</v>
      </c>
      <c r="G63" s="33" t="s">
        <v>206</v>
      </c>
      <c r="H63" s="27" t="s">
        <v>207</v>
      </c>
      <c r="I63" s="27" t="s">
        <v>206</v>
      </c>
      <c r="J63" s="37" t="s">
        <v>207</v>
      </c>
      <c r="K63" s="39" t="s">
        <v>127</v>
      </c>
      <c r="L63" s="28" t="s">
        <v>129</v>
      </c>
      <c r="M63" s="28" t="s">
        <v>48</v>
      </c>
      <c r="N63" s="41" t="s">
        <v>122</v>
      </c>
      <c r="O63" s="39">
        <v>-0.13070000000000001</v>
      </c>
      <c r="P63" s="28"/>
      <c r="Q63" s="28"/>
      <c r="R63" s="41"/>
      <c r="S63" s="39"/>
      <c r="T63" s="41"/>
      <c r="U63" s="39"/>
      <c r="V63" s="41"/>
      <c r="W63" s="43" t="s">
        <v>711</v>
      </c>
      <c r="X63" s="33"/>
      <c r="Y63" s="27"/>
      <c r="Z63" s="29"/>
      <c r="AB63" s="73" t="str">
        <f t="shared" si="0"/>
        <v>性能検討用走行抵抗式(ePT連れ回り排除)航続距離(C/D車載状態)A1－</v>
      </c>
      <c r="AC63" s="74" t="e">
        <f>VLOOKUP($AB63,変換表貼り付け用シート!$A$3:$AN$1133,3,FALSE)</f>
        <v>#N/A</v>
      </c>
      <c r="AD63" s="74" t="e">
        <f t="shared" si="1"/>
        <v>#N/A</v>
      </c>
      <c r="AE63" s="79" t="e">
        <f>IF(VLOOKUP($AB63,変換表貼り付け用シート!$A$3:$AN$3000,12,FALSE)="","",(VLOOKUP($AB63,変換表貼り付け用シート!$A$3:$AN$3000,12,FALSE)))</f>
        <v>#N/A</v>
      </c>
      <c r="AF63" s="80" t="e">
        <f>IF(VLOOKUP($AB63,変換表貼り付け用シート!$A$3:$AN$3000,13,FALSE)="","",(VLOOKUP($AB63,変換表貼り付け用シート!$A$3:$AN$3000,13,FALSE)))</f>
        <v>#N/A</v>
      </c>
      <c r="AG63" s="80" t="e">
        <f>IF(VLOOKUP($AB63,変換表貼り付け用シート!$A$3:$AN$3000,14,FALSE)="","",(VLOOKUP($AB63,変換表貼り付け用シート!$A$3:$AN$3000,14,FALSE)))</f>
        <v>#N/A</v>
      </c>
      <c r="AH63" s="85" t="e">
        <f>IF(VLOOKUP($AB63,変換表貼り付け用シート!$A$3:$AN$3000,15,FALSE)="","",(VLOOKUP($AB63,変換表貼り付け用シート!$A$3:$AN$3000,15,FALSE)))</f>
        <v>#N/A</v>
      </c>
      <c r="AI63" s="79" t="e">
        <f>IF(VLOOKUP($AB63,変換表貼り付け用シート!$A$3:$AN$3000,16,FALSE)="","",(VLOOKUP($AB63,変換表貼り付け用シート!$A$3:$AN$3000,16,FALSE)))</f>
        <v>#N/A</v>
      </c>
      <c r="AJ63" s="81" t="e">
        <f>IF(VLOOKUP($AB63,変換表貼り付け用シート!$A$3:$AN$3000,17,FALSE)="","",(VLOOKUP($AB63,変換表貼り付け用シート!$A$3:$AN$3000,17,FALSE)))</f>
        <v>#N/A</v>
      </c>
      <c r="AK63" s="88" t="e">
        <f>IF(VLOOKUP($AB63,変換表貼り付け用シート!$A$3:$AN$3000,18,FALSE)="","",(VLOOKUP($AB63,変換表貼り付け用シート!$A$3:$AN$3000,18,FALSE)))</f>
        <v>#N/A</v>
      </c>
      <c r="AL63" s="81" t="e">
        <f>IF(VLOOKUP($AB63,変換表貼り付け用シート!$A$3:$AN$3000,19,FALSE)="","",(VLOOKUP($AB63,変換表貼り付け用シート!$A$3:$AN$3000,19,FALSE)))</f>
        <v>#N/A</v>
      </c>
      <c r="AM63" s="75" t="e">
        <f>IF(VLOOKUP($AB63,変換表貼り付け用シート!$A$3:$AN$3000,20,FALSE)="","",(VLOOKUP($AB63,変換表貼り付け用シート!$A$3:$AN$3000,20,FALSE)))</f>
        <v>#N/A</v>
      </c>
    </row>
    <row r="64" spans="2:39" ht="21" customHeight="1" x14ac:dyDescent="0.35">
      <c r="B64" s="39"/>
      <c r="C64" s="117" t="s">
        <v>768</v>
      </c>
      <c r="D64" s="96" t="s">
        <v>262</v>
      </c>
      <c r="E64" s="27" t="s">
        <v>44</v>
      </c>
      <c r="F64" s="37" t="s">
        <v>45</v>
      </c>
      <c r="G64" s="33" t="s">
        <v>206</v>
      </c>
      <c r="H64" s="27" t="s">
        <v>207</v>
      </c>
      <c r="I64" s="27" t="s">
        <v>206</v>
      </c>
      <c r="J64" s="37" t="s">
        <v>207</v>
      </c>
      <c r="K64" s="39" t="s">
        <v>127</v>
      </c>
      <c r="L64" s="28" t="s">
        <v>130</v>
      </c>
      <c r="M64" s="28" t="s">
        <v>48</v>
      </c>
      <c r="N64" s="41" t="s">
        <v>124</v>
      </c>
      <c r="O64" s="39">
        <v>4.3650000000000001E-2</v>
      </c>
      <c r="P64" s="28"/>
      <c r="Q64" s="28"/>
      <c r="R64" s="41"/>
      <c r="S64" s="39"/>
      <c r="T64" s="41"/>
      <c r="U64" s="39"/>
      <c r="V64" s="41"/>
      <c r="W64" s="43" t="s">
        <v>711</v>
      </c>
      <c r="X64" s="33"/>
      <c r="Y64" s="27"/>
      <c r="Z64" s="29"/>
      <c r="AB64" s="73" t="str">
        <f t="shared" si="0"/>
        <v>性能検討用走行抵抗式(ePT連れ回り排除)航続距離(C/D車載状態)A2－</v>
      </c>
      <c r="AC64" s="74" t="e">
        <f>VLOOKUP($AB64,変換表貼り付け用シート!$A$3:$AN$1133,3,FALSE)</f>
        <v>#N/A</v>
      </c>
      <c r="AD64" s="74" t="e">
        <f t="shared" si="1"/>
        <v>#N/A</v>
      </c>
      <c r="AE64" s="79" t="e">
        <f>IF(VLOOKUP($AB64,変換表貼り付け用シート!$A$3:$AN$3000,12,FALSE)="","",(VLOOKUP($AB64,変換表貼り付け用シート!$A$3:$AN$3000,12,FALSE)))</f>
        <v>#N/A</v>
      </c>
      <c r="AF64" s="80" t="e">
        <f>IF(VLOOKUP($AB64,変換表貼り付け用シート!$A$3:$AN$3000,13,FALSE)="","",(VLOOKUP($AB64,変換表貼り付け用シート!$A$3:$AN$3000,13,FALSE)))</f>
        <v>#N/A</v>
      </c>
      <c r="AG64" s="80" t="e">
        <f>IF(VLOOKUP($AB64,変換表貼り付け用シート!$A$3:$AN$3000,14,FALSE)="","",(VLOOKUP($AB64,変換表貼り付け用シート!$A$3:$AN$3000,14,FALSE)))</f>
        <v>#N/A</v>
      </c>
      <c r="AH64" s="85" t="e">
        <f>IF(VLOOKUP($AB64,変換表貼り付け用シート!$A$3:$AN$3000,15,FALSE)="","",(VLOOKUP($AB64,変換表貼り付け用シート!$A$3:$AN$3000,15,FALSE)))</f>
        <v>#N/A</v>
      </c>
      <c r="AI64" s="79" t="e">
        <f>IF(VLOOKUP($AB64,変換表貼り付け用シート!$A$3:$AN$3000,16,FALSE)="","",(VLOOKUP($AB64,変換表貼り付け用シート!$A$3:$AN$3000,16,FALSE)))</f>
        <v>#N/A</v>
      </c>
      <c r="AJ64" s="81" t="e">
        <f>IF(VLOOKUP($AB64,変換表貼り付け用シート!$A$3:$AN$3000,17,FALSE)="","",(VLOOKUP($AB64,変換表貼り付け用シート!$A$3:$AN$3000,17,FALSE)))</f>
        <v>#N/A</v>
      </c>
      <c r="AK64" s="88" t="e">
        <f>IF(VLOOKUP($AB64,変換表貼り付け用シート!$A$3:$AN$3000,18,FALSE)="","",(VLOOKUP($AB64,変換表貼り付け用シート!$A$3:$AN$3000,18,FALSE)))</f>
        <v>#N/A</v>
      </c>
      <c r="AL64" s="81" t="e">
        <f>IF(VLOOKUP($AB64,変換表貼り付け用シート!$A$3:$AN$3000,19,FALSE)="","",(VLOOKUP($AB64,変換表貼り付け用シート!$A$3:$AN$3000,19,FALSE)))</f>
        <v>#N/A</v>
      </c>
      <c r="AM64" s="75" t="e">
        <f>IF(VLOOKUP($AB64,変換表貼り付け用シート!$A$3:$AN$3000,20,FALSE)="","",(VLOOKUP($AB64,変換表貼り付け用シート!$A$3:$AN$3000,20,FALSE)))</f>
        <v>#N/A</v>
      </c>
    </row>
    <row r="65" spans="2:39" ht="21" customHeight="1" x14ac:dyDescent="0.35">
      <c r="B65" s="39"/>
      <c r="C65" s="117" t="s">
        <v>769</v>
      </c>
      <c r="D65" s="96" t="s">
        <v>263</v>
      </c>
      <c r="E65" s="27" t="s">
        <v>44</v>
      </c>
      <c r="F65" s="37" t="s">
        <v>45</v>
      </c>
      <c r="G65" s="33" t="s">
        <v>206</v>
      </c>
      <c r="H65" s="27" t="s">
        <v>207</v>
      </c>
      <c r="I65" s="27" t="s">
        <v>206</v>
      </c>
      <c r="J65" s="37" t="s">
        <v>207</v>
      </c>
      <c r="K65" s="39" t="s">
        <v>127</v>
      </c>
      <c r="L65" s="28" t="s">
        <v>131</v>
      </c>
      <c r="M65" s="28" t="s">
        <v>48</v>
      </c>
      <c r="N65" s="41" t="s">
        <v>126</v>
      </c>
      <c r="O65" s="39">
        <v>1237</v>
      </c>
      <c r="P65" s="28"/>
      <c r="Q65" s="28"/>
      <c r="R65" s="41"/>
      <c r="S65" s="39"/>
      <c r="T65" s="41"/>
      <c r="U65" s="39"/>
      <c r="V65" s="41"/>
      <c r="W65" s="43" t="s">
        <v>711</v>
      </c>
      <c r="X65" s="33"/>
      <c r="Y65" s="27"/>
      <c r="Z65" s="29"/>
      <c r="AB65" s="73" t="str">
        <f t="shared" si="0"/>
        <v>性能検討用走行抵抗式(ePT連れ回り排除)航続距離(C/D車載状態)IP－</v>
      </c>
      <c r="AC65" s="74" t="e">
        <f>VLOOKUP($AB65,変換表貼り付け用シート!$A$3:$AN$1133,3,FALSE)</f>
        <v>#N/A</v>
      </c>
      <c r="AD65" s="74" t="e">
        <f t="shared" si="1"/>
        <v>#N/A</v>
      </c>
      <c r="AE65" s="79" t="e">
        <f>IF(VLOOKUP($AB65,変換表貼り付け用シート!$A$3:$AN$3000,12,FALSE)="","",(VLOOKUP($AB65,変換表貼り付け用シート!$A$3:$AN$3000,12,FALSE)))</f>
        <v>#N/A</v>
      </c>
      <c r="AF65" s="80" t="e">
        <f>IF(VLOOKUP($AB65,変換表貼り付け用シート!$A$3:$AN$3000,13,FALSE)="","",(VLOOKUP($AB65,変換表貼り付け用シート!$A$3:$AN$3000,13,FALSE)))</f>
        <v>#N/A</v>
      </c>
      <c r="AG65" s="80" t="e">
        <f>IF(VLOOKUP($AB65,変換表貼り付け用シート!$A$3:$AN$3000,14,FALSE)="","",(VLOOKUP($AB65,変換表貼り付け用シート!$A$3:$AN$3000,14,FALSE)))</f>
        <v>#N/A</v>
      </c>
      <c r="AH65" s="85" t="e">
        <f>IF(VLOOKUP($AB65,変換表貼り付け用シート!$A$3:$AN$3000,15,FALSE)="","",(VLOOKUP($AB65,変換表貼り付け用シート!$A$3:$AN$3000,15,FALSE)))</f>
        <v>#N/A</v>
      </c>
      <c r="AI65" s="79" t="e">
        <f>IF(VLOOKUP($AB65,変換表貼り付け用シート!$A$3:$AN$3000,16,FALSE)="","",(VLOOKUP($AB65,変換表貼り付け用シート!$A$3:$AN$3000,16,FALSE)))</f>
        <v>#N/A</v>
      </c>
      <c r="AJ65" s="81" t="e">
        <f>IF(VLOOKUP($AB65,変換表貼り付け用シート!$A$3:$AN$3000,17,FALSE)="","",(VLOOKUP($AB65,変換表貼り付け用シート!$A$3:$AN$3000,17,FALSE)))</f>
        <v>#N/A</v>
      </c>
      <c r="AK65" s="88" t="e">
        <f>IF(VLOOKUP($AB65,変換表貼り付け用シート!$A$3:$AN$3000,18,FALSE)="","",(VLOOKUP($AB65,変換表貼り付け用シート!$A$3:$AN$3000,18,FALSE)))</f>
        <v>#N/A</v>
      </c>
      <c r="AL65" s="81" t="e">
        <f>IF(VLOOKUP($AB65,変換表貼り付け用シート!$A$3:$AN$3000,19,FALSE)="","",(VLOOKUP($AB65,変換表貼り付け用シート!$A$3:$AN$3000,19,FALSE)))</f>
        <v>#N/A</v>
      </c>
      <c r="AM65" s="75" t="e">
        <f>IF(VLOOKUP($AB65,変換表貼り付け用シート!$A$3:$AN$3000,20,FALSE)="","",(VLOOKUP($AB65,変換表貼り付け用シート!$A$3:$AN$3000,20,FALSE)))</f>
        <v>#N/A</v>
      </c>
    </row>
    <row r="66" spans="2:39" ht="21" customHeight="1" x14ac:dyDescent="0.35">
      <c r="B66" s="39"/>
      <c r="C66" s="117" t="s">
        <v>770</v>
      </c>
      <c r="D66" s="96" t="s">
        <v>264</v>
      </c>
      <c r="E66" s="27" t="s">
        <v>44</v>
      </c>
      <c r="F66" s="37" t="s">
        <v>45</v>
      </c>
      <c r="G66" s="33" t="s">
        <v>206</v>
      </c>
      <c r="H66" s="27" t="s">
        <v>207</v>
      </c>
      <c r="I66" s="27" t="s">
        <v>206</v>
      </c>
      <c r="J66" s="37" t="s">
        <v>207</v>
      </c>
      <c r="K66" s="39" t="s">
        <v>127</v>
      </c>
      <c r="L66" s="28" t="s">
        <v>132</v>
      </c>
      <c r="M66" s="28" t="s">
        <v>48</v>
      </c>
      <c r="N66" s="41" t="s">
        <v>120</v>
      </c>
      <c r="O66" s="39">
        <v>95.656999999999996</v>
      </c>
      <c r="P66" s="28"/>
      <c r="Q66" s="28"/>
      <c r="R66" s="41"/>
      <c r="S66" s="39"/>
      <c r="T66" s="41"/>
      <c r="U66" s="39"/>
      <c r="V66" s="41"/>
      <c r="W66" s="43" t="s">
        <v>711</v>
      </c>
      <c r="X66" s="33"/>
      <c r="Y66" s="27"/>
      <c r="Z66" s="29"/>
      <c r="AB66" s="73" t="str">
        <f t="shared" si="0"/>
        <v>性能検討用走行抵抗式(ePT連れ回り排除)動力当り前性能A0－</v>
      </c>
      <c r="AC66" s="74" t="e">
        <f>VLOOKUP($AB66,変換表貼り付け用シート!$A$3:$AN$1133,3,FALSE)</f>
        <v>#N/A</v>
      </c>
      <c r="AD66" s="74" t="e">
        <f t="shared" si="1"/>
        <v>#N/A</v>
      </c>
      <c r="AE66" s="79" t="e">
        <f>IF(VLOOKUP($AB66,変換表貼り付け用シート!$A$3:$AN$3000,12,FALSE)="","",(VLOOKUP($AB66,変換表貼り付け用シート!$A$3:$AN$3000,12,FALSE)))</f>
        <v>#N/A</v>
      </c>
      <c r="AF66" s="80" t="e">
        <f>IF(VLOOKUP($AB66,変換表貼り付け用シート!$A$3:$AN$3000,13,FALSE)="","",(VLOOKUP($AB66,変換表貼り付け用シート!$A$3:$AN$3000,13,FALSE)))</f>
        <v>#N/A</v>
      </c>
      <c r="AG66" s="80" t="e">
        <f>IF(VLOOKUP($AB66,変換表貼り付け用シート!$A$3:$AN$3000,14,FALSE)="","",(VLOOKUP($AB66,変換表貼り付け用シート!$A$3:$AN$3000,14,FALSE)))</f>
        <v>#N/A</v>
      </c>
      <c r="AH66" s="85" t="e">
        <f>IF(VLOOKUP($AB66,変換表貼り付け用シート!$A$3:$AN$3000,15,FALSE)="","",(VLOOKUP($AB66,変換表貼り付け用シート!$A$3:$AN$3000,15,FALSE)))</f>
        <v>#N/A</v>
      </c>
      <c r="AI66" s="79" t="e">
        <f>IF(VLOOKUP($AB66,変換表貼り付け用シート!$A$3:$AN$3000,16,FALSE)="","",(VLOOKUP($AB66,変換表貼り付け用シート!$A$3:$AN$3000,16,FALSE)))</f>
        <v>#N/A</v>
      </c>
      <c r="AJ66" s="81" t="e">
        <f>IF(VLOOKUP($AB66,変換表貼り付け用シート!$A$3:$AN$3000,17,FALSE)="","",(VLOOKUP($AB66,変換表貼り付け用シート!$A$3:$AN$3000,17,FALSE)))</f>
        <v>#N/A</v>
      </c>
      <c r="AK66" s="88" t="e">
        <f>IF(VLOOKUP($AB66,変換表貼り付け用シート!$A$3:$AN$3000,18,FALSE)="","",(VLOOKUP($AB66,変換表貼り付け用シート!$A$3:$AN$3000,18,FALSE)))</f>
        <v>#N/A</v>
      </c>
      <c r="AL66" s="81" t="e">
        <f>IF(VLOOKUP($AB66,変換表貼り付け用シート!$A$3:$AN$3000,19,FALSE)="","",(VLOOKUP($AB66,変換表貼り付け用シート!$A$3:$AN$3000,19,FALSE)))</f>
        <v>#N/A</v>
      </c>
      <c r="AM66" s="75" t="e">
        <f>IF(VLOOKUP($AB66,変換表貼り付け用シート!$A$3:$AN$3000,20,FALSE)="","",(VLOOKUP($AB66,変換表貼り付け用シート!$A$3:$AN$3000,20,FALSE)))</f>
        <v>#N/A</v>
      </c>
    </row>
    <row r="67" spans="2:39" ht="21" customHeight="1" x14ac:dyDescent="0.35">
      <c r="B67" s="39"/>
      <c r="C67" s="117" t="s">
        <v>771</v>
      </c>
      <c r="D67" s="96" t="s">
        <v>265</v>
      </c>
      <c r="E67" s="27" t="s">
        <v>44</v>
      </c>
      <c r="F67" s="37" t="s">
        <v>45</v>
      </c>
      <c r="G67" s="33" t="s">
        <v>206</v>
      </c>
      <c r="H67" s="27" t="s">
        <v>207</v>
      </c>
      <c r="I67" s="27" t="s">
        <v>206</v>
      </c>
      <c r="J67" s="37" t="s">
        <v>207</v>
      </c>
      <c r="K67" s="39" t="s">
        <v>127</v>
      </c>
      <c r="L67" s="28" t="s">
        <v>133</v>
      </c>
      <c r="M67" s="28" t="s">
        <v>48</v>
      </c>
      <c r="N67" s="41" t="s">
        <v>122</v>
      </c>
      <c r="O67" s="39" t="s">
        <v>48</v>
      </c>
      <c r="P67" s="28"/>
      <c r="Q67" s="28"/>
      <c r="R67" s="41"/>
      <c r="S67" s="39"/>
      <c r="T67" s="41"/>
      <c r="U67" s="39"/>
      <c r="V67" s="41"/>
      <c r="W67" s="43" t="s">
        <v>711</v>
      </c>
      <c r="X67" s="33"/>
      <c r="Y67" s="27"/>
      <c r="Z67" s="29"/>
      <c r="AB67" s="73" t="str">
        <f t="shared" si="0"/>
        <v>性能検討用走行抵抗式(ePT連れ回り排除)動力当り前性能A1－</v>
      </c>
      <c r="AC67" s="74" t="e">
        <f>VLOOKUP($AB67,変換表貼り付け用シート!$A$3:$AN$1133,3,FALSE)</f>
        <v>#N/A</v>
      </c>
      <c r="AD67" s="74" t="e">
        <f t="shared" si="1"/>
        <v>#N/A</v>
      </c>
      <c r="AE67" s="79" t="e">
        <f>IF(VLOOKUP($AB67,変換表貼り付け用シート!$A$3:$AN$3000,12,FALSE)="","",(VLOOKUP($AB67,変換表貼り付け用シート!$A$3:$AN$3000,12,FALSE)))</f>
        <v>#N/A</v>
      </c>
      <c r="AF67" s="80" t="e">
        <f>IF(VLOOKUP($AB67,変換表貼り付け用シート!$A$3:$AN$3000,13,FALSE)="","",(VLOOKUP($AB67,変換表貼り付け用シート!$A$3:$AN$3000,13,FALSE)))</f>
        <v>#N/A</v>
      </c>
      <c r="AG67" s="80" t="e">
        <f>IF(VLOOKUP($AB67,変換表貼り付け用シート!$A$3:$AN$3000,14,FALSE)="","",(VLOOKUP($AB67,変換表貼り付け用シート!$A$3:$AN$3000,14,FALSE)))</f>
        <v>#N/A</v>
      </c>
      <c r="AH67" s="85" t="e">
        <f>IF(VLOOKUP($AB67,変換表貼り付け用シート!$A$3:$AN$3000,15,FALSE)="","",(VLOOKUP($AB67,変換表貼り付け用シート!$A$3:$AN$3000,15,FALSE)))</f>
        <v>#N/A</v>
      </c>
      <c r="AI67" s="79" t="e">
        <f>IF(VLOOKUP($AB67,変換表貼り付け用シート!$A$3:$AN$3000,16,FALSE)="","",(VLOOKUP($AB67,変換表貼り付け用シート!$A$3:$AN$3000,16,FALSE)))</f>
        <v>#N/A</v>
      </c>
      <c r="AJ67" s="81" t="e">
        <f>IF(VLOOKUP($AB67,変換表貼り付け用シート!$A$3:$AN$3000,17,FALSE)="","",(VLOOKUP($AB67,変換表貼り付け用シート!$A$3:$AN$3000,17,FALSE)))</f>
        <v>#N/A</v>
      </c>
      <c r="AK67" s="88" t="e">
        <f>IF(VLOOKUP($AB67,変換表貼り付け用シート!$A$3:$AN$3000,18,FALSE)="","",(VLOOKUP($AB67,変換表貼り付け用シート!$A$3:$AN$3000,18,FALSE)))</f>
        <v>#N/A</v>
      </c>
      <c r="AL67" s="81" t="e">
        <f>IF(VLOOKUP($AB67,変換表貼り付け用シート!$A$3:$AN$3000,19,FALSE)="","",(VLOOKUP($AB67,変換表貼り付け用シート!$A$3:$AN$3000,19,FALSE)))</f>
        <v>#N/A</v>
      </c>
      <c r="AM67" s="75" t="e">
        <f>IF(VLOOKUP($AB67,変換表貼り付け用シート!$A$3:$AN$3000,20,FALSE)="","",(VLOOKUP($AB67,変換表貼り付け用シート!$A$3:$AN$3000,20,FALSE)))</f>
        <v>#N/A</v>
      </c>
    </row>
    <row r="68" spans="2:39" ht="21" customHeight="1" x14ac:dyDescent="0.35">
      <c r="B68" s="39"/>
      <c r="C68" s="117" t="s">
        <v>772</v>
      </c>
      <c r="D68" s="96" t="s">
        <v>266</v>
      </c>
      <c r="E68" s="27" t="s">
        <v>44</v>
      </c>
      <c r="F68" s="37" t="s">
        <v>45</v>
      </c>
      <c r="G68" s="33" t="s">
        <v>206</v>
      </c>
      <c r="H68" s="27" t="s">
        <v>207</v>
      </c>
      <c r="I68" s="27" t="s">
        <v>206</v>
      </c>
      <c r="J68" s="37" t="s">
        <v>207</v>
      </c>
      <c r="K68" s="39" t="s">
        <v>127</v>
      </c>
      <c r="L68" s="28" t="s">
        <v>134</v>
      </c>
      <c r="M68" s="28" t="s">
        <v>48</v>
      </c>
      <c r="N68" s="41" t="s">
        <v>124</v>
      </c>
      <c r="O68" s="39">
        <v>4.1500000000000002E-2</v>
      </c>
      <c r="P68" s="28"/>
      <c r="Q68" s="28"/>
      <c r="R68" s="41"/>
      <c r="S68" s="39"/>
      <c r="T68" s="41"/>
      <c r="U68" s="39"/>
      <c r="V68" s="41"/>
      <c r="W68" s="43" t="s">
        <v>711</v>
      </c>
      <c r="X68" s="33"/>
      <c r="Y68" s="27"/>
      <c r="Z68" s="29"/>
      <c r="AB68" s="73" t="str">
        <f t="shared" si="0"/>
        <v>性能検討用走行抵抗式(ePT連れ回り排除)動力当り前性能A2－</v>
      </c>
      <c r="AC68" s="74" t="e">
        <f>VLOOKUP($AB68,変換表貼り付け用シート!$A$3:$AN$1133,3,FALSE)</f>
        <v>#N/A</v>
      </c>
      <c r="AD68" s="74" t="e">
        <f t="shared" si="1"/>
        <v>#N/A</v>
      </c>
      <c r="AE68" s="79" t="e">
        <f>IF(VLOOKUP($AB68,変換表貼り付け用シート!$A$3:$AN$3000,12,FALSE)="","",(VLOOKUP($AB68,変換表貼り付け用シート!$A$3:$AN$3000,12,FALSE)))</f>
        <v>#N/A</v>
      </c>
      <c r="AF68" s="80" t="e">
        <f>IF(VLOOKUP($AB68,変換表貼り付け用シート!$A$3:$AN$3000,13,FALSE)="","",(VLOOKUP($AB68,変換表貼り付け用シート!$A$3:$AN$3000,13,FALSE)))</f>
        <v>#N/A</v>
      </c>
      <c r="AG68" s="80" t="e">
        <f>IF(VLOOKUP($AB68,変換表貼り付け用シート!$A$3:$AN$3000,14,FALSE)="","",(VLOOKUP($AB68,変換表貼り付け用シート!$A$3:$AN$3000,14,FALSE)))</f>
        <v>#N/A</v>
      </c>
      <c r="AH68" s="85" t="e">
        <f>IF(VLOOKUP($AB68,変換表貼り付け用シート!$A$3:$AN$3000,15,FALSE)="","",(VLOOKUP($AB68,変換表貼り付け用シート!$A$3:$AN$3000,15,FALSE)))</f>
        <v>#N/A</v>
      </c>
      <c r="AI68" s="79" t="e">
        <f>IF(VLOOKUP($AB68,変換表貼り付け用シート!$A$3:$AN$3000,16,FALSE)="","",(VLOOKUP($AB68,変換表貼り付け用シート!$A$3:$AN$3000,16,FALSE)))</f>
        <v>#N/A</v>
      </c>
      <c r="AJ68" s="81" t="e">
        <f>IF(VLOOKUP($AB68,変換表貼り付け用シート!$A$3:$AN$3000,17,FALSE)="","",(VLOOKUP($AB68,変換表貼り付け用シート!$A$3:$AN$3000,17,FALSE)))</f>
        <v>#N/A</v>
      </c>
      <c r="AK68" s="88" t="e">
        <f>IF(VLOOKUP($AB68,変換表貼り付け用シート!$A$3:$AN$3000,18,FALSE)="","",(VLOOKUP($AB68,変換表貼り付け用シート!$A$3:$AN$3000,18,FALSE)))</f>
        <v>#N/A</v>
      </c>
      <c r="AL68" s="81" t="e">
        <f>IF(VLOOKUP($AB68,変換表貼り付け用シート!$A$3:$AN$3000,19,FALSE)="","",(VLOOKUP($AB68,変換表貼り付け用シート!$A$3:$AN$3000,19,FALSE)))</f>
        <v>#N/A</v>
      </c>
      <c r="AM68" s="75" t="e">
        <f>IF(VLOOKUP($AB68,変換表貼り付け用シート!$A$3:$AN$3000,20,FALSE)="","",(VLOOKUP($AB68,変換表貼り付け用シート!$A$3:$AN$3000,20,FALSE)))</f>
        <v>#N/A</v>
      </c>
    </row>
    <row r="69" spans="2:39" ht="21" customHeight="1" x14ac:dyDescent="0.35">
      <c r="B69" s="39"/>
      <c r="C69" s="117" t="s">
        <v>773</v>
      </c>
      <c r="D69" s="96" t="s">
        <v>267</v>
      </c>
      <c r="E69" s="27" t="s">
        <v>44</v>
      </c>
      <c r="F69" s="37" t="s">
        <v>45</v>
      </c>
      <c r="G69" s="33" t="s">
        <v>206</v>
      </c>
      <c r="H69" s="27" t="s">
        <v>207</v>
      </c>
      <c r="I69" s="27" t="s">
        <v>206</v>
      </c>
      <c r="J69" s="37" t="s">
        <v>207</v>
      </c>
      <c r="K69" s="39" t="s">
        <v>127</v>
      </c>
      <c r="L69" s="28" t="s">
        <v>135</v>
      </c>
      <c r="M69" s="28" t="s">
        <v>48</v>
      </c>
      <c r="N69" s="41" t="s">
        <v>49</v>
      </c>
      <c r="O69" s="39">
        <v>1322</v>
      </c>
      <c r="P69" s="28"/>
      <c r="Q69" s="28"/>
      <c r="R69" s="41"/>
      <c r="S69" s="39"/>
      <c r="T69" s="41"/>
      <c r="U69" s="39"/>
      <c r="V69" s="41"/>
      <c r="W69" s="43" t="s">
        <v>711</v>
      </c>
      <c r="X69" s="33"/>
      <c r="Y69" s="27"/>
      <c r="Z69" s="29"/>
      <c r="AB69" s="73" t="str">
        <f t="shared" si="0"/>
        <v>性能検討用走行抵抗式(ePT連れ回り排除)動力当り前性能IP－</v>
      </c>
      <c r="AC69" s="74" t="e">
        <f>VLOOKUP($AB69,変換表貼り付け用シート!$A$3:$AN$1133,3,FALSE)</f>
        <v>#N/A</v>
      </c>
      <c r="AD69" s="74" t="e">
        <f t="shared" si="1"/>
        <v>#N/A</v>
      </c>
      <c r="AE69" s="79" t="e">
        <f>IF(VLOOKUP($AB69,変換表貼り付け用シート!$A$3:$AN$3000,12,FALSE)="","",(VLOOKUP($AB69,変換表貼り付け用シート!$A$3:$AN$3000,12,FALSE)))</f>
        <v>#N/A</v>
      </c>
      <c r="AF69" s="80" t="e">
        <f>IF(VLOOKUP($AB69,変換表貼り付け用シート!$A$3:$AN$3000,13,FALSE)="","",(VLOOKUP($AB69,変換表貼り付け用シート!$A$3:$AN$3000,13,FALSE)))</f>
        <v>#N/A</v>
      </c>
      <c r="AG69" s="80" t="e">
        <f>IF(VLOOKUP($AB69,変換表貼り付け用シート!$A$3:$AN$3000,14,FALSE)="","",(VLOOKUP($AB69,変換表貼り付け用シート!$A$3:$AN$3000,14,FALSE)))</f>
        <v>#N/A</v>
      </c>
      <c r="AH69" s="85" t="e">
        <f>IF(VLOOKUP($AB69,変換表貼り付け用シート!$A$3:$AN$3000,15,FALSE)="","",(VLOOKUP($AB69,変換表貼り付け用シート!$A$3:$AN$3000,15,FALSE)))</f>
        <v>#N/A</v>
      </c>
      <c r="AI69" s="79" t="e">
        <f>IF(VLOOKUP($AB69,変換表貼り付け用シート!$A$3:$AN$3000,16,FALSE)="","",(VLOOKUP($AB69,変換表貼り付け用シート!$A$3:$AN$3000,16,FALSE)))</f>
        <v>#N/A</v>
      </c>
      <c r="AJ69" s="81" t="e">
        <f>IF(VLOOKUP($AB69,変換表貼り付け用シート!$A$3:$AN$3000,17,FALSE)="","",(VLOOKUP($AB69,変換表貼り付け用シート!$A$3:$AN$3000,17,FALSE)))</f>
        <v>#N/A</v>
      </c>
      <c r="AK69" s="88" t="e">
        <f>IF(VLOOKUP($AB69,変換表貼り付け用シート!$A$3:$AN$3000,18,FALSE)="","",(VLOOKUP($AB69,変換表貼り付け用シート!$A$3:$AN$3000,18,FALSE)))</f>
        <v>#N/A</v>
      </c>
      <c r="AL69" s="81" t="e">
        <f>IF(VLOOKUP($AB69,変換表貼り付け用シート!$A$3:$AN$3000,19,FALSE)="","",(VLOOKUP($AB69,変換表貼り付け用シート!$A$3:$AN$3000,19,FALSE)))</f>
        <v>#N/A</v>
      </c>
      <c r="AM69" s="75" t="e">
        <f>IF(VLOOKUP($AB69,変換表貼り付け用シート!$A$3:$AN$3000,20,FALSE)="","",(VLOOKUP($AB69,変換表貼り付け用シート!$A$3:$AN$3000,20,FALSE)))</f>
        <v>#N/A</v>
      </c>
    </row>
    <row r="70" spans="2:39" ht="21" customHeight="1" x14ac:dyDescent="0.35">
      <c r="B70" s="39"/>
      <c r="C70" s="117" t="s">
        <v>774</v>
      </c>
      <c r="D70" s="96" t="s">
        <v>268</v>
      </c>
      <c r="E70" s="27" t="s">
        <v>44</v>
      </c>
      <c r="F70" s="37" t="s">
        <v>45</v>
      </c>
      <c r="G70" s="33" t="s">
        <v>206</v>
      </c>
      <c r="H70" s="27" t="s">
        <v>207</v>
      </c>
      <c r="I70" s="27" t="s">
        <v>206</v>
      </c>
      <c r="J70" s="37" t="s">
        <v>207</v>
      </c>
      <c r="K70" s="39" t="s">
        <v>127</v>
      </c>
      <c r="L70" s="28" t="s">
        <v>136</v>
      </c>
      <c r="M70" s="28" t="s">
        <v>48</v>
      </c>
      <c r="N70" s="41" t="s">
        <v>120</v>
      </c>
      <c r="O70" s="39">
        <v>92.17</v>
      </c>
      <c r="P70" s="28"/>
      <c r="Q70" s="28"/>
      <c r="R70" s="41"/>
      <c r="S70" s="39"/>
      <c r="T70" s="41"/>
      <c r="U70" s="39"/>
      <c r="V70" s="41"/>
      <c r="W70" s="43" t="s">
        <v>711</v>
      </c>
      <c r="X70" s="33"/>
      <c r="Y70" s="27"/>
      <c r="Z70" s="29"/>
      <c r="AB70" s="73" t="str">
        <f t="shared" si="0"/>
        <v>性能検討用走行抵抗式(ePT連れ回り排除)動力AccerelationA0－</v>
      </c>
      <c r="AC70" s="74" t="e">
        <f>VLOOKUP($AB70,変換表貼り付け用シート!$A$3:$AN$1133,3,FALSE)</f>
        <v>#N/A</v>
      </c>
      <c r="AD70" s="74" t="e">
        <f t="shared" si="1"/>
        <v>#N/A</v>
      </c>
      <c r="AE70" s="79" t="e">
        <f>IF(VLOOKUP($AB70,変換表貼り付け用シート!$A$3:$AN$3000,12,FALSE)="","",(VLOOKUP($AB70,変換表貼り付け用シート!$A$3:$AN$3000,12,FALSE)))</f>
        <v>#N/A</v>
      </c>
      <c r="AF70" s="80" t="e">
        <f>IF(VLOOKUP($AB70,変換表貼り付け用シート!$A$3:$AN$3000,13,FALSE)="","",(VLOOKUP($AB70,変換表貼り付け用シート!$A$3:$AN$3000,13,FALSE)))</f>
        <v>#N/A</v>
      </c>
      <c r="AG70" s="80" t="e">
        <f>IF(VLOOKUP($AB70,変換表貼り付け用シート!$A$3:$AN$3000,14,FALSE)="","",(VLOOKUP($AB70,変換表貼り付け用シート!$A$3:$AN$3000,14,FALSE)))</f>
        <v>#N/A</v>
      </c>
      <c r="AH70" s="85" t="e">
        <f>IF(VLOOKUP($AB70,変換表貼り付け用シート!$A$3:$AN$3000,15,FALSE)="","",(VLOOKUP($AB70,変換表貼り付け用シート!$A$3:$AN$3000,15,FALSE)))</f>
        <v>#N/A</v>
      </c>
      <c r="AI70" s="79" t="e">
        <f>IF(VLOOKUP($AB70,変換表貼り付け用シート!$A$3:$AN$3000,16,FALSE)="","",(VLOOKUP($AB70,変換表貼り付け用シート!$A$3:$AN$3000,16,FALSE)))</f>
        <v>#N/A</v>
      </c>
      <c r="AJ70" s="81" t="e">
        <f>IF(VLOOKUP($AB70,変換表貼り付け用シート!$A$3:$AN$3000,17,FALSE)="","",(VLOOKUP($AB70,変換表貼り付け用シート!$A$3:$AN$3000,17,FALSE)))</f>
        <v>#N/A</v>
      </c>
      <c r="AK70" s="88" t="e">
        <f>IF(VLOOKUP($AB70,変換表貼り付け用シート!$A$3:$AN$3000,18,FALSE)="","",(VLOOKUP($AB70,変換表貼り付け用シート!$A$3:$AN$3000,18,FALSE)))</f>
        <v>#N/A</v>
      </c>
      <c r="AL70" s="81" t="e">
        <f>IF(VLOOKUP($AB70,変換表貼り付け用シート!$A$3:$AN$3000,19,FALSE)="","",(VLOOKUP($AB70,変換表貼り付け用シート!$A$3:$AN$3000,19,FALSE)))</f>
        <v>#N/A</v>
      </c>
      <c r="AM70" s="75" t="e">
        <f>IF(VLOOKUP($AB70,変換表貼り付け用シート!$A$3:$AN$3000,20,FALSE)="","",(VLOOKUP($AB70,変換表貼り付け用シート!$A$3:$AN$3000,20,FALSE)))</f>
        <v>#N/A</v>
      </c>
    </row>
    <row r="71" spans="2:39" ht="21" customHeight="1" x14ac:dyDescent="0.35">
      <c r="B71" s="39"/>
      <c r="C71" s="117" t="s">
        <v>775</v>
      </c>
      <c r="D71" s="96" t="s">
        <v>269</v>
      </c>
      <c r="E71" s="27" t="s">
        <v>44</v>
      </c>
      <c r="F71" s="37" t="s">
        <v>45</v>
      </c>
      <c r="G71" s="33" t="s">
        <v>206</v>
      </c>
      <c r="H71" s="27" t="s">
        <v>207</v>
      </c>
      <c r="I71" s="27" t="s">
        <v>206</v>
      </c>
      <c r="J71" s="37" t="s">
        <v>207</v>
      </c>
      <c r="K71" s="39" t="s">
        <v>127</v>
      </c>
      <c r="L71" s="28" t="s">
        <v>137</v>
      </c>
      <c r="M71" s="28" t="s">
        <v>48</v>
      </c>
      <c r="N71" s="41" t="s">
        <v>122</v>
      </c>
      <c r="O71" s="39" t="s">
        <v>48</v>
      </c>
      <c r="P71" s="28"/>
      <c r="Q71" s="28"/>
      <c r="R71" s="41"/>
      <c r="S71" s="39"/>
      <c r="T71" s="41"/>
      <c r="U71" s="39"/>
      <c r="V71" s="41"/>
      <c r="W71" s="43" t="s">
        <v>711</v>
      </c>
      <c r="X71" s="33"/>
      <c r="Y71" s="27"/>
      <c r="Z71" s="29"/>
      <c r="AB71" s="73" t="str">
        <f t="shared" si="0"/>
        <v>性能検討用走行抵抗式(ePT連れ回り排除)動力AccerelationA1－</v>
      </c>
      <c r="AC71" s="74" t="e">
        <f>VLOOKUP($AB71,変換表貼り付け用シート!$A$3:$AN$1133,3,FALSE)</f>
        <v>#N/A</v>
      </c>
      <c r="AD71" s="74" t="e">
        <f t="shared" si="1"/>
        <v>#N/A</v>
      </c>
      <c r="AE71" s="79" t="e">
        <f>IF(VLOOKUP($AB71,変換表貼り付け用シート!$A$3:$AN$3000,12,FALSE)="","",(VLOOKUP($AB71,変換表貼り付け用シート!$A$3:$AN$3000,12,FALSE)))</f>
        <v>#N/A</v>
      </c>
      <c r="AF71" s="80" t="e">
        <f>IF(VLOOKUP($AB71,変換表貼り付け用シート!$A$3:$AN$3000,13,FALSE)="","",(VLOOKUP($AB71,変換表貼り付け用シート!$A$3:$AN$3000,13,FALSE)))</f>
        <v>#N/A</v>
      </c>
      <c r="AG71" s="80" t="e">
        <f>IF(VLOOKUP($AB71,変換表貼り付け用シート!$A$3:$AN$3000,14,FALSE)="","",(VLOOKUP($AB71,変換表貼り付け用シート!$A$3:$AN$3000,14,FALSE)))</f>
        <v>#N/A</v>
      </c>
      <c r="AH71" s="85" t="e">
        <f>IF(VLOOKUP($AB71,変換表貼り付け用シート!$A$3:$AN$3000,15,FALSE)="","",(VLOOKUP($AB71,変換表貼り付け用シート!$A$3:$AN$3000,15,FALSE)))</f>
        <v>#N/A</v>
      </c>
      <c r="AI71" s="79" t="e">
        <f>IF(VLOOKUP($AB71,変換表貼り付け用シート!$A$3:$AN$3000,16,FALSE)="","",(VLOOKUP($AB71,変換表貼り付け用シート!$A$3:$AN$3000,16,FALSE)))</f>
        <v>#N/A</v>
      </c>
      <c r="AJ71" s="81" t="e">
        <f>IF(VLOOKUP($AB71,変換表貼り付け用シート!$A$3:$AN$3000,17,FALSE)="","",(VLOOKUP($AB71,変換表貼り付け用シート!$A$3:$AN$3000,17,FALSE)))</f>
        <v>#N/A</v>
      </c>
      <c r="AK71" s="88" t="e">
        <f>IF(VLOOKUP($AB71,変換表貼り付け用シート!$A$3:$AN$3000,18,FALSE)="","",(VLOOKUP($AB71,変換表貼り付け用シート!$A$3:$AN$3000,18,FALSE)))</f>
        <v>#N/A</v>
      </c>
      <c r="AL71" s="81" t="e">
        <f>IF(VLOOKUP($AB71,変換表貼り付け用シート!$A$3:$AN$3000,19,FALSE)="","",(VLOOKUP($AB71,変換表貼り付け用シート!$A$3:$AN$3000,19,FALSE)))</f>
        <v>#N/A</v>
      </c>
      <c r="AM71" s="75" t="e">
        <f>IF(VLOOKUP($AB71,変換表貼り付け用シート!$A$3:$AN$3000,20,FALSE)="","",(VLOOKUP($AB71,変換表貼り付け用シート!$A$3:$AN$3000,20,FALSE)))</f>
        <v>#N/A</v>
      </c>
    </row>
    <row r="72" spans="2:39" ht="21" customHeight="1" x14ac:dyDescent="0.35">
      <c r="B72" s="39"/>
      <c r="C72" s="117" t="s">
        <v>776</v>
      </c>
      <c r="D72" s="96" t="s">
        <v>270</v>
      </c>
      <c r="E72" s="27" t="s">
        <v>44</v>
      </c>
      <c r="F72" s="37" t="s">
        <v>45</v>
      </c>
      <c r="G72" s="33" t="s">
        <v>206</v>
      </c>
      <c r="H72" s="27" t="s">
        <v>207</v>
      </c>
      <c r="I72" s="27" t="s">
        <v>206</v>
      </c>
      <c r="J72" s="37" t="s">
        <v>207</v>
      </c>
      <c r="K72" s="39" t="s">
        <v>127</v>
      </c>
      <c r="L72" s="28" t="s">
        <v>138</v>
      </c>
      <c r="M72" s="28" t="s">
        <v>48</v>
      </c>
      <c r="N72" s="41" t="s">
        <v>124</v>
      </c>
      <c r="O72" s="39">
        <v>4.3650000000000001E-2</v>
      </c>
      <c r="P72" s="28"/>
      <c r="Q72" s="28"/>
      <c r="R72" s="41"/>
      <c r="S72" s="39"/>
      <c r="T72" s="41"/>
      <c r="U72" s="39"/>
      <c r="V72" s="41"/>
      <c r="W72" s="43" t="s">
        <v>711</v>
      </c>
      <c r="X72" s="33"/>
      <c r="Y72" s="27"/>
      <c r="Z72" s="29"/>
      <c r="AB72" s="73" t="str">
        <f t="shared" si="0"/>
        <v>性能検討用走行抵抗式(ePT連れ回り排除)動力AccerelationA2－</v>
      </c>
      <c r="AC72" s="74" t="e">
        <f>VLOOKUP($AB72,変換表貼り付け用シート!$A$3:$AN$1133,3,FALSE)</f>
        <v>#N/A</v>
      </c>
      <c r="AD72" s="74" t="e">
        <f t="shared" si="1"/>
        <v>#N/A</v>
      </c>
      <c r="AE72" s="79" t="e">
        <f>IF(VLOOKUP($AB72,変換表貼り付け用シート!$A$3:$AN$3000,12,FALSE)="","",(VLOOKUP($AB72,変換表貼り付け用シート!$A$3:$AN$3000,12,FALSE)))</f>
        <v>#N/A</v>
      </c>
      <c r="AF72" s="80" t="e">
        <f>IF(VLOOKUP($AB72,変換表貼り付け用シート!$A$3:$AN$3000,13,FALSE)="","",(VLOOKUP($AB72,変換表貼り付け用シート!$A$3:$AN$3000,13,FALSE)))</f>
        <v>#N/A</v>
      </c>
      <c r="AG72" s="80" t="e">
        <f>IF(VLOOKUP($AB72,変換表貼り付け用シート!$A$3:$AN$3000,14,FALSE)="","",(VLOOKUP($AB72,変換表貼り付け用シート!$A$3:$AN$3000,14,FALSE)))</f>
        <v>#N/A</v>
      </c>
      <c r="AH72" s="85" t="e">
        <f>IF(VLOOKUP($AB72,変換表貼り付け用シート!$A$3:$AN$3000,15,FALSE)="","",(VLOOKUP($AB72,変換表貼り付け用シート!$A$3:$AN$3000,15,FALSE)))</f>
        <v>#N/A</v>
      </c>
      <c r="AI72" s="79" t="e">
        <f>IF(VLOOKUP($AB72,変換表貼り付け用シート!$A$3:$AN$3000,16,FALSE)="","",(VLOOKUP($AB72,変換表貼り付け用シート!$A$3:$AN$3000,16,FALSE)))</f>
        <v>#N/A</v>
      </c>
      <c r="AJ72" s="81" t="e">
        <f>IF(VLOOKUP($AB72,変換表貼り付け用シート!$A$3:$AN$3000,17,FALSE)="","",(VLOOKUP($AB72,変換表貼り付け用シート!$A$3:$AN$3000,17,FALSE)))</f>
        <v>#N/A</v>
      </c>
      <c r="AK72" s="88" t="e">
        <f>IF(VLOOKUP($AB72,変換表貼り付け用シート!$A$3:$AN$3000,18,FALSE)="","",(VLOOKUP($AB72,変換表貼り付け用シート!$A$3:$AN$3000,18,FALSE)))</f>
        <v>#N/A</v>
      </c>
      <c r="AL72" s="81" t="e">
        <f>IF(VLOOKUP($AB72,変換表貼り付け用シート!$A$3:$AN$3000,19,FALSE)="","",(VLOOKUP($AB72,変換表貼り付け用シート!$A$3:$AN$3000,19,FALSE)))</f>
        <v>#N/A</v>
      </c>
      <c r="AM72" s="75" t="e">
        <f>IF(VLOOKUP($AB72,変換表貼り付け用シート!$A$3:$AN$3000,20,FALSE)="","",(VLOOKUP($AB72,変換表貼り付け用シート!$A$3:$AN$3000,20,FALSE)))</f>
        <v>#N/A</v>
      </c>
    </row>
    <row r="73" spans="2:39" ht="21" customHeight="1" x14ac:dyDescent="0.35">
      <c r="B73" s="39"/>
      <c r="C73" s="117" t="s">
        <v>777</v>
      </c>
      <c r="D73" s="96" t="s">
        <v>271</v>
      </c>
      <c r="E73" s="27" t="s">
        <v>44</v>
      </c>
      <c r="F73" s="37" t="s">
        <v>45</v>
      </c>
      <c r="G73" s="33" t="s">
        <v>206</v>
      </c>
      <c r="H73" s="27" t="s">
        <v>207</v>
      </c>
      <c r="I73" s="27" t="s">
        <v>206</v>
      </c>
      <c r="J73" s="37" t="s">
        <v>207</v>
      </c>
      <c r="K73" s="39" t="s">
        <v>127</v>
      </c>
      <c r="L73" s="28" t="s">
        <v>139</v>
      </c>
      <c r="M73" s="28" t="s">
        <v>48</v>
      </c>
      <c r="N73" s="41" t="s">
        <v>49</v>
      </c>
      <c r="O73" s="39">
        <v>1261</v>
      </c>
      <c r="P73" s="28"/>
      <c r="Q73" s="28"/>
      <c r="R73" s="41"/>
      <c r="S73" s="39"/>
      <c r="T73" s="41"/>
      <c r="U73" s="39"/>
      <c r="V73" s="41"/>
      <c r="W73" s="43" t="s">
        <v>711</v>
      </c>
      <c r="X73" s="33"/>
      <c r="Y73" s="27"/>
      <c r="Z73" s="29"/>
      <c r="AB73" s="73" t="str">
        <f t="shared" si="0"/>
        <v>性能検討用走行抵抗式(ePT連れ回り排除)動力AccerelationIP－</v>
      </c>
      <c r="AC73" s="74" t="e">
        <f>VLOOKUP($AB73,変換表貼り付け用シート!$A$3:$AN$1133,3,FALSE)</f>
        <v>#N/A</v>
      </c>
      <c r="AD73" s="74" t="e">
        <f t="shared" si="1"/>
        <v>#N/A</v>
      </c>
      <c r="AE73" s="79" t="e">
        <f>IF(VLOOKUP($AB73,変換表貼り付け用シート!$A$3:$AN$3000,12,FALSE)="","",(VLOOKUP($AB73,変換表貼り付け用シート!$A$3:$AN$3000,12,FALSE)))</f>
        <v>#N/A</v>
      </c>
      <c r="AF73" s="80" t="e">
        <f>IF(VLOOKUP($AB73,変換表貼り付け用シート!$A$3:$AN$3000,13,FALSE)="","",(VLOOKUP($AB73,変換表貼り付け用シート!$A$3:$AN$3000,13,FALSE)))</f>
        <v>#N/A</v>
      </c>
      <c r="AG73" s="80" t="e">
        <f>IF(VLOOKUP($AB73,変換表貼り付け用シート!$A$3:$AN$3000,14,FALSE)="","",(VLOOKUP($AB73,変換表貼り付け用シート!$A$3:$AN$3000,14,FALSE)))</f>
        <v>#N/A</v>
      </c>
      <c r="AH73" s="85" t="e">
        <f>IF(VLOOKUP($AB73,変換表貼り付け用シート!$A$3:$AN$3000,15,FALSE)="","",(VLOOKUP($AB73,変換表貼り付け用シート!$A$3:$AN$3000,15,FALSE)))</f>
        <v>#N/A</v>
      </c>
      <c r="AI73" s="79" t="e">
        <f>IF(VLOOKUP($AB73,変換表貼り付け用シート!$A$3:$AN$3000,16,FALSE)="","",(VLOOKUP($AB73,変換表貼り付け用シート!$A$3:$AN$3000,16,FALSE)))</f>
        <v>#N/A</v>
      </c>
      <c r="AJ73" s="81" t="e">
        <f>IF(VLOOKUP($AB73,変換表貼り付け用シート!$A$3:$AN$3000,17,FALSE)="","",(VLOOKUP($AB73,変換表貼り付け用シート!$A$3:$AN$3000,17,FALSE)))</f>
        <v>#N/A</v>
      </c>
      <c r="AK73" s="88" t="e">
        <f>IF(VLOOKUP($AB73,変換表貼り付け用シート!$A$3:$AN$3000,18,FALSE)="","",(VLOOKUP($AB73,変換表貼り付け用シート!$A$3:$AN$3000,18,FALSE)))</f>
        <v>#N/A</v>
      </c>
      <c r="AL73" s="81" t="e">
        <f>IF(VLOOKUP($AB73,変換表貼り付け用シート!$A$3:$AN$3000,19,FALSE)="","",(VLOOKUP($AB73,変換表貼り付け用シート!$A$3:$AN$3000,19,FALSE)))</f>
        <v>#N/A</v>
      </c>
      <c r="AM73" s="75" t="e">
        <f>IF(VLOOKUP($AB73,変換表貼り付け用シート!$A$3:$AN$3000,20,FALSE)="","",(VLOOKUP($AB73,変換表貼り付け用シート!$A$3:$AN$3000,20,FALSE)))</f>
        <v>#N/A</v>
      </c>
    </row>
    <row r="74" spans="2:39" ht="21" customHeight="1" x14ac:dyDescent="0.35">
      <c r="B74" s="39"/>
      <c r="C74" s="117" t="s">
        <v>778</v>
      </c>
      <c r="D74" s="96" t="s">
        <v>272</v>
      </c>
      <c r="E74" s="27" t="s">
        <v>44</v>
      </c>
      <c r="F74" s="37" t="s">
        <v>45</v>
      </c>
      <c r="G74" s="33" t="s">
        <v>206</v>
      </c>
      <c r="H74" s="27" t="s">
        <v>207</v>
      </c>
      <c r="I74" s="27" t="s">
        <v>206</v>
      </c>
      <c r="J74" s="37" t="s">
        <v>207</v>
      </c>
      <c r="K74" s="39" t="s">
        <v>127</v>
      </c>
      <c r="L74" s="28" t="s">
        <v>140</v>
      </c>
      <c r="M74" s="28" t="s">
        <v>48</v>
      </c>
      <c r="N74" s="41" t="s">
        <v>120</v>
      </c>
      <c r="O74" s="39">
        <v>92.17</v>
      </c>
      <c r="P74" s="28"/>
      <c r="Q74" s="28"/>
      <c r="R74" s="41"/>
      <c r="S74" s="39"/>
      <c r="T74" s="41"/>
      <c r="U74" s="39"/>
      <c r="V74" s="41"/>
      <c r="W74" s="43" t="s">
        <v>711</v>
      </c>
      <c r="X74" s="33"/>
      <c r="Y74" s="27"/>
      <c r="Z74" s="29"/>
      <c r="AB74" s="73" t="str">
        <f t="shared" ref="AB74:AB137" si="2">K74&amp;L74&amp;M74</f>
        <v>性能検討用走行抵抗式(ePT連れ回り排除)動力VmaxA0－</v>
      </c>
      <c r="AC74" s="74" t="e">
        <f>VLOOKUP($AB74,変換表貼り付け用シート!$A$3:$AN$1133,3,FALSE)</f>
        <v>#N/A</v>
      </c>
      <c r="AD74" s="74" t="e">
        <f t="shared" ref="AD74:AD137" si="3">IF(AE74&amp;AF74&amp;AG74&amp;AH74&amp;AI74&amp;AJ74&amp;AK74&amp;AL74&amp;AM74=O74&amp;P74&amp;Q74&amp;R74&amp;S74&amp;T74&amp;U74&amp;V74&amp;W74,"","更新")</f>
        <v>#N/A</v>
      </c>
      <c r="AE74" s="79" t="e">
        <f>IF(VLOOKUP($AB74,変換表貼り付け用シート!$A$3:$AN$3000,12,FALSE)="","",(VLOOKUP($AB74,変換表貼り付け用シート!$A$3:$AN$3000,12,FALSE)))</f>
        <v>#N/A</v>
      </c>
      <c r="AF74" s="80" t="e">
        <f>IF(VLOOKUP($AB74,変換表貼り付け用シート!$A$3:$AN$3000,13,FALSE)="","",(VLOOKUP($AB74,変換表貼り付け用シート!$A$3:$AN$3000,13,FALSE)))</f>
        <v>#N/A</v>
      </c>
      <c r="AG74" s="80" t="e">
        <f>IF(VLOOKUP($AB74,変換表貼り付け用シート!$A$3:$AN$3000,14,FALSE)="","",(VLOOKUP($AB74,変換表貼り付け用シート!$A$3:$AN$3000,14,FALSE)))</f>
        <v>#N/A</v>
      </c>
      <c r="AH74" s="85" t="e">
        <f>IF(VLOOKUP($AB74,変換表貼り付け用シート!$A$3:$AN$3000,15,FALSE)="","",(VLOOKUP($AB74,変換表貼り付け用シート!$A$3:$AN$3000,15,FALSE)))</f>
        <v>#N/A</v>
      </c>
      <c r="AI74" s="79" t="e">
        <f>IF(VLOOKUP($AB74,変換表貼り付け用シート!$A$3:$AN$3000,16,FALSE)="","",(VLOOKUP($AB74,変換表貼り付け用シート!$A$3:$AN$3000,16,FALSE)))</f>
        <v>#N/A</v>
      </c>
      <c r="AJ74" s="81" t="e">
        <f>IF(VLOOKUP($AB74,変換表貼り付け用シート!$A$3:$AN$3000,17,FALSE)="","",(VLOOKUP($AB74,変換表貼り付け用シート!$A$3:$AN$3000,17,FALSE)))</f>
        <v>#N/A</v>
      </c>
      <c r="AK74" s="88" t="e">
        <f>IF(VLOOKUP($AB74,変換表貼り付け用シート!$A$3:$AN$3000,18,FALSE)="","",(VLOOKUP($AB74,変換表貼り付け用シート!$A$3:$AN$3000,18,FALSE)))</f>
        <v>#N/A</v>
      </c>
      <c r="AL74" s="81" t="e">
        <f>IF(VLOOKUP($AB74,変換表貼り付け用シート!$A$3:$AN$3000,19,FALSE)="","",(VLOOKUP($AB74,変換表貼り付け用シート!$A$3:$AN$3000,19,FALSE)))</f>
        <v>#N/A</v>
      </c>
      <c r="AM74" s="75" t="e">
        <f>IF(VLOOKUP($AB74,変換表貼り付け用シート!$A$3:$AN$3000,20,FALSE)="","",(VLOOKUP($AB74,変換表貼り付け用シート!$A$3:$AN$3000,20,FALSE)))</f>
        <v>#N/A</v>
      </c>
    </row>
    <row r="75" spans="2:39" ht="21" customHeight="1" x14ac:dyDescent="0.35">
      <c r="B75" s="39"/>
      <c r="C75" s="117" t="s">
        <v>779</v>
      </c>
      <c r="D75" s="96" t="s">
        <v>273</v>
      </c>
      <c r="E75" s="27" t="s">
        <v>44</v>
      </c>
      <c r="F75" s="37" t="s">
        <v>45</v>
      </c>
      <c r="G75" s="33" t="s">
        <v>206</v>
      </c>
      <c r="H75" s="27" t="s">
        <v>207</v>
      </c>
      <c r="I75" s="27" t="s">
        <v>206</v>
      </c>
      <c r="J75" s="37" t="s">
        <v>207</v>
      </c>
      <c r="K75" s="39" t="s">
        <v>127</v>
      </c>
      <c r="L75" s="28" t="s">
        <v>141</v>
      </c>
      <c r="M75" s="28" t="s">
        <v>48</v>
      </c>
      <c r="N75" s="41" t="s">
        <v>122</v>
      </c>
      <c r="O75" s="39" t="s">
        <v>48</v>
      </c>
      <c r="P75" s="28"/>
      <c r="Q75" s="28"/>
      <c r="R75" s="41"/>
      <c r="S75" s="39"/>
      <c r="T75" s="41"/>
      <c r="U75" s="39"/>
      <c r="V75" s="41"/>
      <c r="W75" s="43" t="s">
        <v>711</v>
      </c>
      <c r="X75" s="33"/>
      <c r="Y75" s="27"/>
      <c r="Z75" s="29"/>
      <c r="AB75" s="73" t="str">
        <f t="shared" si="2"/>
        <v>性能検討用走行抵抗式(ePT連れ回り排除)動力VmaxA1－</v>
      </c>
      <c r="AC75" s="74" t="e">
        <f>VLOOKUP($AB75,変換表貼り付け用シート!$A$3:$AN$1133,3,FALSE)</f>
        <v>#N/A</v>
      </c>
      <c r="AD75" s="74" t="e">
        <f t="shared" si="3"/>
        <v>#N/A</v>
      </c>
      <c r="AE75" s="79" t="e">
        <f>IF(VLOOKUP($AB75,変換表貼り付け用シート!$A$3:$AN$3000,12,FALSE)="","",(VLOOKUP($AB75,変換表貼り付け用シート!$A$3:$AN$3000,12,FALSE)))</f>
        <v>#N/A</v>
      </c>
      <c r="AF75" s="80" t="e">
        <f>IF(VLOOKUP($AB75,変換表貼り付け用シート!$A$3:$AN$3000,13,FALSE)="","",(VLOOKUP($AB75,変換表貼り付け用シート!$A$3:$AN$3000,13,FALSE)))</f>
        <v>#N/A</v>
      </c>
      <c r="AG75" s="80" t="e">
        <f>IF(VLOOKUP($AB75,変換表貼り付け用シート!$A$3:$AN$3000,14,FALSE)="","",(VLOOKUP($AB75,変換表貼り付け用シート!$A$3:$AN$3000,14,FALSE)))</f>
        <v>#N/A</v>
      </c>
      <c r="AH75" s="85" t="e">
        <f>IF(VLOOKUP($AB75,変換表貼り付け用シート!$A$3:$AN$3000,15,FALSE)="","",(VLOOKUP($AB75,変換表貼り付け用シート!$A$3:$AN$3000,15,FALSE)))</f>
        <v>#N/A</v>
      </c>
      <c r="AI75" s="79" t="e">
        <f>IF(VLOOKUP($AB75,変換表貼り付け用シート!$A$3:$AN$3000,16,FALSE)="","",(VLOOKUP($AB75,変換表貼り付け用シート!$A$3:$AN$3000,16,FALSE)))</f>
        <v>#N/A</v>
      </c>
      <c r="AJ75" s="81" t="e">
        <f>IF(VLOOKUP($AB75,変換表貼り付け用シート!$A$3:$AN$3000,17,FALSE)="","",(VLOOKUP($AB75,変換表貼り付け用シート!$A$3:$AN$3000,17,FALSE)))</f>
        <v>#N/A</v>
      </c>
      <c r="AK75" s="88" t="e">
        <f>IF(VLOOKUP($AB75,変換表貼り付け用シート!$A$3:$AN$3000,18,FALSE)="","",(VLOOKUP($AB75,変換表貼り付け用シート!$A$3:$AN$3000,18,FALSE)))</f>
        <v>#N/A</v>
      </c>
      <c r="AL75" s="81" t="e">
        <f>IF(VLOOKUP($AB75,変換表貼り付け用シート!$A$3:$AN$3000,19,FALSE)="","",(VLOOKUP($AB75,変換表貼り付け用シート!$A$3:$AN$3000,19,FALSE)))</f>
        <v>#N/A</v>
      </c>
      <c r="AM75" s="75" t="e">
        <f>IF(VLOOKUP($AB75,変換表貼り付け用シート!$A$3:$AN$3000,20,FALSE)="","",(VLOOKUP($AB75,変換表貼り付け用シート!$A$3:$AN$3000,20,FALSE)))</f>
        <v>#N/A</v>
      </c>
    </row>
    <row r="76" spans="2:39" ht="21" customHeight="1" x14ac:dyDescent="0.35">
      <c r="B76" s="39"/>
      <c r="C76" s="117" t="s">
        <v>780</v>
      </c>
      <c r="D76" s="96" t="s">
        <v>274</v>
      </c>
      <c r="E76" s="27" t="s">
        <v>44</v>
      </c>
      <c r="F76" s="37" t="s">
        <v>45</v>
      </c>
      <c r="G76" s="33" t="s">
        <v>206</v>
      </c>
      <c r="H76" s="27" t="s">
        <v>207</v>
      </c>
      <c r="I76" s="27" t="s">
        <v>206</v>
      </c>
      <c r="J76" s="37" t="s">
        <v>207</v>
      </c>
      <c r="K76" s="39" t="s">
        <v>127</v>
      </c>
      <c r="L76" s="28" t="s">
        <v>142</v>
      </c>
      <c r="M76" s="28" t="s">
        <v>48</v>
      </c>
      <c r="N76" s="41" t="s">
        <v>124</v>
      </c>
      <c r="O76" s="39">
        <v>4.3650000000000001E-2</v>
      </c>
      <c r="P76" s="28"/>
      <c r="Q76" s="28"/>
      <c r="R76" s="41"/>
      <c r="S76" s="39"/>
      <c r="T76" s="41"/>
      <c r="U76" s="39"/>
      <c r="V76" s="41"/>
      <c r="W76" s="43" t="s">
        <v>711</v>
      </c>
      <c r="X76" s="33"/>
      <c r="Y76" s="27"/>
      <c r="Z76" s="29"/>
      <c r="AB76" s="73" t="str">
        <f t="shared" si="2"/>
        <v>性能検討用走行抵抗式(ePT連れ回り排除)動力VmaxA2－</v>
      </c>
      <c r="AC76" s="74" t="e">
        <f>VLOOKUP($AB76,変換表貼り付け用シート!$A$3:$AN$1133,3,FALSE)</f>
        <v>#N/A</v>
      </c>
      <c r="AD76" s="74" t="e">
        <f t="shared" si="3"/>
        <v>#N/A</v>
      </c>
      <c r="AE76" s="79" t="e">
        <f>IF(VLOOKUP($AB76,変換表貼り付け用シート!$A$3:$AN$3000,12,FALSE)="","",(VLOOKUP($AB76,変換表貼り付け用シート!$A$3:$AN$3000,12,FALSE)))</f>
        <v>#N/A</v>
      </c>
      <c r="AF76" s="80" t="e">
        <f>IF(VLOOKUP($AB76,変換表貼り付け用シート!$A$3:$AN$3000,13,FALSE)="","",(VLOOKUP($AB76,変換表貼り付け用シート!$A$3:$AN$3000,13,FALSE)))</f>
        <v>#N/A</v>
      </c>
      <c r="AG76" s="80" t="e">
        <f>IF(VLOOKUP($AB76,変換表貼り付け用シート!$A$3:$AN$3000,14,FALSE)="","",(VLOOKUP($AB76,変換表貼り付け用シート!$A$3:$AN$3000,14,FALSE)))</f>
        <v>#N/A</v>
      </c>
      <c r="AH76" s="85" t="e">
        <f>IF(VLOOKUP($AB76,変換表貼り付け用シート!$A$3:$AN$3000,15,FALSE)="","",(VLOOKUP($AB76,変換表貼り付け用シート!$A$3:$AN$3000,15,FALSE)))</f>
        <v>#N/A</v>
      </c>
      <c r="AI76" s="79" t="e">
        <f>IF(VLOOKUP($AB76,変換表貼り付け用シート!$A$3:$AN$3000,16,FALSE)="","",(VLOOKUP($AB76,変換表貼り付け用シート!$A$3:$AN$3000,16,FALSE)))</f>
        <v>#N/A</v>
      </c>
      <c r="AJ76" s="81" t="e">
        <f>IF(VLOOKUP($AB76,変換表貼り付け用シート!$A$3:$AN$3000,17,FALSE)="","",(VLOOKUP($AB76,変換表貼り付け用シート!$A$3:$AN$3000,17,FALSE)))</f>
        <v>#N/A</v>
      </c>
      <c r="AK76" s="88" t="e">
        <f>IF(VLOOKUP($AB76,変換表貼り付け用シート!$A$3:$AN$3000,18,FALSE)="","",(VLOOKUP($AB76,変換表貼り付け用シート!$A$3:$AN$3000,18,FALSE)))</f>
        <v>#N/A</v>
      </c>
      <c r="AL76" s="81" t="e">
        <f>IF(VLOOKUP($AB76,変換表貼り付け用シート!$A$3:$AN$3000,19,FALSE)="","",(VLOOKUP($AB76,変換表貼り付け用シート!$A$3:$AN$3000,19,FALSE)))</f>
        <v>#N/A</v>
      </c>
      <c r="AM76" s="75" t="e">
        <f>IF(VLOOKUP($AB76,変換表貼り付け用シート!$A$3:$AN$3000,20,FALSE)="","",(VLOOKUP($AB76,変換表貼り付け用シート!$A$3:$AN$3000,20,FALSE)))</f>
        <v>#N/A</v>
      </c>
    </row>
    <row r="77" spans="2:39" ht="21" customHeight="1" x14ac:dyDescent="0.35">
      <c r="B77" s="39"/>
      <c r="C77" s="117" t="s">
        <v>781</v>
      </c>
      <c r="D77" s="96" t="s">
        <v>275</v>
      </c>
      <c r="E77" s="27" t="s">
        <v>44</v>
      </c>
      <c r="F77" s="37" t="s">
        <v>45</v>
      </c>
      <c r="G77" s="33" t="s">
        <v>206</v>
      </c>
      <c r="H77" s="27" t="s">
        <v>207</v>
      </c>
      <c r="I77" s="27" t="s">
        <v>206</v>
      </c>
      <c r="J77" s="37" t="s">
        <v>207</v>
      </c>
      <c r="K77" s="39" t="s">
        <v>127</v>
      </c>
      <c r="L77" s="28" t="s">
        <v>143</v>
      </c>
      <c r="M77" s="28" t="s">
        <v>48</v>
      </c>
      <c r="N77" s="41" t="s">
        <v>49</v>
      </c>
      <c r="O77" s="39">
        <v>1261</v>
      </c>
      <c r="P77" s="28"/>
      <c r="Q77" s="28"/>
      <c r="R77" s="41"/>
      <c r="S77" s="39"/>
      <c r="T77" s="41"/>
      <c r="U77" s="39"/>
      <c r="V77" s="41"/>
      <c r="W77" s="43" t="s">
        <v>711</v>
      </c>
      <c r="X77" s="33"/>
      <c r="Y77" s="27"/>
      <c r="Z77" s="29"/>
      <c r="AB77" s="73" t="str">
        <f t="shared" si="2"/>
        <v>性能検討用走行抵抗式(ePT連れ回り排除)動力VmaxIP－</v>
      </c>
      <c r="AC77" s="74" t="e">
        <f>VLOOKUP($AB77,変換表貼り付け用シート!$A$3:$AN$1133,3,FALSE)</f>
        <v>#N/A</v>
      </c>
      <c r="AD77" s="74" t="e">
        <f t="shared" si="3"/>
        <v>#N/A</v>
      </c>
      <c r="AE77" s="79" t="e">
        <f>IF(VLOOKUP($AB77,変換表貼り付け用シート!$A$3:$AN$3000,12,FALSE)="","",(VLOOKUP($AB77,変換表貼り付け用シート!$A$3:$AN$3000,12,FALSE)))</f>
        <v>#N/A</v>
      </c>
      <c r="AF77" s="80" t="e">
        <f>IF(VLOOKUP($AB77,変換表貼り付け用シート!$A$3:$AN$3000,13,FALSE)="","",(VLOOKUP($AB77,変換表貼り付け用シート!$A$3:$AN$3000,13,FALSE)))</f>
        <v>#N/A</v>
      </c>
      <c r="AG77" s="80" t="e">
        <f>IF(VLOOKUP($AB77,変換表貼り付け用シート!$A$3:$AN$3000,14,FALSE)="","",(VLOOKUP($AB77,変換表貼り付け用シート!$A$3:$AN$3000,14,FALSE)))</f>
        <v>#N/A</v>
      </c>
      <c r="AH77" s="85" t="e">
        <f>IF(VLOOKUP($AB77,変換表貼り付け用シート!$A$3:$AN$3000,15,FALSE)="","",(VLOOKUP($AB77,変換表貼り付け用シート!$A$3:$AN$3000,15,FALSE)))</f>
        <v>#N/A</v>
      </c>
      <c r="AI77" s="79" t="e">
        <f>IF(VLOOKUP($AB77,変換表貼り付け用シート!$A$3:$AN$3000,16,FALSE)="","",(VLOOKUP($AB77,変換表貼り付け用シート!$A$3:$AN$3000,16,FALSE)))</f>
        <v>#N/A</v>
      </c>
      <c r="AJ77" s="81" t="e">
        <f>IF(VLOOKUP($AB77,変換表貼り付け用シート!$A$3:$AN$3000,17,FALSE)="","",(VLOOKUP($AB77,変換表貼り付け用シート!$A$3:$AN$3000,17,FALSE)))</f>
        <v>#N/A</v>
      </c>
      <c r="AK77" s="88" t="e">
        <f>IF(VLOOKUP($AB77,変換表貼り付け用シート!$A$3:$AN$3000,18,FALSE)="","",(VLOOKUP($AB77,変換表貼り付け用シート!$A$3:$AN$3000,18,FALSE)))</f>
        <v>#N/A</v>
      </c>
      <c r="AL77" s="81" t="e">
        <f>IF(VLOOKUP($AB77,変換表貼り付け用シート!$A$3:$AN$3000,19,FALSE)="","",(VLOOKUP($AB77,変換表貼り付け用シート!$A$3:$AN$3000,19,FALSE)))</f>
        <v>#N/A</v>
      </c>
      <c r="AM77" s="75" t="e">
        <f>IF(VLOOKUP($AB77,変換表貼り付け用シート!$A$3:$AN$3000,20,FALSE)="","",(VLOOKUP($AB77,変換表貼り付け用シート!$A$3:$AN$3000,20,FALSE)))</f>
        <v>#N/A</v>
      </c>
    </row>
    <row r="78" spans="2:39" ht="21" customHeight="1" x14ac:dyDescent="0.35">
      <c r="B78" s="39"/>
      <c r="C78" s="117" t="s">
        <v>782</v>
      </c>
      <c r="D78" s="96" t="s">
        <v>276</v>
      </c>
      <c r="E78" s="27" t="s">
        <v>44</v>
      </c>
      <c r="F78" s="37" t="s">
        <v>45</v>
      </c>
      <c r="G78" s="33" t="s">
        <v>206</v>
      </c>
      <c r="H78" s="27" t="s">
        <v>207</v>
      </c>
      <c r="I78" s="27" t="s">
        <v>206</v>
      </c>
      <c r="J78" s="37" t="s">
        <v>207</v>
      </c>
      <c r="K78" s="39" t="s">
        <v>127</v>
      </c>
      <c r="L78" s="28" t="s">
        <v>144</v>
      </c>
      <c r="M78" s="28" t="s">
        <v>48</v>
      </c>
      <c r="N78" s="41" t="s">
        <v>145</v>
      </c>
      <c r="O78" s="39" t="s">
        <v>146</v>
      </c>
      <c r="P78" s="28"/>
      <c r="Q78" s="28"/>
      <c r="R78" s="41"/>
      <c r="S78" s="39"/>
      <c r="T78" s="41"/>
      <c r="U78" s="39"/>
      <c r="V78" s="41"/>
      <c r="W78" s="43" t="s">
        <v>711</v>
      </c>
      <c r="X78" s="33"/>
      <c r="Y78" s="27"/>
      <c r="Z78" s="29"/>
      <c r="AB78" s="73" t="str">
        <f t="shared" si="2"/>
        <v>性能検討用走行抵抗式(ePT連れ回り排除)熱NEMシビアシーンA0－</v>
      </c>
      <c r="AC78" s="74" t="e">
        <f>VLOOKUP($AB78,変換表貼り付け用シート!$A$3:$AN$1133,3,FALSE)</f>
        <v>#N/A</v>
      </c>
      <c r="AD78" s="74" t="e">
        <f t="shared" si="3"/>
        <v>#N/A</v>
      </c>
      <c r="AE78" s="79" t="e">
        <f>IF(VLOOKUP($AB78,変換表貼り付け用シート!$A$3:$AN$3000,12,FALSE)="","",(VLOOKUP($AB78,変換表貼り付け用シート!$A$3:$AN$3000,12,FALSE)))</f>
        <v>#N/A</v>
      </c>
      <c r="AF78" s="80" t="e">
        <f>IF(VLOOKUP($AB78,変換表貼り付け用シート!$A$3:$AN$3000,13,FALSE)="","",(VLOOKUP($AB78,変換表貼り付け用シート!$A$3:$AN$3000,13,FALSE)))</f>
        <v>#N/A</v>
      </c>
      <c r="AG78" s="80" t="e">
        <f>IF(VLOOKUP($AB78,変換表貼り付け用シート!$A$3:$AN$3000,14,FALSE)="","",(VLOOKUP($AB78,変換表貼り付け用シート!$A$3:$AN$3000,14,FALSE)))</f>
        <v>#N/A</v>
      </c>
      <c r="AH78" s="85" t="e">
        <f>IF(VLOOKUP($AB78,変換表貼り付け用シート!$A$3:$AN$3000,15,FALSE)="","",(VLOOKUP($AB78,変換表貼り付け用シート!$A$3:$AN$3000,15,FALSE)))</f>
        <v>#N/A</v>
      </c>
      <c r="AI78" s="79" t="e">
        <f>IF(VLOOKUP($AB78,変換表貼り付け用シート!$A$3:$AN$3000,16,FALSE)="","",(VLOOKUP($AB78,変換表貼り付け用シート!$A$3:$AN$3000,16,FALSE)))</f>
        <v>#N/A</v>
      </c>
      <c r="AJ78" s="81" t="e">
        <f>IF(VLOOKUP($AB78,変換表貼り付け用シート!$A$3:$AN$3000,17,FALSE)="","",(VLOOKUP($AB78,変換表貼り付け用シート!$A$3:$AN$3000,17,FALSE)))</f>
        <v>#N/A</v>
      </c>
      <c r="AK78" s="88" t="e">
        <f>IF(VLOOKUP($AB78,変換表貼り付け用シート!$A$3:$AN$3000,18,FALSE)="","",(VLOOKUP($AB78,変換表貼り付け用シート!$A$3:$AN$3000,18,FALSE)))</f>
        <v>#N/A</v>
      </c>
      <c r="AL78" s="81" t="e">
        <f>IF(VLOOKUP($AB78,変換表貼り付け用シート!$A$3:$AN$3000,19,FALSE)="","",(VLOOKUP($AB78,変換表貼り付け用シート!$A$3:$AN$3000,19,FALSE)))</f>
        <v>#N/A</v>
      </c>
      <c r="AM78" s="75" t="e">
        <f>IF(VLOOKUP($AB78,変換表貼り付け用シート!$A$3:$AN$3000,20,FALSE)="","",(VLOOKUP($AB78,変換表貼り付け用シート!$A$3:$AN$3000,20,FALSE)))</f>
        <v>#N/A</v>
      </c>
    </row>
    <row r="79" spans="2:39" ht="21" customHeight="1" x14ac:dyDescent="0.35">
      <c r="B79" s="39"/>
      <c r="C79" s="117" t="s">
        <v>783</v>
      </c>
      <c r="D79" s="96" t="s">
        <v>277</v>
      </c>
      <c r="E79" s="27" t="s">
        <v>44</v>
      </c>
      <c r="F79" s="37" t="s">
        <v>45</v>
      </c>
      <c r="G79" s="33" t="s">
        <v>206</v>
      </c>
      <c r="H79" s="27" t="s">
        <v>207</v>
      </c>
      <c r="I79" s="27" t="s">
        <v>206</v>
      </c>
      <c r="J79" s="37" t="s">
        <v>207</v>
      </c>
      <c r="K79" s="39" t="s">
        <v>127</v>
      </c>
      <c r="L79" s="28" t="s">
        <v>147</v>
      </c>
      <c r="M79" s="28" t="s">
        <v>48</v>
      </c>
      <c r="N79" s="41" t="s">
        <v>120</v>
      </c>
      <c r="O79" s="39">
        <v>90.9</v>
      </c>
      <c r="P79" s="28"/>
      <c r="Q79" s="28"/>
      <c r="R79" s="41"/>
      <c r="S79" s="39"/>
      <c r="T79" s="41"/>
      <c r="U79" s="39"/>
      <c r="V79" s="41"/>
      <c r="W79" s="43" t="s">
        <v>711</v>
      </c>
      <c r="X79" s="33"/>
      <c r="Y79" s="27"/>
      <c r="Z79" s="29"/>
      <c r="AB79" s="73" t="str">
        <f t="shared" si="2"/>
        <v>性能検討用走行抵抗式(ePT連れ回り排除)熱加減速繰り返し走行A0－</v>
      </c>
      <c r="AC79" s="74" t="e">
        <f>VLOOKUP($AB79,変換表貼り付け用シート!$A$3:$AN$1133,3,FALSE)</f>
        <v>#N/A</v>
      </c>
      <c r="AD79" s="74" t="e">
        <f t="shared" si="3"/>
        <v>#N/A</v>
      </c>
      <c r="AE79" s="79" t="e">
        <f>IF(VLOOKUP($AB79,変換表貼り付け用シート!$A$3:$AN$3000,12,FALSE)="","",(VLOOKUP($AB79,変換表貼り付け用シート!$A$3:$AN$3000,12,FALSE)))</f>
        <v>#N/A</v>
      </c>
      <c r="AF79" s="80" t="e">
        <f>IF(VLOOKUP($AB79,変換表貼り付け用シート!$A$3:$AN$3000,13,FALSE)="","",(VLOOKUP($AB79,変換表貼り付け用シート!$A$3:$AN$3000,13,FALSE)))</f>
        <v>#N/A</v>
      </c>
      <c r="AG79" s="80" t="e">
        <f>IF(VLOOKUP($AB79,変換表貼り付け用シート!$A$3:$AN$3000,14,FALSE)="","",(VLOOKUP($AB79,変換表貼り付け用シート!$A$3:$AN$3000,14,FALSE)))</f>
        <v>#N/A</v>
      </c>
      <c r="AH79" s="85" t="e">
        <f>IF(VLOOKUP($AB79,変換表貼り付け用シート!$A$3:$AN$3000,15,FALSE)="","",(VLOOKUP($AB79,変換表貼り付け用シート!$A$3:$AN$3000,15,FALSE)))</f>
        <v>#N/A</v>
      </c>
      <c r="AI79" s="79" t="e">
        <f>IF(VLOOKUP($AB79,変換表貼り付け用シート!$A$3:$AN$3000,16,FALSE)="","",(VLOOKUP($AB79,変換表貼り付け用シート!$A$3:$AN$3000,16,FALSE)))</f>
        <v>#N/A</v>
      </c>
      <c r="AJ79" s="81" t="e">
        <f>IF(VLOOKUP($AB79,変換表貼り付け用シート!$A$3:$AN$3000,17,FALSE)="","",(VLOOKUP($AB79,変換表貼り付け用シート!$A$3:$AN$3000,17,FALSE)))</f>
        <v>#N/A</v>
      </c>
      <c r="AK79" s="88" t="e">
        <f>IF(VLOOKUP($AB79,変換表貼り付け用シート!$A$3:$AN$3000,18,FALSE)="","",(VLOOKUP($AB79,変換表貼り付け用シート!$A$3:$AN$3000,18,FALSE)))</f>
        <v>#N/A</v>
      </c>
      <c r="AL79" s="81" t="e">
        <f>IF(VLOOKUP($AB79,変換表貼り付け用シート!$A$3:$AN$3000,19,FALSE)="","",(VLOOKUP($AB79,変換表貼り付け用シート!$A$3:$AN$3000,19,FALSE)))</f>
        <v>#N/A</v>
      </c>
      <c r="AM79" s="75" t="e">
        <f>IF(VLOOKUP($AB79,変換表貼り付け用シート!$A$3:$AN$3000,20,FALSE)="","",(VLOOKUP($AB79,変換表貼り付け用シート!$A$3:$AN$3000,20,FALSE)))</f>
        <v>#N/A</v>
      </c>
    </row>
    <row r="80" spans="2:39" ht="21" customHeight="1" x14ac:dyDescent="0.35">
      <c r="B80" s="39"/>
      <c r="C80" s="117" t="s">
        <v>784</v>
      </c>
      <c r="D80" s="96" t="s">
        <v>278</v>
      </c>
      <c r="E80" s="27" t="s">
        <v>44</v>
      </c>
      <c r="F80" s="37" t="s">
        <v>45</v>
      </c>
      <c r="G80" s="33" t="s">
        <v>206</v>
      </c>
      <c r="H80" s="27" t="s">
        <v>207</v>
      </c>
      <c r="I80" s="27" t="s">
        <v>206</v>
      </c>
      <c r="J80" s="37" t="s">
        <v>207</v>
      </c>
      <c r="K80" s="39" t="s">
        <v>127</v>
      </c>
      <c r="L80" s="28" t="s">
        <v>148</v>
      </c>
      <c r="M80" s="28" t="s">
        <v>48</v>
      </c>
      <c r="N80" s="41" t="s">
        <v>122</v>
      </c>
      <c r="O80" s="39">
        <v>-9.5100000000000004E-2</v>
      </c>
      <c r="P80" s="28"/>
      <c r="Q80" s="28"/>
      <c r="R80" s="41"/>
      <c r="S80" s="39"/>
      <c r="T80" s="41"/>
      <c r="U80" s="39"/>
      <c r="V80" s="41"/>
      <c r="W80" s="43" t="s">
        <v>711</v>
      </c>
      <c r="X80" s="33"/>
      <c r="Y80" s="27"/>
      <c r="Z80" s="29"/>
      <c r="AB80" s="73" t="str">
        <f t="shared" si="2"/>
        <v>性能検討用走行抵抗式(ePT連れ回り排除)熱加減速繰り返し走行A1－</v>
      </c>
      <c r="AC80" s="74" t="e">
        <f>VLOOKUP($AB80,変換表貼り付け用シート!$A$3:$AN$1133,3,FALSE)</f>
        <v>#N/A</v>
      </c>
      <c r="AD80" s="74" t="e">
        <f t="shared" si="3"/>
        <v>#N/A</v>
      </c>
      <c r="AE80" s="79" t="e">
        <f>IF(VLOOKUP($AB80,変換表貼り付け用シート!$A$3:$AN$3000,12,FALSE)="","",(VLOOKUP($AB80,変換表貼り付け用シート!$A$3:$AN$3000,12,FALSE)))</f>
        <v>#N/A</v>
      </c>
      <c r="AF80" s="80" t="e">
        <f>IF(VLOOKUP($AB80,変換表貼り付け用シート!$A$3:$AN$3000,13,FALSE)="","",(VLOOKUP($AB80,変換表貼り付け用シート!$A$3:$AN$3000,13,FALSE)))</f>
        <v>#N/A</v>
      </c>
      <c r="AG80" s="80" t="e">
        <f>IF(VLOOKUP($AB80,変換表貼り付け用シート!$A$3:$AN$3000,14,FALSE)="","",(VLOOKUP($AB80,変換表貼り付け用シート!$A$3:$AN$3000,14,FALSE)))</f>
        <v>#N/A</v>
      </c>
      <c r="AH80" s="85" t="e">
        <f>IF(VLOOKUP($AB80,変換表貼り付け用シート!$A$3:$AN$3000,15,FALSE)="","",(VLOOKUP($AB80,変換表貼り付け用シート!$A$3:$AN$3000,15,FALSE)))</f>
        <v>#N/A</v>
      </c>
      <c r="AI80" s="79" t="e">
        <f>IF(VLOOKUP($AB80,変換表貼り付け用シート!$A$3:$AN$3000,16,FALSE)="","",(VLOOKUP($AB80,変換表貼り付け用シート!$A$3:$AN$3000,16,FALSE)))</f>
        <v>#N/A</v>
      </c>
      <c r="AJ80" s="81" t="e">
        <f>IF(VLOOKUP($AB80,変換表貼り付け用シート!$A$3:$AN$3000,17,FALSE)="","",(VLOOKUP($AB80,変換表貼り付け用シート!$A$3:$AN$3000,17,FALSE)))</f>
        <v>#N/A</v>
      </c>
      <c r="AK80" s="88" t="e">
        <f>IF(VLOOKUP($AB80,変換表貼り付け用シート!$A$3:$AN$3000,18,FALSE)="","",(VLOOKUP($AB80,変換表貼り付け用シート!$A$3:$AN$3000,18,FALSE)))</f>
        <v>#N/A</v>
      </c>
      <c r="AL80" s="81" t="e">
        <f>IF(VLOOKUP($AB80,変換表貼り付け用シート!$A$3:$AN$3000,19,FALSE)="","",(VLOOKUP($AB80,変換表貼り付け用シート!$A$3:$AN$3000,19,FALSE)))</f>
        <v>#N/A</v>
      </c>
      <c r="AM80" s="75" t="e">
        <f>IF(VLOOKUP($AB80,変換表貼り付け用シート!$A$3:$AN$3000,20,FALSE)="","",(VLOOKUP($AB80,変換表貼り付け用シート!$A$3:$AN$3000,20,FALSE)))</f>
        <v>#N/A</v>
      </c>
    </row>
    <row r="81" spans="2:39" ht="21" customHeight="1" x14ac:dyDescent="0.35">
      <c r="B81" s="39"/>
      <c r="C81" s="117" t="s">
        <v>785</v>
      </c>
      <c r="D81" s="96" t="s">
        <v>279</v>
      </c>
      <c r="E81" s="27" t="s">
        <v>44</v>
      </c>
      <c r="F81" s="37" t="s">
        <v>45</v>
      </c>
      <c r="G81" s="33" t="s">
        <v>206</v>
      </c>
      <c r="H81" s="27" t="s">
        <v>207</v>
      </c>
      <c r="I81" s="27" t="s">
        <v>206</v>
      </c>
      <c r="J81" s="37" t="s">
        <v>207</v>
      </c>
      <c r="K81" s="39" t="s">
        <v>127</v>
      </c>
      <c r="L81" s="28" t="s">
        <v>149</v>
      </c>
      <c r="M81" s="28" t="s">
        <v>48</v>
      </c>
      <c r="N81" s="41" t="s">
        <v>124</v>
      </c>
      <c r="O81" s="39">
        <v>4.326E-2</v>
      </c>
      <c r="P81" s="28"/>
      <c r="Q81" s="28"/>
      <c r="R81" s="41"/>
      <c r="S81" s="39"/>
      <c r="T81" s="41"/>
      <c r="U81" s="39"/>
      <c r="V81" s="41"/>
      <c r="W81" s="43" t="s">
        <v>711</v>
      </c>
      <c r="X81" s="33"/>
      <c r="Y81" s="27"/>
      <c r="Z81" s="29"/>
      <c r="AB81" s="73" t="str">
        <f t="shared" si="2"/>
        <v>性能検討用走行抵抗式(ePT連れ回り排除)熱加減速繰り返し走行A2－</v>
      </c>
      <c r="AC81" s="74" t="e">
        <f>VLOOKUP($AB81,変換表貼り付け用シート!$A$3:$AN$1133,3,FALSE)</f>
        <v>#N/A</v>
      </c>
      <c r="AD81" s="74" t="e">
        <f t="shared" si="3"/>
        <v>#N/A</v>
      </c>
      <c r="AE81" s="79" t="e">
        <f>IF(VLOOKUP($AB81,変換表貼り付け用シート!$A$3:$AN$3000,12,FALSE)="","",(VLOOKUP($AB81,変換表貼り付け用シート!$A$3:$AN$3000,12,FALSE)))</f>
        <v>#N/A</v>
      </c>
      <c r="AF81" s="80" t="e">
        <f>IF(VLOOKUP($AB81,変換表貼り付け用シート!$A$3:$AN$3000,13,FALSE)="","",(VLOOKUP($AB81,変換表貼り付け用シート!$A$3:$AN$3000,13,FALSE)))</f>
        <v>#N/A</v>
      </c>
      <c r="AG81" s="80" t="e">
        <f>IF(VLOOKUP($AB81,変換表貼り付け用シート!$A$3:$AN$3000,14,FALSE)="","",(VLOOKUP($AB81,変換表貼り付け用シート!$A$3:$AN$3000,14,FALSE)))</f>
        <v>#N/A</v>
      </c>
      <c r="AH81" s="85" t="e">
        <f>IF(VLOOKUP($AB81,変換表貼り付け用シート!$A$3:$AN$3000,15,FALSE)="","",(VLOOKUP($AB81,変換表貼り付け用シート!$A$3:$AN$3000,15,FALSE)))</f>
        <v>#N/A</v>
      </c>
      <c r="AI81" s="79" t="e">
        <f>IF(VLOOKUP($AB81,変換表貼り付け用シート!$A$3:$AN$3000,16,FALSE)="","",(VLOOKUP($AB81,変換表貼り付け用シート!$A$3:$AN$3000,16,FALSE)))</f>
        <v>#N/A</v>
      </c>
      <c r="AJ81" s="81" t="e">
        <f>IF(VLOOKUP($AB81,変換表貼り付け用シート!$A$3:$AN$3000,17,FALSE)="","",(VLOOKUP($AB81,変換表貼り付け用シート!$A$3:$AN$3000,17,FALSE)))</f>
        <v>#N/A</v>
      </c>
      <c r="AK81" s="88" t="e">
        <f>IF(VLOOKUP($AB81,変換表貼り付け用シート!$A$3:$AN$3000,18,FALSE)="","",(VLOOKUP($AB81,変換表貼り付け用シート!$A$3:$AN$3000,18,FALSE)))</f>
        <v>#N/A</v>
      </c>
      <c r="AL81" s="81" t="e">
        <f>IF(VLOOKUP($AB81,変換表貼り付け用シート!$A$3:$AN$3000,19,FALSE)="","",(VLOOKUP($AB81,変換表貼り付け用シート!$A$3:$AN$3000,19,FALSE)))</f>
        <v>#N/A</v>
      </c>
      <c r="AM81" s="75" t="e">
        <f>IF(VLOOKUP($AB81,変換表貼り付け用シート!$A$3:$AN$3000,20,FALSE)="","",(VLOOKUP($AB81,変換表貼り付け用シート!$A$3:$AN$3000,20,FALSE)))</f>
        <v>#N/A</v>
      </c>
    </row>
    <row r="82" spans="2:39" ht="21" customHeight="1" x14ac:dyDescent="0.35">
      <c r="B82" s="39"/>
      <c r="C82" s="117" t="s">
        <v>786</v>
      </c>
      <c r="D82" s="96" t="s">
        <v>280</v>
      </c>
      <c r="E82" s="27" t="s">
        <v>44</v>
      </c>
      <c r="F82" s="37" t="s">
        <v>45</v>
      </c>
      <c r="G82" s="33" t="s">
        <v>206</v>
      </c>
      <c r="H82" s="27" t="s">
        <v>207</v>
      </c>
      <c r="I82" s="27" t="s">
        <v>206</v>
      </c>
      <c r="J82" s="37" t="s">
        <v>207</v>
      </c>
      <c r="K82" s="39" t="s">
        <v>127</v>
      </c>
      <c r="L82" s="28" t="s">
        <v>150</v>
      </c>
      <c r="M82" s="28" t="s">
        <v>48</v>
      </c>
      <c r="N82" s="41" t="s">
        <v>49</v>
      </c>
      <c r="O82" s="39">
        <v>1380</v>
      </c>
      <c r="P82" s="28"/>
      <c r="Q82" s="28"/>
      <c r="R82" s="41"/>
      <c r="S82" s="39"/>
      <c r="T82" s="41"/>
      <c r="U82" s="39"/>
      <c r="V82" s="41"/>
      <c r="W82" s="43" t="s">
        <v>711</v>
      </c>
      <c r="X82" s="33"/>
      <c r="Y82" s="27"/>
      <c r="Z82" s="29"/>
      <c r="AB82" s="73" t="str">
        <f t="shared" si="2"/>
        <v>性能検討用走行抵抗式(ePT連れ回り排除)熱加減速繰り返し走行IP－</v>
      </c>
      <c r="AC82" s="74" t="e">
        <f>VLOOKUP($AB82,変換表貼り付け用シート!$A$3:$AN$1133,3,FALSE)</f>
        <v>#N/A</v>
      </c>
      <c r="AD82" s="74" t="e">
        <f t="shared" si="3"/>
        <v>#N/A</v>
      </c>
      <c r="AE82" s="79" t="e">
        <f>IF(VLOOKUP($AB82,変換表貼り付け用シート!$A$3:$AN$3000,12,FALSE)="","",(VLOOKUP($AB82,変換表貼り付け用シート!$A$3:$AN$3000,12,FALSE)))</f>
        <v>#N/A</v>
      </c>
      <c r="AF82" s="80" t="e">
        <f>IF(VLOOKUP($AB82,変換表貼り付け用シート!$A$3:$AN$3000,13,FALSE)="","",(VLOOKUP($AB82,変換表貼り付け用シート!$A$3:$AN$3000,13,FALSE)))</f>
        <v>#N/A</v>
      </c>
      <c r="AG82" s="80" t="e">
        <f>IF(VLOOKUP($AB82,変換表貼り付け用シート!$A$3:$AN$3000,14,FALSE)="","",(VLOOKUP($AB82,変換表貼り付け用シート!$A$3:$AN$3000,14,FALSE)))</f>
        <v>#N/A</v>
      </c>
      <c r="AH82" s="85" t="e">
        <f>IF(VLOOKUP($AB82,変換表貼り付け用シート!$A$3:$AN$3000,15,FALSE)="","",(VLOOKUP($AB82,変換表貼り付け用シート!$A$3:$AN$3000,15,FALSE)))</f>
        <v>#N/A</v>
      </c>
      <c r="AI82" s="79" t="e">
        <f>IF(VLOOKUP($AB82,変換表貼り付け用シート!$A$3:$AN$3000,16,FALSE)="","",(VLOOKUP($AB82,変換表貼り付け用シート!$A$3:$AN$3000,16,FALSE)))</f>
        <v>#N/A</v>
      </c>
      <c r="AJ82" s="81" t="e">
        <f>IF(VLOOKUP($AB82,変換表貼り付け用シート!$A$3:$AN$3000,17,FALSE)="","",(VLOOKUP($AB82,変換表貼り付け用シート!$A$3:$AN$3000,17,FALSE)))</f>
        <v>#N/A</v>
      </c>
      <c r="AK82" s="88" t="e">
        <f>IF(VLOOKUP($AB82,変換表貼り付け用シート!$A$3:$AN$3000,18,FALSE)="","",(VLOOKUP($AB82,変換表貼り付け用シート!$A$3:$AN$3000,18,FALSE)))</f>
        <v>#N/A</v>
      </c>
      <c r="AL82" s="81" t="e">
        <f>IF(VLOOKUP($AB82,変換表貼り付け用シート!$A$3:$AN$3000,19,FALSE)="","",(VLOOKUP($AB82,変換表貼り付け用シート!$A$3:$AN$3000,19,FALSE)))</f>
        <v>#N/A</v>
      </c>
      <c r="AM82" s="75" t="e">
        <f>IF(VLOOKUP($AB82,変換表貼り付け用シート!$A$3:$AN$3000,20,FALSE)="","",(VLOOKUP($AB82,変換表貼り付け用シート!$A$3:$AN$3000,20,FALSE)))</f>
        <v>#N/A</v>
      </c>
    </row>
    <row r="83" spans="2:39" ht="21" customHeight="1" x14ac:dyDescent="0.35">
      <c r="B83" s="39"/>
      <c r="C83" s="117" t="s">
        <v>787</v>
      </c>
      <c r="D83" s="96" t="s">
        <v>281</v>
      </c>
      <c r="E83" s="27" t="s">
        <v>44</v>
      </c>
      <c r="F83" s="37" t="s">
        <v>45</v>
      </c>
      <c r="G83" s="33" t="s">
        <v>206</v>
      </c>
      <c r="H83" s="27" t="s">
        <v>207</v>
      </c>
      <c r="I83" s="27" t="s">
        <v>206</v>
      </c>
      <c r="J83" s="37" t="s">
        <v>207</v>
      </c>
      <c r="K83" s="39" t="s">
        <v>127</v>
      </c>
      <c r="L83" s="28" t="s">
        <v>151</v>
      </c>
      <c r="M83" s="28" t="s">
        <v>48</v>
      </c>
      <c r="N83" s="41" t="s">
        <v>120</v>
      </c>
      <c r="O83" s="39" t="s">
        <v>116</v>
      </c>
      <c r="P83" s="28"/>
      <c r="Q83" s="28"/>
      <c r="R83" s="41"/>
      <c r="S83" s="39"/>
      <c r="T83" s="41"/>
      <c r="U83" s="39"/>
      <c r="V83" s="41"/>
      <c r="W83" s="43" t="s">
        <v>711</v>
      </c>
      <c r="X83" s="33"/>
      <c r="Y83" s="27"/>
      <c r="Z83" s="29"/>
      <c r="AB83" s="73" t="str">
        <f t="shared" si="2"/>
        <v>性能検討用走行抵抗式(ePT連れ回り排除)熱TowingA0－</v>
      </c>
      <c r="AC83" s="74" t="e">
        <f>VLOOKUP($AB83,変換表貼り付け用シート!$A$3:$AN$1133,3,FALSE)</f>
        <v>#N/A</v>
      </c>
      <c r="AD83" s="74" t="e">
        <f t="shared" si="3"/>
        <v>#N/A</v>
      </c>
      <c r="AE83" s="79" t="e">
        <f>IF(VLOOKUP($AB83,変換表貼り付け用シート!$A$3:$AN$3000,12,FALSE)="","",(VLOOKUP($AB83,変換表貼り付け用シート!$A$3:$AN$3000,12,FALSE)))</f>
        <v>#N/A</v>
      </c>
      <c r="AF83" s="80" t="e">
        <f>IF(VLOOKUP($AB83,変換表貼り付け用シート!$A$3:$AN$3000,13,FALSE)="","",(VLOOKUP($AB83,変換表貼り付け用シート!$A$3:$AN$3000,13,FALSE)))</f>
        <v>#N/A</v>
      </c>
      <c r="AG83" s="80" t="e">
        <f>IF(VLOOKUP($AB83,変換表貼り付け用シート!$A$3:$AN$3000,14,FALSE)="","",(VLOOKUP($AB83,変換表貼り付け用シート!$A$3:$AN$3000,14,FALSE)))</f>
        <v>#N/A</v>
      </c>
      <c r="AH83" s="85" t="e">
        <f>IF(VLOOKUP($AB83,変換表貼り付け用シート!$A$3:$AN$3000,15,FALSE)="","",(VLOOKUP($AB83,変換表貼り付け用シート!$A$3:$AN$3000,15,FALSE)))</f>
        <v>#N/A</v>
      </c>
      <c r="AI83" s="79" t="e">
        <f>IF(VLOOKUP($AB83,変換表貼り付け用シート!$A$3:$AN$3000,16,FALSE)="","",(VLOOKUP($AB83,変換表貼り付け用シート!$A$3:$AN$3000,16,FALSE)))</f>
        <v>#N/A</v>
      </c>
      <c r="AJ83" s="81" t="e">
        <f>IF(VLOOKUP($AB83,変換表貼り付け用シート!$A$3:$AN$3000,17,FALSE)="","",(VLOOKUP($AB83,変換表貼り付け用シート!$A$3:$AN$3000,17,FALSE)))</f>
        <v>#N/A</v>
      </c>
      <c r="AK83" s="88" t="e">
        <f>IF(VLOOKUP($AB83,変換表貼り付け用シート!$A$3:$AN$3000,18,FALSE)="","",(VLOOKUP($AB83,変換表貼り付け用シート!$A$3:$AN$3000,18,FALSE)))</f>
        <v>#N/A</v>
      </c>
      <c r="AL83" s="81" t="e">
        <f>IF(VLOOKUP($AB83,変換表貼り付け用シート!$A$3:$AN$3000,19,FALSE)="","",(VLOOKUP($AB83,変換表貼り付け用シート!$A$3:$AN$3000,19,FALSE)))</f>
        <v>#N/A</v>
      </c>
      <c r="AM83" s="75" t="e">
        <f>IF(VLOOKUP($AB83,変換表貼り付け用シート!$A$3:$AN$3000,20,FALSE)="","",(VLOOKUP($AB83,変換表貼り付け用シート!$A$3:$AN$3000,20,FALSE)))</f>
        <v>#N/A</v>
      </c>
    </row>
    <row r="84" spans="2:39" ht="21" customHeight="1" x14ac:dyDescent="0.35">
      <c r="B84" s="39"/>
      <c r="C84" s="117" t="s">
        <v>788</v>
      </c>
      <c r="D84" s="96" t="s">
        <v>282</v>
      </c>
      <c r="E84" s="27" t="s">
        <v>44</v>
      </c>
      <c r="F84" s="37" t="s">
        <v>45</v>
      </c>
      <c r="G84" s="33" t="s">
        <v>206</v>
      </c>
      <c r="H84" s="27" t="s">
        <v>207</v>
      </c>
      <c r="I84" s="27" t="s">
        <v>206</v>
      </c>
      <c r="J84" s="37" t="s">
        <v>207</v>
      </c>
      <c r="K84" s="39" t="s">
        <v>127</v>
      </c>
      <c r="L84" s="28" t="s">
        <v>152</v>
      </c>
      <c r="M84" s="28" t="s">
        <v>48</v>
      </c>
      <c r="N84" s="41" t="s">
        <v>122</v>
      </c>
      <c r="O84" s="39" t="s">
        <v>116</v>
      </c>
      <c r="P84" s="28"/>
      <c r="Q84" s="28"/>
      <c r="R84" s="41"/>
      <c r="S84" s="39"/>
      <c r="T84" s="41"/>
      <c r="U84" s="39"/>
      <c r="V84" s="41"/>
      <c r="W84" s="43" t="s">
        <v>711</v>
      </c>
      <c r="X84" s="33"/>
      <c r="Y84" s="27"/>
      <c r="Z84" s="29"/>
      <c r="AB84" s="73" t="str">
        <f t="shared" si="2"/>
        <v>性能検討用走行抵抗式(ePT連れ回り排除)熱TowingA1－</v>
      </c>
      <c r="AC84" s="74" t="e">
        <f>VLOOKUP($AB84,変換表貼り付け用シート!$A$3:$AN$1133,3,FALSE)</f>
        <v>#N/A</v>
      </c>
      <c r="AD84" s="74" t="e">
        <f t="shared" si="3"/>
        <v>#N/A</v>
      </c>
      <c r="AE84" s="79" t="e">
        <f>IF(VLOOKUP($AB84,変換表貼り付け用シート!$A$3:$AN$3000,12,FALSE)="","",(VLOOKUP($AB84,変換表貼り付け用シート!$A$3:$AN$3000,12,FALSE)))</f>
        <v>#N/A</v>
      </c>
      <c r="AF84" s="80" t="e">
        <f>IF(VLOOKUP($AB84,変換表貼り付け用シート!$A$3:$AN$3000,13,FALSE)="","",(VLOOKUP($AB84,変換表貼り付け用シート!$A$3:$AN$3000,13,FALSE)))</f>
        <v>#N/A</v>
      </c>
      <c r="AG84" s="80" t="e">
        <f>IF(VLOOKUP($AB84,変換表貼り付け用シート!$A$3:$AN$3000,14,FALSE)="","",(VLOOKUP($AB84,変換表貼り付け用シート!$A$3:$AN$3000,14,FALSE)))</f>
        <v>#N/A</v>
      </c>
      <c r="AH84" s="85" t="e">
        <f>IF(VLOOKUP($AB84,変換表貼り付け用シート!$A$3:$AN$3000,15,FALSE)="","",(VLOOKUP($AB84,変換表貼り付け用シート!$A$3:$AN$3000,15,FALSE)))</f>
        <v>#N/A</v>
      </c>
      <c r="AI84" s="79" t="e">
        <f>IF(VLOOKUP($AB84,変換表貼り付け用シート!$A$3:$AN$3000,16,FALSE)="","",(VLOOKUP($AB84,変換表貼り付け用シート!$A$3:$AN$3000,16,FALSE)))</f>
        <v>#N/A</v>
      </c>
      <c r="AJ84" s="81" t="e">
        <f>IF(VLOOKUP($AB84,変換表貼り付け用シート!$A$3:$AN$3000,17,FALSE)="","",(VLOOKUP($AB84,変換表貼り付け用シート!$A$3:$AN$3000,17,FALSE)))</f>
        <v>#N/A</v>
      </c>
      <c r="AK84" s="88" t="e">
        <f>IF(VLOOKUP($AB84,変換表貼り付け用シート!$A$3:$AN$3000,18,FALSE)="","",(VLOOKUP($AB84,変換表貼り付け用シート!$A$3:$AN$3000,18,FALSE)))</f>
        <v>#N/A</v>
      </c>
      <c r="AL84" s="81" t="e">
        <f>IF(VLOOKUP($AB84,変換表貼り付け用シート!$A$3:$AN$3000,19,FALSE)="","",(VLOOKUP($AB84,変換表貼り付け用シート!$A$3:$AN$3000,19,FALSE)))</f>
        <v>#N/A</v>
      </c>
      <c r="AM84" s="75" t="e">
        <f>IF(VLOOKUP($AB84,変換表貼り付け用シート!$A$3:$AN$3000,20,FALSE)="","",(VLOOKUP($AB84,変換表貼り付け用シート!$A$3:$AN$3000,20,FALSE)))</f>
        <v>#N/A</v>
      </c>
    </row>
    <row r="85" spans="2:39" ht="21" customHeight="1" x14ac:dyDescent="0.35">
      <c r="B85" s="39"/>
      <c r="C85" s="117" t="s">
        <v>789</v>
      </c>
      <c r="D85" s="96" t="s">
        <v>283</v>
      </c>
      <c r="E85" s="27" t="s">
        <v>44</v>
      </c>
      <c r="F85" s="37" t="s">
        <v>45</v>
      </c>
      <c r="G85" s="33" t="s">
        <v>206</v>
      </c>
      <c r="H85" s="27" t="s">
        <v>207</v>
      </c>
      <c r="I85" s="27" t="s">
        <v>206</v>
      </c>
      <c r="J85" s="37" t="s">
        <v>207</v>
      </c>
      <c r="K85" s="39" t="s">
        <v>127</v>
      </c>
      <c r="L85" s="28" t="s">
        <v>153</v>
      </c>
      <c r="M85" s="28" t="s">
        <v>48</v>
      </c>
      <c r="N85" s="41" t="s">
        <v>124</v>
      </c>
      <c r="O85" s="39" t="s">
        <v>116</v>
      </c>
      <c r="P85" s="28"/>
      <c r="Q85" s="28"/>
      <c r="R85" s="41"/>
      <c r="S85" s="39"/>
      <c r="T85" s="41"/>
      <c r="U85" s="39"/>
      <c r="V85" s="41"/>
      <c r="W85" s="43" t="s">
        <v>711</v>
      </c>
      <c r="X85" s="33"/>
      <c r="Y85" s="27"/>
      <c r="Z85" s="29"/>
      <c r="AB85" s="73" t="str">
        <f t="shared" si="2"/>
        <v>性能検討用走行抵抗式(ePT連れ回り排除)熱TowingA2－</v>
      </c>
      <c r="AC85" s="74" t="e">
        <f>VLOOKUP($AB85,変換表貼り付け用シート!$A$3:$AN$1133,3,FALSE)</f>
        <v>#N/A</v>
      </c>
      <c r="AD85" s="74" t="e">
        <f t="shared" si="3"/>
        <v>#N/A</v>
      </c>
      <c r="AE85" s="79" t="e">
        <f>IF(VLOOKUP($AB85,変換表貼り付け用シート!$A$3:$AN$3000,12,FALSE)="","",(VLOOKUP($AB85,変換表貼り付け用シート!$A$3:$AN$3000,12,FALSE)))</f>
        <v>#N/A</v>
      </c>
      <c r="AF85" s="80" t="e">
        <f>IF(VLOOKUP($AB85,変換表貼り付け用シート!$A$3:$AN$3000,13,FALSE)="","",(VLOOKUP($AB85,変換表貼り付け用シート!$A$3:$AN$3000,13,FALSE)))</f>
        <v>#N/A</v>
      </c>
      <c r="AG85" s="80" t="e">
        <f>IF(VLOOKUP($AB85,変換表貼り付け用シート!$A$3:$AN$3000,14,FALSE)="","",(VLOOKUP($AB85,変換表貼り付け用シート!$A$3:$AN$3000,14,FALSE)))</f>
        <v>#N/A</v>
      </c>
      <c r="AH85" s="85" t="e">
        <f>IF(VLOOKUP($AB85,変換表貼り付け用シート!$A$3:$AN$3000,15,FALSE)="","",(VLOOKUP($AB85,変換表貼り付け用シート!$A$3:$AN$3000,15,FALSE)))</f>
        <v>#N/A</v>
      </c>
      <c r="AI85" s="79" t="e">
        <f>IF(VLOOKUP($AB85,変換表貼り付け用シート!$A$3:$AN$3000,16,FALSE)="","",(VLOOKUP($AB85,変換表貼り付け用シート!$A$3:$AN$3000,16,FALSE)))</f>
        <v>#N/A</v>
      </c>
      <c r="AJ85" s="81" t="e">
        <f>IF(VLOOKUP($AB85,変換表貼り付け用シート!$A$3:$AN$3000,17,FALSE)="","",(VLOOKUP($AB85,変換表貼り付け用シート!$A$3:$AN$3000,17,FALSE)))</f>
        <v>#N/A</v>
      </c>
      <c r="AK85" s="88" t="e">
        <f>IF(VLOOKUP($AB85,変換表貼り付け用シート!$A$3:$AN$3000,18,FALSE)="","",(VLOOKUP($AB85,変換表貼り付け用シート!$A$3:$AN$3000,18,FALSE)))</f>
        <v>#N/A</v>
      </c>
      <c r="AL85" s="81" t="e">
        <f>IF(VLOOKUP($AB85,変換表貼り付け用シート!$A$3:$AN$3000,19,FALSE)="","",(VLOOKUP($AB85,変換表貼り付け用シート!$A$3:$AN$3000,19,FALSE)))</f>
        <v>#N/A</v>
      </c>
      <c r="AM85" s="75" t="e">
        <f>IF(VLOOKUP($AB85,変換表貼り付け用シート!$A$3:$AN$3000,20,FALSE)="","",(VLOOKUP($AB85,変換表貼り付け用シート!$A$3:$AN$3000,20,FALSE)))</f>
        <v>#N/A</v>
      </c>
    </row>
    <row r="86" spans="2:39" ht="21" customHeight="1" x14ac:dyDescent="0.35">
      <c r="B86" s="39"/>
      <c r="C86" s="117" t="s">
        <v>790</v>
      </c>
      <c r="D86" s="96" t="s">
        <v>284</v>
      </c>
      <c r="E86" s="27" t="s">
        <v>44</v>
      </c>
      <c r="F86" s="37" t="s">
        <v>45</v>
      </c>
      <c r="G86" s="33" t="s">
        <v>206</v>
      </c>
      <c r="H86" s="27" t="s">
        <v>207</v>
      </c>
      <c r="I86" s="27" t="s">
        <v>206</v>
      </c>
      <c r="J86" s="37" t="s">
        <v>207</v>
      </c>
      <c r="K86" s="39" t="s">
        <v>127</v>
      </c>
      <c r="L86" s="28" t="s">
        <v>154</v>
      </c>
      <c r="M86" s="28" t="s">
        <v>48</v>
      </c>
      <c r="N86" s="41" t="s">
        <v>49</v>
      </c>
      <c r="O86" s="39" t="s">
        <v>116</v>
      </c>
      <c r="P86" s="28"/>
      <c r="Q86" s="28"/>
      <c r="R86" s="41"/>
      <c r="S86" s="39"/>
      <c r="T86" s="41"/>
      <c r="U86" s="39"/>
      <c r="V86" s="41"/>
      <c r="W86" s="43" t="s">
        <v>711</v>
      </c>
      <c r="X86" s="33"/>
      <c r="Y86" s="27"/>
      <c r="Z86" s="29"/>
      <c r="AB86" s="73" t="str">
        <f t="shared" si="2"/>
        <v>性能検討用走行抵抗式(ePT連れ回り排除)熱TowingIP－</v>
      </c>
      <c r="AC86" s="74" t="e">
        <f>VLOOKUP($AB86,変換表貼り付け用シート!$A$3:$AN$1133,3,FALSE)</f>
        <v>#N/A</v>
      </c>
      <c r="AD86" s="74" t="e">
        <f t="shared" si="3"/>
        <v>#N/A</v>
      </c>
      <c r="AE86" s="79" t="e">
        <f>IF(VLOOKUP($AB86,変換表貼り付け用シート!$A$3:$AN$3000,12,FALSE)="","",(VLOOKUP($AB86,変換表貼り付け用シート!$A$3:$AN$3000,12,FALSE)))</f>
        <v>#N/A</v>
      </c>
      <c r="AF86" s="80" t="e">
        <f>IF(VLOOKUP($AB86,変換表貼り付け用シート!$A$3:$AN$3000,13,FALSE)="","",(VLOOKUP($AB86,変換表貼り付け用シート!$A$3:$AN$3000,13,FALSE)))</f>
        <v>#N/A</v>
      </c>
      <c r="AG86" s="80" t="e">
        <f>IF(VLOOKUP($AB86,変換表貼り付け用シート!$A$3:$AN$3000,14,FALSE)="","",(VLOOKUP($AB86,変換表貼り付け用シート!$A$3:$AN$3000,14,FALSE)))</f>
        <v>#N/A</v>
      </c>
      <c r="AH86" s="85" t="e">
        <f>IF(VLOOKUP($AB86,変換表貼り付け用シート!$A$3:$AN$3000,15,FALSE)="","",(VLOOKUP($AB86,変換表貼り付け用シート!$A$3:$AN$3000,15,FALSE)))</f>
        <v>#N/A</v>
      </c>
      <c r="AI86" s="79" t="e">
        <f>IF(VLOOKUP($AB86,変換表貼り付け用シート!$A$3:$AN$3000,16,FALSE)="","",(VLOOKUP($AB86,変換表貼り付け用シート!$A$3:$AN$3000,16,FALSE)))</f>
        <v>#N/A</v>
      </c>
      <c r="AJ86" s="81" t="e">
        <f>IF(VLOOKUP($AB86,変換表貼り付け用シート!$A$3:$AN$3000,17,FALSE)="","",(VLOOKUP($AB86,変換表貼り付け用シート!$A$3:$AN$3000,17,FALSE)))</f>
        <v>#N/A</v>
      </c>
      <c r="AK86" s="88" t="e">
        <f>IF(VLOOKUP($AB86,変換表貼り付け用シート!$A$3:$AN$3000,18,FALSE)="","",(VLOOKUP($AB86,変換表貼り付け用シート!$A$3:$AN$3000,18,FALSE)))</f>
        <v>#N/A</v>
      </c>
      <c r="AL86" s="81" t="e">
        <f>IF(VLOOKUP($AB86,変換表貼り付け用シート!$A$3:$AN$3000,19,FALSE)="","",(VLOOKUP($AB86,変換表貼り付け用シート!$A$3:$AN$3000,19,FALSE)))</f>
        <v>#N/A</v>
      </c>
      <c r="AM86" s="75" t="e">
        <f>IF(VLOOKUP($AB86,変換表貼り付け用シート!$A$3:$AN$3000,20,FALSE)="","",(VLOOKUP($AB86,変換表貼り付け用シート!$A$3:$AN$3000,20,FALSE)))</f>
        <v>#N/A</v>
      </c>
    </row>
    <row r="87" spans="2:39" ht="21" customHeight="1" x14ac:dyDescent="0.35">
      <c r="B87" s="39"/>
      <c r="C87" s="117" t="s">
        <v>791</v>
      </c>
      <c r="D87" s="96" t="s">
        <v>285</v>
      </c>
      <c r="E87" s="27" t="s">
        <v>44</v>
      </c>
      <c r="F87" s="37" t="s">
        <v>45</v>
      </c>
      <c r="G87" s="33" t="s">
        <v>206</v>
      </c>
      <c r="H87" s="27" t="s">
        <v>207</v>
      </c>
      <c r="I87" s="27" t="s">
        <v>206</v>
      </c>
      <c r="J87" s="37" t="s">
        <v>207</v>
      </c>
      <c r="K87" s="39" t="s">
        <v>127</v>
      </c>
      <c r="L87" s="28" t="s">
        <v>155</v>
      </c>
      <c r="M87" s="28" t="s">
        <v>48</v>
      </c>
      <c r="N87" s="41" t="s">
        <v>120</v>
      </c>
      <c r="O87" s="39" t="s">
        <v>57</v>
      </c>
      <c r="P87" s="28"/>
      <c r="Q87" s="28"/>
      <c r="R87" s="41"/>
      <c r="S87" s="39"/>
      <c r="T87" s="41"/>
      <c r="U87" s="39"/>
      <c r="V87" s="41"/>
      <c r="W87" s="43" t="s">
        <v>711</v>
      </c>
      <c r="X87" s="33"/>
      <c r="Y87" s="27"/>
      <c r="Z87" s="29"/>
      <c r="AB87" s="73" t="str">
        <f t="shared" si="2"/>
        <v>性能検討用走行抵抗式(ePT連れ回り排除)熱低温性能A0－</v>
      </c>
      <c r="AC87" s="74" t="e">
        <f>VLOOKUP($AB87,変換表貼り付け用シート!$A$3:$AN$1133,3,FALSE)</f>
        <v>#N/A</v>
      </c>
      <c r="AD87" s="74" t="e">
        <f t="shared" si="3"/>
        <v>#N/A</v>
      </c>
      <c r="AE87" s="79" t="e">
        <f>IF(VLOOKUP($AB87,変換表貼り付け用シート!$A$3:$AN$3000,12,FALSE)="","",(VLOOKUP($AB87,変換表貼り付け用シート!$A$3:$AN$3000,12,FALSE)))</f>
        <v>#N/A</v>
      </c>
      <c r="AF87" s="80" t="e">
        <f>IF(VLOOKUP($AB87,変換表貼り付け用シート!$A$3:$AN$3000,13,FALSE)="","",(VLOOKUP($AB87,変換表貼り付け用シート!$A$3:$AN$3000,13,FALSE)))</f>
        <v>#N/A</v>
      </c>
      <c r="AG87" s="80" t="e">
        <f>IF(VLOOKUP($AB87,変換表貼り付け用シート!$A$3:$AN$3000,14,FALSE)="","",(VLOOKUP($AB87,変換表貼り付け用シート!$A$3:$AN$3000,14,FALSE)))</f>
        <v>#N/A</v>
      </c>
      <c r="AH87" s="85" t="e">
        <f>IF(VLOOKUP($AB87,変換表貼り付け用シート!$A$3:$AN$3000,15,FALSE)="","",(VLOOKUP($AB87,変換表貼り付け用シート!$A$3:$AN$3000,15,FALSE)))</f>
        <v>#N/A</v>
      </c>
      <c r="AI87" s="79" t="e">
        <f>IF(VLOOKUP($AB87,変換表貼り付け用シート!$A$3:$AN$3000,16,FALSE)="","",(VLOOKUP($AB87,変換表貼り付け用シート!$A$3:$AN$3000,16,FALSE)))</f>
        <v>#N/A</v>
      </c>
      <c r="AJ87" s="81" t="e">
        <f>IF(VLOOKUP($AB87,変換表貼り付け用シート!$A$3:$AN$3000,17,FALSE)="","",(VLOOKUP($AB87,変換表貼り付け用シート!$A$3:$AN$3000,17,FALSE)))</f>
        <v>#N/A</v>
      </c>
      <c r="AK87" s="88" t="e">
        <f>IF(VLOOKUP($AB87,変換表貼り付け用シート!$A$3:$AN$3000,18,FALSE)="","",(VLOOKUP($AB87,変換表貼り付け用シート!$A$3:$AN$3000,18,FALSE)))</f>
        <v>#N/A</v>
      </c>
      <c r="AL87" s="81" t="e">
        <f>IF(VLOOKUP($AB87,変換表貼り付け用シート!$A$3:$AN$3000,19,FALSE)="","",(VLOOKUP($AB87,変換表貼り付け用シート!$A$3:$AN$3000,19,FALSE)))</f>
        <v>#N/A</v>
      </c>
      <c r="AM87" s="75" t="e">
        <f>IF(VLOOKUP($AB87,変換表貼り付け用シート!$A$3:$AN$3000,20,FALSE)="","",(VLOOKUP($AB87,変換表貼り付け用シート!$A$3:$AN$3000,20,FALSE)))</f>
        <v>#N/A</v>
      </c>
    </row>
    <row r="88" spans="2:39" ht="21" customHeight="1" x14ac:dyDescent="0.35">
      <c r="B88" s="39"/>
      <c r="C88" s="117" t="s">
        <v>792</v>
      </c>
      <c r="D88" s="96" t="s">
        <v>286</v>
      </c>
      <c r="E88" s="27" t="s">
        <v>44</v>
      </c>
      <c r="F88" s="37" t="s">
        <v>45</v>
      </c>
      <c r="G88" s="33" t="s">
        <v>206</v>
      </c>
      <c r="H88" s="27" t="s">
        <v>207</v>
      </c>
      <c r="I88" s="27" t="s">
        <v>206</v>
      </c>
      <c r="J88" s="37" t="s">
        <v>207</v>
      </c>
      <c r="K88" s="39" t="s">
        <v>127</v>
      </c>
      <c r="L88" s="28" t="s">
        <v>156</v>
      </c>
      <c r="M88" s="28" t="s">
        <v>48</v>
      </c>
      <c r="N88" s="41" t="s">
        <v>122</v>
      </c>
      <c r="O88" s="39" t="s">
        <v>57</v>
      </c>
      <c r="P88" s="28"/>
      <c r="Q88" s="28"/>
      <c r="R88" s="41"/>
      <c r="S88" s="39"/>
      <c r="T88" s="41"/>
      <c r="U88" s="39"/>
      <c r="V88" s="41"/>
      <c r="W88" s="43" t="s">
        <v>711</v>
      </c>
      <c r="X88" s="33"/>
      <c r="Y88" s="27"/>
      <c r="Z88" s="29"/>
      <c r="AB88" s="73" t="str">
        <f t="shared" si="2"/>
        <v>性能検討用走行抵抗式(ePT連れ回り排除)熱低温性能A1－</v>
      </c>
      <c r="AC88" s="74" t="e">
        <f>VLOOKUP($AB88,変換表貼り付け用シート!$A$3:$AN$1133,3,FALSE)</f>
        <v>#N/A</v>
      </c>
      <c r="AD88" s="74" t="e">
        <f t="shared" si="3"/>
        <v>#N/A</v>
      </c>
      <c r="AE88" s="79" t="e">
        <f>IF(VLOOKUP($AB88,変換表貼り付け用シート!$A$3:$AN$3000,12,FALSE)="","",(VLOOKUP($AB88,変換表貼り付け用シート!$A$3:$AN$3000,12,FALSE)))</f>
        <v>#N/A</v>
      </c>
      <c r="AF88" s="80" t="e">
        <f>IF(VLOOKUP($AB88,変換表貼り付け用シート!$A$3:$AN$3000,13,FALSE)="","",(VLOOKUP($AB88,変換表貼り付け用シート!$A$3:$AN$3000,13,FALSE)))</f>
        <v>#N/A</v>
      </c>
      <c r="AG88" s="80" t="e">
        <f>IF(VLOOKUP($AB88,変換表貼り付け用シート!$A$3:$AN$3000,14,FALSE)="","",(VLOOKUP($AB88,変換表貼り付け用シート!$A$3:$AN$3000,14,FALSE)))</f>
        <v>#N/A</v>
      </c>
      <c r="AH88" s="85" t="e">
        <f>IF(VLOOKUP($AB88,変換表貼り付け用シート!$A$3:$AN$3000,15,FALSE)="","",(VLOOKUP($AB88,変換表貼り付け用シート!$A$3:$AN$3000,15,FALSE)))</f>
        <v>#N/A</v>
      </c>
      <c r="AI88" s="79" t="e">
        <f>IF(VLOOKUP($AB88,変換表貼り付け用シート!$A$3:$AN$3000,16,FALSE)="","",(VLOOKUP($AB88,変換表貼り付け用シート!$A$3:$AN$3000,16,FALSE)))</f>
        <v>#N/A</v>
      </c>
      <c r="AJ88" s="81" t="e">
        <f>IF(VLOOKUP($AB88,変換表貼り付け用シート!$A$3:$AN$3000,17,FALSE)="","",(VLOOKUP($AB88,変換表貼り付け用シート!$A$3:$AN$3000,17,FALSE)))</f>
        <v>#N/A</v>
      </c>
      <c r="AK88" s="88" t="e">
        <f>IF(VLOOKUP($AB88,変換表貼り付け用シート!$A$3:$AN$3000,18,FALSE)="","",(VLOOKUP($AB88,変換表貼り付け用シート!$A$3:$AN$3000,18,FALSE)))</f>
        <v>#N/A</v>
      </c>
      <c r="AL88" s="81" t="e">
        <f>IF(VLOOKUP($AB88,変換表貼り付け用シート!$A$3:$AN$3000,19,FALSE)="","",(VLOOKUP($AB88,変換表貼り付け用シート!$A$3:$AN$3000,19,FALSE)))</f>
        <v>#N/A</v>
      </c>
      <c r="AM88" s="75" t="e">
        <f>IF(VLOOKUP($AB88,変換表貼り付け用シート!$A$3:$AN$3000,20,FALSE)="","",(VLOOKUP($AB88,変換表貼り付け用シート!$A$3:$AN$3000,20,FALSE)))</f>
        <v>#N/A</v>
      </c>
    </row>
    <row r="89" spans="2:39" ht="21" customHeight="1" x14ac:dyDescent="0.35">
      <c r="B89" s="39"/>
      <c r="C89" s="117" t="s">
        <v>793</v>
      </c>
      <c r="D89" s="96" t="s">
        <v>287</v>
      </c>
      <c r="E89" s="27" t="s">
        <v>44</v>
      </c>
      <c r="F89" s="37" t="s">
        <v>45</v>
      </c>
      <c r="G89" s="33" t="s">
        <v>206</v>
      </c>
      <c r="H89" s="27" t="s">
        <v>207</v>
      </c>
      <c r="I89" s="27" t="s">
        <v>206</v>
      </c>
      <c r="J89" s="37" t="s">
        <v>207</v>
      </c>
      <c r="K89" s="39" t="s">
        <v>127</v>
      </c>
      <c r="L89" s="28" t="s">
        <v>157</v>
      </c>
      <c r="M89" s="28" t="s">
        <v>48</v>
      </c>
      <c r="N89" s="41" t="s">
        <v>124</v>
      </c>
      <c r="O89" s="39" t="s">
        <v>57</v>
      </c>
      <c r="P89" s="28"/>
      <c r="Q89" s="28"/>
      <c r="R89" s="41"/>
      <c r="S89" s="39"/>
      <c r="T89" s="41"/>
      <c r="U89" s="39"/>
      <c r="V89" s="41"/>
      <c r="W89" s="43" t="s">
        <v>711</v>
      </c>
      <c r="X89" s="33"/>
      <c r="Y89" s="27"/>
      <c r="Z89" s="29"/>
      <c r="AB89" s="73" t="str">
        <f t="shared" si="2"/>
        <v>性能検討用走行抵抗式(ePT連れ回り排除)熱低温性能A2－</v>
      </c>
      <c r="AC89" s="74" t="e">
        <f>VLOOKUP($AB89,変換表貼り付け用シート!$A$3:$AN$1133,3,FALSE)</f>
        <v>#N/A</v>
      </c>
      <c r="AD89" s="74" t="e">
        <f t="shared" si="3"/>
        <v>#N/A</v>
      </c>
      <c r="AE89" s="79" t="e">
        <f>IF(VLOOKUP($AB89,変換表貼り付け用シート!$A$3:$AN$3000,12,FALSE)="","",(VLOOKUP($AB89,変換表貼り付け用シート!$A$3:$AN$3000,12,FALSE)))</f>
        <v>#N/A</v>
      </c>
      <c r="AF89" s="80" t="e">
        <f>IF(VLOOKUP($AB89,変換表貼り付け用シート!$A$3:$AN$3000,13,FALSE)="","",(VLOOKUP($AB89,変換表貼り付け用シート!$A$3:$AN$3000,13,FALSE)))</f>
        <v>#N/A</v>
      </c>
      <c r="AG89" s="80" t="e">
        <f>IF(VLOOKUP($AB89,変換表貼り付け用シート!$A$3:$AN$3000,14,FALSE)="","",(VLOOKUP($AB89,変換表貼り付け用シート!$A$3:$AN$3000,14,FALSE)))</f>
        <v>#N/A</v>
      </c>
      <c r="AH89" s="85" t="e">
        <f>IF(VLOOKUP($AB89,変換表貼り付け用シート!$A$3:$AN$3000,15,FALSE)="","",(VLOOKUP($AB89,変換表貼り付け用シート!$A$3:$AN$3000,15,FALSE)))</f>
        <v>#N/A</v>
      </c>
      <c r="AI89" s="79" t="e">
        <f>IF(VLOOKUP($AB89,変換表貼り付け用シート!$A$3:$AN$3000,16,FALSE)="","",(VLOOKUP($AB89,変換表貼り付け用シート!$A$3:$AN$3000,16,FALSE)))</f>
        <v>#N/A</v>
      </c>
      <c r="AJ89" s="81" t="e">
        <f>IF(VLOOKUP($AB89,変換表貼り付け用シート!$A$3:$AN$3000,17,FALSE)="","",(VLOOKUP($AB89,変換表貼り付け用シート!$A$3:$AN$3000,17,FALSE)))</f>
        <v>#N/A</v>
      </c>
      <c r="AK89" s="88" t="e">
        <f>IF(VLOOKUP($AB89,変換表貼り付け用シート!$A$3:$AN$3000,18,FALSE)="","",(VLOOKUP($AB89,変換表貼り付け用シート!$A$3:$AN$3000,18,FALSE)))</f>
        <v>#N/A</v>
      </c>
      <c r="AL89" s="81" t="e">
        <f>IF(VLOOKUP($AB89,変換表貼り付け用シート!$A$3:$AN$3000,19,FALSE)="","",(VLOOKUP($AB89,変換表貼り付け用シート!$A$3:$AN$3000,19,FALSE)))</f>
        <v>#N/A</v>
      </c>
      <c r="AM89" s="75" t="e">
        <f>IF(VLOOKUP($AB89,変換表貼り付け用シート!$A$3:$AN$3000,20,FALSE)="","",(VLOOKUP($AB89,変換表貼り付け用シート!$A$3:$AN$3000,20,FALSE)))</f>
        <v>#N/A</v>
      </c>
    </row>
    <row r="90" spans="2:39" ht="21" customHeight="1" x14ac:dyDescent="0.35">
      <c r="B90" s="39"/>
      <c r="C90" s="117" t="s">
        <v>794</v>
      </c>
      <c r="D90" s="96" t="s">
        <v>288</v>
      </c>
      <c r="E90" s="27" t="s">
        <v>44</v>
      </c>
      <c r="F90" s="37" t="s">
        <v>45</v>
      </c>
      <c r="G90" s="33" t="s">
        <v>206</v>
      </c>
      <c r="H90" s="27" t="s">
        <v>207</v>
      </c>
      <c r="I90" s="27" t="s">
        <v>206</v>
      </c>
      <c r="J90" s="37" t="s">
        <v>207</v>
      </c>
      <c r="K90" s="39" t="s">
        <v>127</v>
      </c>
      <c r="L90" s="28" t="s">
        <v>158</v>
      </c>
      <c r="M90" s="28" t="s">
        <v>48</v>
      </c>
      <c r="N90" s="41" t="s">
        <v>49</v>
      </c>
      <c r="O90" s="39" t="s">
        <v>57</v>
      </c>
      <c r="P90" s="28"/>
      <c r="Q90" s="28"/>
      <c r="R90" s="41"/>
      <c r="S90" s="39"/>
      <c r="T90" s="41"/>
      <c r="U90" s="39"/>
      <c r="V90" s="41"/>
      <c r="W90" s="43" t="s">
        <v>711</v>
      </c>
      <c r="X90" s="33"/>
      <c r="Y90" s="27"/>
      <c r="Z90" s="29"/>
      <c r="AB90" s="73" t="str">
        <f t="shared" si="2"/>
        <v>性能検討用走行抵抗式(ePT連れ回り排除)熱低温性能IP－</v>
      </c>
      <c r="AC90" s="74" t="e">
        <f>VLOOKUP($AB90,変換表貼り付け用シート!$A$3:$AN$1133,3,FALSE)</f>
        <v>#N/A</v>
      </c>
      <c r="AD90" s="74" t="e">
        <f t="shared" si="3"/>
        <v>#N/A</v>
      </c>
      <c r="AE90" s="79" t="e">
        <f>IF(VLOOKUP($AB90,変換表貼り付け用シート!$A$3:$AN$3000,12,FALSE)="","",(VLOOKUP($AB90,変換表貼り付け用シート!$A$3:$AN$3000,12,FALSE)))</f>
        <v>#N/A</v>
      </c>
      <c r="AF90" s="80" t="e">
        <f>IF(VLOOKUP($AB90,変換表貼り付け用シート!$A$3:$AN$3000,13,FALSE)="","",(VLOOKUP($AB90,変換表貼り付け用シート!$A$3:$AN$3000,13,FALSE)))</f>
        <v>#N/A</v>
      </c>
      <c r="AG90" s="80" t="e">
        <f>IF(VLOOKUP($AB90,変換表貼り付け用シート!$A$3:$AN$3000,14,FALSE)="","",(VLOOKUP($AB90,変換表貼り付け用シート!$A$3:$AN$3000,14,FALSE)))</f>
        <v>#N/A</v>
      </c>
      <c r="AH90" s="85" t="e">
        <f>IF(VLOOKUP($AB90,変換表貼り付け用シート!$A$3:$AN$3000,15,FALSE)="","",(VLOOKUP($AB90,変換表貼り付け用シート!$A$3:$AN$3000,15,FALSE)))</f>
        <v>#N/A</v>
      </c>
      <c r="AI90" s="79" t="e">
        <f>IF(VLOOKUP($AB90,変換表貼り付け用シート!$A$3:$AN$3000,16,FALSE)="","",(VLOOKUP($AB90,変換表貼り付け用シート!$A$3:$AN$3000,16,FALSE)))</f>
        <v>#N/A</v>
      </c>
      <c r="AJ90" s="81" t="e">
        <f>IF(VLOOKUP($AB90,変換表貼り付け用シート!$A$3:$AN$3000,17,FALSE)="","",(VLOOKUP($AB90,変換表貼り付け用シート!$A$3:$AN$3000,17,FALSE)))</f>
        <v>#N/A</v>
      </c>
      <c r="AK90" s="88" t="e">
        <f>IF(VLOOKUP($AB90,変換表貼り付け用シート!$A$3:$AN$3000,18,FALSE)="","",(VLOOKUP($AB90,変換表貼り付け用シート!$A$3:$AN$3000,18,FALSE)))</f>
        <v>#N/A</v>
      </c>
      <c r="AL90" s="81" t="e">
        <f>IF(VLOOKUP($AB90,変換表貼り付け用シート!$A$3:$AN$3000,19,FALSE)="","",(VLOOKUP($AB90,変換表貼り付け用シート!$A$3:$AN$3000,19,FALSE)))</f>
        <v>#N/A</v>
      </c>
      <c r="AM90" s="75" t="e">
        <f>IF(VLOOKUP($AB90,変換表貼り付け用シート!$A$3:$AN$3000,20,FALSE)="","",(VLOOKUP($AB90,変換表貼り付け用シート!$A$3:$AN$3000,20,FALSE)))</f>
        <v>#N/A</v>
      </c>
    </row>
    <row r="91" spans="2:39" ht="21" customHeight="1" x14ac:dyDescent="0.35">
      <c r="B91" s="39"/>
      <c r="C91" s="117" t="s">
        <v>795</v>
      </c>
      <c r="D91" s="96" t="s">
        <v>289</v>
      </c>
      <c r="E91" s="27" t="s">
        <v>44</v>
      </c>
      <c r="F91" s="37" t="s">
        <v>45</v>
      </c>
      <c r="G91" s="33" t="s">
        <v>206</v>
      </c>
      <c r="H91" s="27" t="s">
        <v>207</v>
      </c>
      <c r="I91" s="27" t="s">
        <v>206</v>
      </c>
      <c r="J91" s="37" t="s">
        <v>207</v>
      </c>
      <c r="K91" s="39" t="s">
        <v>159</v>
      </c>
      <c r="L91" s="28" t="s">
        <v>160</v>
      </c>
      <c r="M91" s="28" t="s">
        <v>48</v>
      </c>
      <c r="N91" s="41" t="s">
        <v>161</v>
      </c>
      <c r="O91" s="39">
        <v>47</v>
      </c>
      <c r="P91" s="28"/>
      <c r="Q91" s="28"/>
      <c r="R91" s="41"/>
      <c r="S91" s="39"/>
      <c r="T91" s="41"/>
      <c r="U91" s="39"/>
      <c r="V91" s="41"/>
      <c r="W91" s="43" t="s">
        <v>711</v>
      </c>
      <c r="X91" s="33"/>
      <c r="Y91" s="27"/>
      <c r="Z91" s="29"/>
      <c r="AB91" s="73" t="str">
        <f t="shared" si="2"/>
        <v>ePT最高システム総合出力(公称）－</v>
      </c>
      <c r="AC91" s="74" t="e">
        <f>VLOOKUP($AB91,変換表貼り付け用シート!$A$3:$AN$1133,3,FALSE)</f>
        <v>#N/A</v>
      </c>
      <c r="AD91" s="74" t="e">
        <f t="shared" si="3"/>
        <v>#N/A</v>
      </c>
      <c r="AE91" s="79" t="e">
        <f>IF(VLOOKUP($AB91,変換表貼り付け用シート!$A$3:$AN$3000,12,FALSE)="","",(VLOOKUP($AB91,変換表貼り付け用シート!$A$3:$AN$3000,12,FALSE)))</f>
        <v>#N/A</v>
      </c>
      <c r="AF91" s="80" t="e">
        <f>IF(VLOOKUP($AB91,変換表貼り付け用シート!$A$3:$AN$3000,13,FALSE)="","",(VLOOKUP($AB91,変換表貼り付け用シート!$A$3:$AN$3000,13,FALSE)))</f>
        <v>#N/A</v>
      </c>
      <c r="AG91" s="80" t="e">
        <f>IF(VLOOKUP($AB91,変換表貼り付け用シート!$A$3:$AN$3000,14,FALSE)="","",(VLOOKUP($AB91,変換表貼り付け用シート!$A$3:$AN$3000,14,FALSE)))</f>
        <v>#N/A</v>
      </c>
      <c r="AH91" s="85" t="e">
        <f>IF(VLOOKUP($AB91,変換表貼り付け用シート!$A$3:$AN$3000,15,FALSE)="","",(VLOOKUP($AB91,変換表貼り付け用シート!$A$3:$AN$3000,15,FALSE)))</f>
        <v>#N/A</v>
      </c>
      <c r="AI91" s="79" t="e">
        <f>IF(VLOOKUP($AB91,変換表貼り付け用シート!$A$3:$AN$3000,16,FALSE)="","",(VLOOKUP($AB91,変換表貼り付け用シート!$A$3:$AN$3000,16,FALSE)))</f>
        <v>#N/A</v>
      </c>
      <c r="AJ91" s="81" t="e">
        <f>IF(VLOOKUP($AB91,変換表貼り付け用シート!$A$3:$AN$3000,17,FALSE)="","",(VLOOKUP($AB91,変換表貼り付け用シート!$A$3:$AN$3000,17,FALSE)))</f>
        <v>#N/A</v>
      </c>
      <c r="AK91" s="88" t="e">
        <f>IF(VLOOKUP($AB91,変換表貼り付け用シート!$A$3:$AN$3000,18,FALSE)="","",(VLOOKUP($AB91,変換表貼り付け用シート!$A$3:$AN$3000,18,FALSE)))</f>
        <v>#N/A</v>
      </c>
      <c r="AL91" s="81" t="e">
        <f>IF(VLOOKUP($AB91,変換表貼り付け用シート!$A$3:$AN$3000,19,FALSE)="","",(VLOOKUP($AB91,変換表貼り付け用シート!$A$3:$AN$3000,19,FALSE)))</f>
        <v>#N/A</v>
      </c>
      <c r="AM91" s="75" t="e">
        <f>IF(VLOOKUP($AB91,変換表貼り付け用シート!$A$3:$AN$3000,20,FALSE)="","",(VLOOKUP($AB91,変換表貼り付け用シート!$A$3:$AN$3000,20,FALSE)))</f>
        <v>#N/A</v>
      </c>
    </row>
    <row r="92" spans="2:39" ht="21" customHeight="1" x14ac:dyDescent="0.35">
      <c r="B92" s="39"/>
      <c r="C92" s="117" t="s">
        <v>796</v>
      </c>
      <c r="D92" s="96" t="s">
        <v>290</v>
      </c>
      <c r="E92" s="27" t="s">
        <v>44</v>
      </c>
      <c r="F92" s="37" t="s">
        <v>45</v>
      </c>
      <c r="G92" s="33" t="s">
        <v>206</v>
      </c>
      <c r="H92" s="27" t="s">
        <v>207</v>
      </c>
      <c r="I92" s="27" t="s">
        <v>206</v>
      </c>
      <c r="J92" s="37" t="s">
        <v>207</v>
      </c>
      <c r="K92" s="39" t="s">
        <v>159</v>
      </c>
      <c r="L92" s="28" t="s">
        <v>162</v>
      </c>
      <c r="M92" s="28" t="s">
        <v>48</v>
      </c>
      <c r="N92" s="41" t="s">
        <v>78</v>
      </c>
      <c r="O92" s="39">
        <v>1.1044999999999999E-2</v>
      </c>
      <c r="P92" s="28"/>
      <c r="Q92" s="28"/>
      <c r="R92" s="41"/>
      <c r="S92" s="39"/>
      <c r="T92" s="41"/>
      <c r="U92" s="39"/>
      <c r="V92" s="41"/>
      <c r="W92" s="43" t="s">
        <v>711</v>
      </c>
      <c r="X92" s="33"/>
      <c r="Y92" s="27"/>
      <c r="Z92" s="29"/>
      <c r="AB92" s="73" t="str">
        <f t="shared" si="2"/>
        <v>ePTFR MOTイナーシャ－</v>
      </c>
      <c r="AC92" s="74" t="e">
        <f>VLOOKUP($AB92,変換表貼り付け用シート!$A$3:$AN$1133,3,FALSE)</f>
        <v>#N/A</v>
      </c>
      <c r="AD92" s="74" t="e">
        <f t="shared" si="3"/>
        <v>#N/A</v>
      </c>
      <c r="AE92" s="79" t="e">
        <f>IF(VLOOKUP($AB92,変換表貼り付け用シート!$A$3:$AN$3000,12,FALSE)="","",(VLOOKUP($AB92,変換表貼り付け用シート!$A$3:$AN$3000,12,FALSE)))</f>
        <v>#N/A</v>
      </c>
      <c r="AF92" s="80" t="e">
        <f>IF(VLOOKUP($AB92,変換表貼り付け用シート!$A$3:$AN$3000,13,FALSE)="","",(VLOOKUP($AB92,変換表貼り付け用シート!$A$3:$AN$3000,13,FALSE)))</f>
        <v>#N/A</v>
      </c>
      <c r="AG92" s="80" t="e">
        <f>IF(VLOOKUP($AB92,変換表貼り付け用シート!$A$3:$AN$3000,14,FALSE)="","",(VLOOKUP($AB92,変換表貼り付け用シート!$A$3:$AN$3000,14,FALSE)))</f>
        <v>#N/A</v>
      </c>
      <c r="AH92" s="85" t="e">
        <f>IF(VLOOKUP($AB92,変換表貼り付け用シート!$A$3:$AN$3000,15,FALSE)="","",(VLOOKUP($AB92,変換表貼り付け用シート!$A$3:$AN$3000,15,FALSE)))</f>
        <v>#N/A</v>
      </c>
      <c r="AI92" s="79" t="e">
        <f>IF(VLOOKUP($AB92,変換表貼り付け用シート!$A$3:$AN$3000,16,FALSE)="","",(VLOOKUP($AB92,変換表貼り付け用シート!$A$3:$AN$3000,16,FALSE)))</f>
        <v>#N/A</v>
      </c>
      <c r="AJ92" s="81" t="e">
        <f>IF(VLOOKUP($AB92,変換表貼り付け用シート!$A$3:$AN$3000,17,FALSE)="","",(VLOOKUP($AB92,変換表貼り付け用シート!$A$3:$AN$3000,17,FALSE)))</f>
        <v>#N/A</v>
      </c>
      <c r="AK92" s="88" t="e">
        <f>IF(VLOOKUP($AB92,変換表貼り付け用シート!$A$3:$AN$3000,18,FALSE)="","",(VLOOKUP($AB92,変換表貼り付け用シート!$A$3:$AN$3000,18,FALSE)))</f>
        <v>#N/A</v>
      </c>
      <c r="AL92" s="81" t="e">
        <f>IF(VLOOKUP($AB92,変換表貼り付け用シート!$A$3:$AN$3000,19,FALSE)="","",(VLOOKUP($AB92,変換表貼り付け用シート!$A$3:$AN$3000,19,FALSE)))</f>
        <v>#N/A</v>
      </c>
      <c r="AM92" s="75" t="e">
        <f>IF(VLOOKUP($AB92,変換表貼り付け用シート!$A$3:$AN$3000,20,FALSE)="","",(VLOOKUP($AB92,変換表貼り付け用シート!$A$3:$AN$3000,20,FALSE)))</f>
        <v>#N/A</v>
      </c>
    </row>
    <row r="93" spans="2:39" ht="21" customHeight="1" x14ac:dyDescent="0.35">
      <c r="B93" s="39"/>
      <c r="C93" s="117" t="s">
        <v>797</v>
      </c>
      <c r="D93" s="96" t="s">
        <v>291</v>
      </c>
      <c r="E93" s="27" t="s">
        <v>44</v>
      </c>
      <c r="F93" s="37" t="s">
        <v>45</v>
      </c>
      <c r="G93" s="33" t="s">
        <v>206</v>
      </c>
      <c r="H93" s="27" t="s">
        <v>207</v>
      </c>
      <c r="I93" s="27" t="s">
        <v>206</v>
      </c>
      <c r="J93" s="37" t="s">
        <v>207</v>
      </c>
      <c r="K93" s="39" t="s">
        <v>159</v>
      </c>
      <c r="L93" s="28" t="s">
        <v>163</v>
      </c>
      <c r="M93" s="28" t="s">
        <v>48</v>
      </c>
      <c r="N93" s="41" t="s">
        <v>78</v>
      </c>
      <c r="O93" s="39" t="s">
        <v>164</v>
      </c>
      <c r="P93" s="28"/>
      <c r="Q93" s="28"/>
      <c r="R93" s="41"/>
      <c r="S93" s="39"/>
      <c r="T93" s="41"/>
      <c r="U93" s="39"/>
      <c r="V93" s="41"/>
      <c r="W93" s="43" t="s">
        <v>711</v>
      </c>
      <c r="X93" s="33"/>
      <c r="Y93" s="27"/>
      <c r="Z93" s="29"/>
      <c r="AB93" s="73" t="str">
        <f t="shared" si="2"/>
        <v>ePTFR GBイナーシャ－</v>
      </c>
      <c r="AC93" s="74" t="e">
        <f>VLOOKUP($AB93,変換表貼り付け用シート!$A$3:$AN$1133,3,FALSE)</f>
        <v>#N/A</v>
      </c>
      <c r="AD93" s="74" t="e">
        <f t="shared" si="3"/>
        <v>#N/A</v>
      </c>
      <c r="AE93" s="79" t="e">
        <f>IF(VLOOKUP($AB93,変換表貼り付け用シート!$A$3:$AN$3000,12,FALSE)="","",(VLOOKUP($AB93,変換表貼り付け用シート!$A$3:$AN$3000,12,FALSE)))</f>
        <v>#N/A</v>
      </c>
      <c r="AF93" s="80" t="e">
        <f>IF(VLOOKUP($AB93,変換表貼り付け用シート!$A$3:$AN$3000,13,FALSE)="","",(VLOOKUP($AB93,変換表貼り付け用シート!$A$3:$AN$3000,13,FALSE)))</f>
        <v>#N/A</v>
      </c>
      <c r="AG93" s="80" t="e">
        <f>IF(VLOOKUP($AB93,変換表貼り付け用シート!$A$3:$AN$3000,14,FALSE)="","",(VLOOKUP($AB93,変換表貼り付け用シート!$A$3:$AN$3000,14,FALSE)))</f>
        <v>#N/A</v>
      </c>
      <c r="AH93" s="85" t="e">
        <f>IF(VLOOKUP($AB93,変換表貼り付け用シート!$A$3:$AN$3000,15,FALSE)="","",(VLOOKUP($AB93,変換表貼り付け用シート!$A$3:$AN$3000,15,FALSE)))</f>
        <v>#N/A</v>
      </c>
      <c r="AI93" s="79" t="e">
        <f>IF(VLOOKUP($AB93,変換表貼り付け用シート!$A$3:$AN$3000,16,FALSE)="","",(VLOOKUP($AB93,変換表貼り付け用シート!$A$3:$AN$3000,16,FALSE)))</f>
        <v>#N/A</v>
      </c>
      <c r="AJ93" s="81" t="e">
        <f>IF(VLOOKUP($AB93,変換表貼り付け用シート!$A$3:$AN$3000,17,FALSE)="","",(VLOOKUP($AB93,変換表貼り付け用シート!$A$3:$AN$3000,17,FALSE)))</f>
        <v>#N/A</v>
      </c>
      <c r="AK93" s="88" t="e">
        <f>IF(VLOOKUP($AB93,変換表貼り付け用シート!$A$3:$AN$3000,18,FALSE)="","",(VLOOKUP($AB93,変換表貼り付け用シート!$A$3:$AN$3000,18,FALSE)))</f>
        <v>#N/A</v>
      </c>
      <c r="AL93" s="81" t="e">
        <f>IF(VLOOKUP($AB93,変換表貼り付け用シート!$A$3:$AN$3000,19,FALSE)="","",(VLOOKUP($AB93,変換表貼り付け用シート!$A$3:$AN$3000,19,FALSE)))</f>
        <v>#N/A</v>
      </c>
      <c r="AM93" s="75" t="e">
        <f>IF(VLOOKUP($AB93,変換表貼り付け用シート!$A$3:$AN$3000,20,FALSE)="","",(VLOOKUP($AB93,変換表貼り付け用シート!$A$3:$AN$3000,20,FALSE)))</f>
        <v>#N/A</v>
      </c>
    </row>
    <row r="94" spans="2:39" ht="21" customHeight="1" x14ac:dyDescent="0.35">
      <c r="B94" s="39"/>
      <c r="C94" s="117" t="s">
        <v>798</v>
      </c>
      <c r="D94" s="96" t="s">
        <v>292</v>
      </c>
      <c r="E94" s="27" t="s">
        <v>44</v>
      </c>
      <c r="F94" s="37" t="s">
        <v>45</v>
      </c>
      <c r="G94" s="33" t="s">
        <v>206</v>
      </c>
      <c r="H94" s="27" t="s">
        <v>207</v>
      </c>
      <c r="I94" s="27" t="s">
        <v>206</v>
      </c>
      <c r="J94" s="37" t="s">
        <v>207</v>
      </c>
      <c r="K94" s="39" t="s">
        <v>159</v>
      </c>
      <c r="L94" s="28" t="s">
        <v>165</v>
      </c>
      <c r="M94" s="28" t="s">
        <v>48</v>
      </c>
      <c r="N94" s="41" t="s">
        <v>78</v>
      </c>
      <c r="O94" s="39" t="s">
        <v>57</v>
      </c>
      <c r="P94" s="28"/>
      <c r="Q94" s="28"/>
      <c r="R94" s="41"/>
      <c r="S94" s="39"/>
      <c r="T94" s="41"/>
      <c r="U94" s="39"/>
      <c r="V94" s="41"/>
      <c r="W94" s="43" t="s">
        <v>711</v>
      </c>
      <c r="X94" s="33"/>
      <c r="Y94" s="27"/>
      <c r="Z94" s="29"/>
      <c r="AB94" s="73" t="str">
        <f t="shared" si="2"/>
        <v>ePTRR MOTイナーシャ－</v>
      </c>
      <c r="AC94" s="74" t="e">
        <f>VLOOKUP($AB94,変換表貼り付け用シート!$A$3:$AN$1133,3,FALSE)</f>
        <v>#N/A</v>
      </c>
      <c r="AD94" s="74" t="e">
        <f t="shared" si="3"/>
        <v>#N/A</v>
      </c>
      <c r="AE94" s="79" t="e">
        <f>IF(VLOOKUP($AB94,変換表貼り付け用シート!$A$3:$AN$3000,12,FALSE)="","",(VLOOKUP($AB94,変換表貼り付け用シート!$A$3:$AN$3000,12,FALSE)))</f>
        <v>#N/A</v>
      </c>
      <c r="AF94" s="80" t="e">
        <f>IF(VLOOKUP($AB94,変換表貼り付け用シート!$A$3:$AN$3000,13,FALSE)="","",(VLOOKUP($AB94,変換表貼り付け用シート!$A$3:$AN$3000,13,FALSE)))</f>
        <v>#N/A</v>
      </c>
      <c r="AG94" s="80" t="e">
        <f>IF(VLOOKUP($AB94,変換表貼り付け用シート!$A$3:$AN$3000,14,FALSE)="","",(VLOOKUP($AB94,変換表貼り付け用シート!$A$3:$AN$3000,14,FALSE)))</f>
        <v>#N/A</v>
      </c>
      <c r="AH94" s="85" t="e">
        <f>IF(VLOOKUP($AB94,変換表貼り付け用シート!$A$3:$AN$3000,15,FALSE)="","",(VLOOKUP($AB94,変換表貼り付け用シート!$A$3:$AN$3000,15,FALSE)))</f>
        <v>#N/A</v>
      </c>
      <c r="AI94" s="79" t="e">
        <f>IF(VLOOKUP($AB94,変換表貼り付け用シート!$A$3:$AN$3000,16,FALSE)="","",(VLOOKUP($AB94,変換表貼り付け用シート!$A$3:$AN$3000,16,FALSE)))</f>
        <v>#N/A</v>
      </c>
      <c r="AJ94" s="81" t="e">
        <f>IF(VLOOKUP($AB94,変換表貼り付け用シート!$A$3:$AN$3000,17,FALSE)="","",(VLOOKUP($AB94,変換表貼り付け用シート!$A$3:$AN$3000,17,FALSE)))</f>
        <v>#N/A</v>
      </c>
      <c r="AK94" s="88" t="e">
        <f>IF(VLOOKUP($AB94,変換表貼り付け用シート!$A$3:$AN$3000,18,FALSE)="","",(VLOOKUP($AB94,変換表貼り付け用シート!$A$3:$AN$3000,18,FALSE)))</f>
        <v>#N/A</v>
      </c>
      <c r="AL94" s="81" t="e">
        <f>IF(VLOOKUP($AB94,変換表貼り付け用シート!$A$3:$AN$3000,19,FALSE)="","",(VLOOKUP($AB94,変換表貼り付け用シート!$A$3:$AN$3000,19,FALSE)))</f>
        <v>#N/A</v>
      </c>
      <c r="AM94" s="75" t="e">
        <f>IF(VLOOKUP($AB94,変換表貼り付け用シート!$A$3:$AN$3000,20,FALSE)="","",(VLOOKUP($AB94,変換表貼り付け用シート!$A$3:$AN$3000,20,FALSE)))</f>
        <v>#N/A</v>
      </c>
    </row>
    <row r="95" spans="2:39" ht="21" customHeight="1" x14ac:dyDescent="0.35">
      <c r="B95" s="39"/>
      <c r="C95" s="117" t="s">
        <v>799</v>
      </c>
      <c r="D95" s="96" t="s">
        <v>293</v>
      </c>
      <c r="E95" s="27" t="s">
        <v>44</v>
      </c>
      <c r="F95" s="37" t="s">
        <v>45</v>
      </c>
      <c r="G95" s="33" t="s">
        <v>206</v>
      </c>
      <c r="H95" s="27" t="s">
        <v>207</v>
      </c>
      <c r="I95" s="27" t="s">
        <v>206</v>
      </c>
      <c r="J95" s="37" t="s">
        <v>207</v>
      </c>
      <c r="K95" s="39" t="s">
        <v>159</v>
      </c>
      <c r="L95" s="28" t="s">
        <v>166</v>
      </c>
      <c r="M95" s="28" t="s">
        <v>48</v>
      </c>
      <c r="N95" s="41" t="s">
        <v>78</v>
      </c>
      <c r="O95" s="39" t="s">
        <v>53</v>
      </c>
      <c r="P95" s="28"/>
      <c r="Q95" s="28"/>
      <c r="R95" s="41"/>
      <c r="S95" s="39"/>
      <c r="T95" s="41"/>
      <c r="U95" s="39"/>
      <c r="V95" s="41"/>
      <c r="W95" s="43" t="s">
        <v>711</v>
      </c>
      <c r="X95" s="33"/>
      <c r="Y95" s="27"/>
      <c r="Z95" s="29"/>
      <c r="AB95" s="73" t="str">
        <f t="shared" si="2"/>
        <v>ePTRR GBイナーシャ－</v>
      </c>
      <c r="AC95" s="74" t="e">
        <f>VLOOKUP($AB95,変換表貼り付け用シート!$A$3:$AN$1133,3,FALSE)</f>
        <v>#N/A</v>
      </c>
      <c r="AD95" s="74" t="e">
        <f t="shared" si="3"/>
        <v>#N/A</v>
      </c>
      <c r="AE95" s="79" t="e">
        <f>IF(VLOOKUP($AB95,変換表貼り付け用シート!$A$3:$AN$3000,12,FALSE)="","",(VLOOKUP($AB95,変換表貼り付け用シート!$A$3:$AN$3000,12,FALSE)))</f>
        <v>#N/A</v>
      </c>
      <c r="AF95" s="80" t="e">
        <f>IF(VLOOKUP($AB95,変換表貼り付け用シート!$A$3:$AN$3000,13,FALSE)="","",(VLOOKUP($AB95,変換表貼り付け用シート!$A$3:$AN$3000,13,FALSE)))</f>
        <v>#N/A</v>
      </c>
      <c r="AG95" s="80" t="e">
        <f>IF(VLOOKUP($AB95,変換表貼り付け用シート!$A$3:$AN$3000,14,FALSE)="","",(VLOOKUP($AB95,変換表貼り付け用シート!$A$3:$AN$3000,14,FALSE)))</f>
        <v>#N/A</v>
      </c>
      <c r="AH95" s="85" t="e">
        <f>IF(VLOOKUP($AB95,変換表貼り付け用シート!$A$3:$AN$3000,15,FALSE)="","",(VLOOKUP($AB95,変換表貼り付け用シート!$A$3:$AN$3000,15,FALSE)))</f>
        <v>#N/A</v>
      </c>
      <c r="AI95" s="79" t="e">
        <f>IF(VLOOKUP($AB95,変換表貼り付け用シート!$A$3:$AN$3000,16,FALSE)="","",(VLOOKUP($AB95,変換表貼り付け用シート!$A$3:$AN$3000,16,FALSE)))</f>
        <v>#N/A</v>
      </c>
      <c r="AJ95" s="81" t="e">
        <f>IF(VLOOKUP($AB95,変換表貼り付け用シート!$A$3:$AN$3000,17,FALSE)="","",(VLOOKUP($AB95,変換表貼り付け用シート!$A$3:$AN$3000,17,FALSE)))</f>
        <v>#N/A</v>
      </c>
      <c r="AK95" s="88" t="e">
        <f>IF(VLOOKUP($AB95,変換表貼り付け用シート!$A$3:$AN$3000,18,FALSE)="","",(VLOOKUP($AB95,変換表貼り付け用シート!$A$3:$AN$3000,18,FALSE)))</f>
        <v>#N/A</v>
      </c>
      <c r="AL95" s="81" t="e">
        <f>IF(VLOOKUP($AB95,変換表貼り付け用シート!$A$3:$AN$3000,19,FALSE)="","",(VLOOKUP($AB95,変換表貼り付け用シート!$A$3:$AN$3000,19,FALSE)))</f>
        <v>#N/A</v>
      </c>
      <c r="AM95" s="75" t="e">
        <f>IF(VLOOKUP($AB95,変換表貼り付け用シート!$A$3:$AN$3000,20,FALSE)="","",(VLOOKUP($AB95,変換表貼り付け用シート!$A$3:$AN$3000,20,FALSE)))</f>
        <v>#N/A</v>
      </c>
    </row>
    <row r="96" spans="2:39" ht="21" customHeight="1" x14ac:dyDescent="0.35">
      <c r="B96" s="39"/>
      <c r="C96" s="117" t="s">
        <v>800</v>
      </c>
      <c r="D96" s="96" t="s">
        <v>294</v>
      </c>
      <c r="E96" s="27" t="s">
        <v>44</v>
      </c>
      <c r="F96" s="37" t="s">
        <v>45</v>
      </c>
      <c r="G96" s="33" t="s">
        <v>206</v>
      </c>
      <c r="H96" s="27" t="s">
        <v>207</v>
      </c>
      <c r="I96" s="27" t="s">
        <v>206</v>
      </c>
      <c r="J96" s="37" t="s">
        <v>207</v>
      </c>
      <c r="K96" s="39" t="s">
        <v>159</v>
      </c>
      <c r="L96" s="28" t="s">
        <v>167</v>
      </c>
      <c r="M96" s="28" t="s">
        <v>48</v>
      </c>
      <c r="N96" s="41" t="s">
        <v>168</v>
      </c>
      <c r="O96" s="39">
        <v>135</v>
      </c>
      <c r="P96" s="28"/>
      <c r="Q96" s="28"/>
      <c r="R96" s="41"/>
      <c r="S96" s="39"/>
      <c r="T96" s="41"/>
      <c r="U96" s="39"/>
      <c r="V96" s="41"/>
      <c r="W96" s="43" t="s">
        <v>711</v>
      </c>
      <c r="X96" s="33"/>
      <c r="Y96" s="27"/>
      <c r="Z96" s="29"/>
      <c r="AB96" s="73" t="str">
        <f t="shared" si="2"/>
        <v>ePTFR MOT制限設定トルク上限(第一象限)－</v>
      </c>
      <c r="AC96" s="74" t="e">
        <f>VLOOKUP($AB96,変換表貼り付け用シート!$A$3:$AN$1133,3,FALSE)</f>
        <v>#N/A</v>
      </c>
      <c r="AD96" s="74" t="e">
        <f t="shared" si="3"/>
        <v>#N/A</v>
      </c>
      <c r="AE96" s="79" t="e">
        <f>IF(VLOOKUP($AB96,変換表貼り付け用シート!$A$3:$AN$3000,12,FALSE)="","",(VLOOKUP($AB96,変換表貼り付け用シート!$A$3:$AN$3000,12,FALSE)))</f>
        <v>#N/A</v>
      </c>
      <c r="AF96" s="80" t="e">
        <f>IF(VLOOKUP($AB96,変換表貼り付け用シート!$A$3:$AN$3000,13,FALSE)="","",(VLOOKUP($AB96,変換表貼り付け用シート!$A$3:$AN$3000,13,FALSE)))</f>
        <v>#N/A</v>
      </c>
      <c r="AG96" s="80" t="e">
        <f>IF(VLOOKUP($AB96,変換表貼り付け用シート!$A$3:$AN$3000,14,FALSE)="","",(VLOOKUP($AB96,変換表貼り付け用シート!$A$3:$AN$3000,14,FALSE)))</f>
        <v>#N/A</v>
      </c>
      <c r="AH96" s="85" t="e">
        <f>IF(VLOOKUP($AB96,変換表貼り付け用シート!$A$3:$AN$3000,15,FALSE)="","",(VLOOKUP($AB96,変換表貼り付け用シート!$A$3:$AN$3000,15,FALSE)))</f>
        <v>#N/A</v>
      </c>
      <c r="AI96" s="79" t="e">
        <f>IF(VLOOKUP($AB96,変換表貼り付け用シート!$A$3:$AN$3000,16,FALSE)="","",(VLOOKUP($AB96,変換表貼り付け用シート!$A$3:$AN$3000,16,FALSE)))</f>
        <v>#N/A</v>
      </c>
      <c r="AJ96" s="81" t="e">
        <f>IF(VLOOKUP($AB96,変換表貼り付け用シート!$A$3:$AN$3000,17,FALSE)="","",(VLOOKUP($AB96,変換表貼り付け用シート!$A$3:$AN$3000,17,FALSE)))</f>
        <v>#N/A</v>
      </c>
      <c r="AK96" s="88" t="e">
        <f>IF(VLOOKUP($AB96,変換表貼り付け用シート!$A$3:$AN$3000,18,FALSE)="","",(VLOOKUP($AB96,変換表貼り付け用シート!$A$3:$AN$3000,18,FALSE)))</f>
        <v>#N/A</v>
      </c>
      <c r="AL96" s="81" t="e">
        <f>IF(VLOOKUP($AB96,変換表貼り付け用シート!$A$3:$AN$3000,19,FALSE)="","",(VLOOKUP($AB96,変換表貼り付け用シート!$A$3:$AN$3000,19,FALSE)))</f>
        <v>#N/A</v>
      </c>
      <c r="AM96" s="75" t="e">
        <f>IF(VLOOKUP($AB96,変換表貼り付け用シート!$A$3:$AN$3000,20,FALSE)="","",(VLOOKUP($AB96,変換表貼り付け用シート!$A$3:$AN$3000,20,FALSE)))</f>
        <v>#N/A</v>
      </c>
    </row>
    <row r="97" spans="2:39" ht="21" customHeight="1" x14ac:dyDescent="0.35">
      <c r="B97" s="39"/>
      <c r="C97" s="117" t="s">
        <v>801</v>
      </c>
      <c r="D97" s="96" t="s">
        <v>295</v>
      </c>
      <c r="E97" s="27" t="s">
        <v>44</v>
      </c>
      <c r="F97" s="37" t="s">
        <v>45</v>
      </c>
      <c r="G97" s="33" t="s">
        <v>206</v>
      </c>
      <c r="H97" s="27" t="s">
        <v>207</v>
      </c>
      <c r="I97" s="27" t="s">
        <v>206</v>
      </c>
      <c r="J97" s="37" t="s">
        <v>207</v>
      </c>
      <c r="K97" s="39" t="s">
        <v>159</v>
      </c>
      <c r="L97" s="28" t="s">
        <v>169</v>
      </c>
      <c r="M97" s="28" t="s">
        <v>48</v>
      </c>
      <c r="N97" s="41" t="s">
        <v>168</v>
      </c>
      <c r="O97" s="39">
        <v>-135</v>
      </c>
      <c r="P97" s="28"/>
      <c r="Q97" s="28"/>
      <c r="R97" s="41"/>
      <c r="S97" s="39"/>
      <c r="T97" s="41"/>
      <c r="U97" s="39"/>
      <c r="V97" s="41"/>
      <c r="W97" s="43" t="s">
        <v>711</v>
      </c>
      <c r="X97" s="33"/>
      <c r="Y97" s="27"/>
      <c r="Z97" s="29"/>
      <c r="AB97" s="73" t="str">
        <f t="shared" si="2"/>
        <v>ePTFR MOT制限設定トルク下限(第四象限)－</v>
      </c>
      <c r="AC97" s="74" t="e">
        <f>VLOOKUP($AB97,変換表貼り付け用シート!$A$3:$AN$1133,3,FALSE)</f>
        <v>#N/A</v>
      </c>
      <c r="AD97" s="74" t="e">
        <f t="shared" si="3"/>
        <v>#N/A</v>
      </c>
      <c r="AE97" s="79" t="e">
        <f>IF(VLOOKUP($AB97,変換表貼り付け用シート!$A$3:$AN$3000,12,FALSE)="","",(VLOOKUP($AB97,変換表貼り付け用シート!$A$3:$AN$3000,12,FALSE)))</f>
        <v>#N/A</v>
      </c>
      <c r="AF97" s="80" t="e">
        <f>IF(VLOOKUP($AB97,変換表貼り付け用シート!$A$3:$AN$3000,13,FALSE)="","",(VLOOKUP($AB97,変換表貼り付け用シート!$A$3:$AN$3000,13,FALSE)))</f>
        <v>#N/A</v>
      </c>
      <c r="AG97" s="80" t="e">
        <f>IF(VLOOKUP($AB97,変換表貼り付け用シート!$A$3:$AN$3000,14,FALSE)="","",(VLOOKUP($AB97,変換表貼り付け用シート!$A$3:$AN$3000,14,FALSE)))</f>
        <v>#N/A</v>
      </c>
      <c r="AH97" s="85" t="e">
        <f>IF(VLOOKUP($AB97,変換表貼り付け用シート!$A$3:$AN$3000,15,FALSE)="","",(VLOOKUP($AB97,変換表貼り付け用シート!$A$3:$AN$3000,15,FALSE)))</f>
        <v>#N/A</v>
      </c>
      <c r="AI97" s="79" t="e">
        <f>IF(VLOOKUP($AB97,変換表貼り付け用シート!$A$3:$AN$3000,16,FALSE)="","",(VLOOKUP($AB97,変換表貼り付け用シート!$A$3:$AN$3000,16,FALSE)))</f>
        <v>#N/A</v>
      </c>
      <c r="AJ97" s="81" t="e">
        <f>IF(VLOOKUP($AB97,変換表貼り付け用シート!$A$3:$AN$3000,17,FALSE)="","",(VLOOKUP($AB97,変換表貼り付け用シート!$A$3:$AN$3000,17,FALSE)))</f>
        <v>#N/A</v>
      </c>
      <c r="AK97" s="88" t="e">
        <f>IF(VLOOKUP($AB97,変換表貼り付け用シート!$A$3:$AN$3000,18,FALSE)="","",(VLOOKUP($AB97,変換表貼り付け用シート!$A$3:$AN$3000,18,FALSE)))</f>
        <v>#N/A</v>
      </c>
      <c r="AL97" s="81" t="e">
        <f>IF(VLOOKUP($AB97,変換表貼り付け用シート!$A$3:$AN$3000,19,FALSE)="","",(VLOOKUP($AB97,変換表貼り付け用シート!$A$3:$AN$3000,19,FALSE)))</f>
        <v>#N/A</v>
      </c>
      <c r="AM97" s="75" t="e">
        <f>IF(VLOOKUP($AB97,変換表貼り付け用シート!$A$3:$AN$3000,20,FALSE)="","",(VLOOKUP($AB97,変換表貼り付け用シート!$A$3:$AN$3000,20,FALSE)))</f>
        <v>#N/A</v>
      </c>
    </row>
    <row r="98" spans="2:39" ht="21" customHeight="1" x14ac:dyDescent="0.35">
      <c r="B98" s="39"/>
      <c r="C98" s="117" t="s">
        <v>802</v>
      </c>
      <c r="D98" s="96" t="s">
        <v>296</v>
      </c>
      <c r="E98" s="27" t="s">
        <v>44</v>
      </c>
      <c r="F98" s="37" t="s">
        <v>45</v>
      </c>
      <c r="G98" s="33" t="s">
        <v>206</v>
      </c>
      <c r="H98" s="27" t="s">
        <v>207</v>
      </c>
      <c r="I98" s="27" t="s">
        <v>206</v>
      </c>
      <c r="J98" s="37" t="s">
        <v>207</v>
      </c>
      <c r="K98" s="39" t="s">
        <v>159</v>
      </c>
      <c r="L98" s="28" t="s">
        <v>170</v>
      </c>
      <c r="M98" s="28" t="s">
        <v>48</v>
      </c>
      <c r="N98" s="41" t="s">
        <v>48</v>
      </c>
      <c r="O98" s="39">
        <v>12.728</v>
      </c>
      <c r="P98" s="28"/>
      <c r="Q98" s="28"/>
      <c r="R98" s="41"/>
      <c r="S98" s="39"/>
      <c r="T98" s="41"/>
      <c r="U98" s="39"/>
      <c r="V98" s="41"/>
      <c r="W98" s="43" t="s">
        <v>711</v>
      </c>
      <c r="X98" s="33"/>
      <c r="Y98" s="27"/>
      <c r="Z98" s="29"/>
      <c r="AB98" s="73" t="str">
        <f t="shared" si="2"/>
        <v>ePTFR GB減速比－</v>
      </c>
      <c r="AC98" s="74" t="e">
        <f>VLOOKUP($AB98,変換表貼り付け用シート!$A$3:$AN$1133,3,FALSE)</f>
        <v>#N/A</v>
      </c>
      <c r="AD98" s="74" t="e">
        <f t="shared" si="3"/>
        <v>#N/A</v>
      </c>
      <c r="AE98" s="79" t="e">
        <f>IF(VLOOKUP($AB98,変換表貼り付け用シート!$A$3:$AN$3000,12,FALSE)="","",(VLOOKUP($AB98,変換表貼り付け用シート!$A$3:$AN$3000,12,FALSE)))</f>
        <v>#N/A</v>
      </c>
      <c r="AF98" s="80" t="e">
        <f>IF(VLOOKUP($AB98,変換表貼り付け用シート!$A$3:$AN$3000,13,FALSE)="","",(VLOOKUP($AB98,変換表貼り付け用シート!$A$3:$AN$3000,13,FALSE)))</f>
        <v>#N/A</v>
      </c>
      <c r="AG98" s="80" t="e">
        <f>IF(VLOOKUP($AB98,変換表貼り付け用シート!$A$3:$AN$3000,14,FALSE)="","",(VLOOKUP($AB98,変換表貼り付け用シート!$A$3:$AN$3000,14,FALSE)))</f>
        <v>#N/A</v>
      </c>
      <c r="AH98" s="85" t="e">
        <f>IF(VLOOKUP($AB98,変換表貼り付け用シート!$A$3:$AN$3000,15,FALSE)="","",(VLOOKUP($AB98,変換表貼り付け用シート!$A$3:$AN$3000,15,FALSE)))</f>
        <v>#N/A</v>
      </c>
      <c r="AI98" s="79" t="e">
        <f>IF(VLOOKUP($AB98,変換表貼り付け用シート!$A$3:$AN$3000,16,FALSE)="","",(VLOOKUP($AB98,変換表貼り付け用シート!$A$3:$AN$3000,16,FALSE)))</f>
        <v>#N/A</v>
      </c>
      <c r="AJ98" s="81" t="e">
        <f>IF(VLOOKUP($AB98,変換表貼り付け用シート!$A$3:$AN$3000,17,FALSE)="","",(VLOOKUP($AB98,変換表貼り付け用シート!$A$3:$AN$3000,17,FALSE)))</f>
        <v>#N/A</v>
      </c>
      <c r="AK98" s="88" t="e">
        <f>IF(VLOOKUP($AB98,変換表貼り付け用シート!$A$3:$AN$3000,18,FALSE)="","",(VLOOKUP($AB98,変換表貼り付け用シート!$A$3:$AN$3000,18,FALSE)))</f>
        <v>#N/A</v>
      </c>
      <c r="AL98" s="81" t="e">
        <f>IF(VLOOKUP($AB98,変換表貼り付け用シート!$A$3:$AN$3000,19,FALSE)="","",(VLOOKUP($AB98,変換表貼り付け用シート!$A$3:$AN$3000,19,FALSE)))</f>
        <v>#N/A</v>
      </c>
      <c r="AM98" s="75" t="e">
        <f>IF(VLOOKUP($AB98,変換表貼り付け用シート!$A$3:$AN$3000,20,FALSE)="","",(VLOOKUP($AB98,変換表貼り付け用シート!$A$3:$AN$3000,20,FALSE)))</f>
        <v>#N/A</v>
      </c>
    </row>
    <row r="99" spans="2:39" ht="21" customHeight="1" x14ac:dyDescent="0.35">
      <c r="B99" s="39"/>
      <c r="C99" s="117" t="s">
        <v>803</v>
      </c>
      <c r="D99" s="96" t="s">
        <v>297</v>
      </c>
      <c r="E99" s="27" t="s">
        <v>44</v>
      </c>
      <c r="F99" s="37" t="s">
        <v>45</v>
      </c>
      <c r="G99" s="33" t="s">
        <v>206</v>
      </c>
      <c r="H99" s="27" t="s">
        <v>207</v>
      </c>
      <c r="I99" s="27" t="s">
        <v>206</v>
      </c>
      <c r="J99" s="37" t="s">
        <v>207</v>
      </c>
      <c r="K99" s="39" t="s">
        <v>159</v>
      </c>
      <c r="L99" s="28" t="s">
        <v>171</v>
      </c>
      <c r="M99" s="28" t="s">
        <v>48</v>
      </c>
      <c r="N99" s="41" t="s">
        <v>168</v>
      </c>
      <c r="O99" s="39" t="s">
        <v>53</v>
      </c>
      <c r="P99" s="28"/>
      <c r="Q99" s="28"/>
      <c r="R99" s="41"/>
      <c r="S99" s="39"/>
      <c r="T99" s="41"/>
      <c r="U99" s="39"/>
      <c r="V99" s="41"/>
      <c r="W99" s="43" t="s">
        <v>711</v>
      </c>
      <c r="X99" s="33"/>
      <c r="Y99" s="27"/>
      <c r="Z99" s="29"/>
      <c r="AB99" s="73" t="str">
        <f t="shared" si="2"/>
        <v>ePTRR MOT制限設定トルク上限(第一象限)－</v>
      </c>
      <c r="AC99" s="74" t="e">
        <f>VLOOKUP($AB99,変換表貼り付け用シート!$A$3:$AN$1133,3,FALSE)</f>
        <v>#N/A</v>
      </c>
      <c r="AD99" s="74" t="e">
        <f t="shared" si="3"/>
        <v>#N/A</v>
      </c>
      <c r="AE99" s="79" t="e">
        <f>IF(VLOOKUP($AB99,変換表貼り付け用シート!$A$3:$AN$3000,12,FALSE)="","",(VLOOKUP($AB99,変換表貼り付け用シート!$A$3:$AN$3000,12,FALSE)))</f>
        <v>#N/A</v>
      </c>
      <c r="AF99" s="80" t="e">
        <f>IF(VLOOKUP($AB99,変換表貼り付け用シート!$A$3:$AN$3000,13,FALSE)="","",(VLOOKUP($AB99,変換表貼り付け用シート!$A$3:$AN$3000,13,FALSE)))</f>
        <v>#N/A</v>
      </c>
      <c r="AG99" s="80" t="e">
        <f>IF(VLOOKUP($AB99,変換表貼り付け用シート!$A$3:$AN$3000,14,FALSE)="","",(VLOOKUP($AB99,変換表貼り付け用シート!$A$3:$AN$3000,14,FALSE)))</f>
        <v>#N/A</v>
      </c>
      <c r="AH99" s="85" t="e">
        <f>IF(VLOOKUP($AB99,変換表貼り付け用シート!$A$3:$AN$3000,15,FALSE)="","",(VLOOKUP($AB99,変換表貼り付け用シート!$A$3:$AN$3000,15,FALSE)))</f>
        <v>#N/A</v>
      </c>
      <c r="AI99" s="79" t="e">
        <f>IF(VLOOKUP($AB99,変換表貼り付け用シート!$A$3:$AN$3000,16,FALSE)="","",(VLOOKUP($AB99,変換表貼り付け用シート!$A$3:$AN$3000,16,FALSE)))</f>
        <v>#N/A</v>
      </c>
      <c r="AJ99" s="81" t="e">
        <f>IF(VLOOKUP($AB99,変換表貼り付け用シート!$A$3:$AN$3000,17,FALSE)="","",(VLOOKUP($AB99,変換表貼り付け用シート!$A$3:$AN$3000,17,FALSE)))</f>
        <v>#N/A</v>
      </c>
      <c r="AK99" s="88" t="e">
        <f>IF(VLOOKUP($AB99,変換表貼り付け用シート!$A$3:$AN$3000,18,FALSE)="","",(VLOOKUP($AB99,変換表貼り付け用シート!$A$3:$AN$3000,18,FALSE)))</f>
        <v>#N/A</v>
      </c>
      <c r="AL99" s="81" t="e">
        <f>IF(VLOOKUP($AB99,変換表貼り付け用シート!$A$3:$AN$3000,19,FALSE)="","",(VLOOKUP($AB99,変換表貼り付け用シート!$A$3:$AN$3000,19,FALSE)))</f>
        <v>#N/A</v>
      </c>
      <c r="AM99" s="75" t="e">
        <f>IF(VLOOKUP($AB99,変換表貼り付け用シート!$A$3:$AN$3000,20,FALSE)="","",(VLOOKUP($AB99,変換表貼り付け用シート!$A$3:$AN$3000,20,FALSE)))</f>
        <v>#N/A</v>
      </c>
    </row>
    <row r="100" spans="2:39" ht="21" customHeight="1" x14ac:dyDescent="0.35">
      <c r="B100" s="39"/>
      <c r="C100" s="117" t="s">
        <v>804</v>
      </c>
      <c r="D100" s="96" t="s">
        <v>298</v>
      </c>
      <c r="E100" s="27" t="s">
        <v>44</v>
      </c>
      <c r="F100" s="37" t="s">
        <v>45</v>
      </c>
      <c r="G100" s="33" t="s">
        <v>206</v>
      </c>
      <c r="H100" s="27" t="s">
        <v>207</v>
      </c>
      <c r="I100" s="27" t="s">
        <v>206</v>
      </c>
      <c r="J100" s="37" t="s">
        <v>207</v>
      </c>
      <c r="K100" s="39" t="s">
        <v>159</v>
      </c>
      <c r="L100" s="28" t="s">
        <v>172</v>
      </c>
      <c r="M100" s="28" t="s">
        <v>48</v>
      </c>
      <c r="N100" s="41" t="s">
        <v>168</v>
      </c>
      <c r="O100" s="39" t="s">
        <v>53</v>
      </c>
      <c r="P100" s="28"/>
      <c r="Q100" s="28"/>
      <c r="R100" s="41"/>
      <c r="S100" s="39"/>
      <c r="T100" s="41"/>
      <c r="U100" s="39"/>
      <c r="V100" s="41"/>
      <c r="W100" s="43" t="s">
        <v>711</v>
      </c>
      <c r="X100" s="33"/>
      <c r="Y100" s="27"/>
      <c r="Z100" s="29"/>
      <c r="AB100" s="73" t="str">
        <f t="shared" si="2"/>
        <v>ePTRR MOT制限設定トルク下限(第四象限)－</v>
      </c>
      <c r="AC100" s="74" t="e">
        <f>VLOOKUP($AB100,変換表貼り付け用シート!$A$3:$AN$1133,3,FALSE)</f>
        <v>#N/A</v>
      </c>
      <c r="AD100" s="74" t="e">
        <f t="shared" si="3"/>
        <v>#N/A</v>
      </c>
      <c r="AE100" s="79" t="e">
        <f>IF(VLOOKUP($AB100,変換表貼り付け用シート!$A$3:$AN$3000,12,FALSE)="","",(VLOOKUP($AB100,変換表貼り付け用シート!$A$3:$AN$3000,12,FALSE)))</f>
        <v>#N/A</v>
      </c>
      <c r="AF100" s="80" t="e">
        <f>IF(VLOOKUP($AB100,変換表貼り付け用シート!$A$3:$AN$3000,13,FALSE)="","",(VLOOKUP($AB100,変換表貼り付け用シート!$A$3:$AN$3000,13,FALSE)))</f>
        <v>#N/A</v>
      </c>
      <c r="AG100" s="80" t="e">
        <f>IF(VLOOKUP($AB100,変換表貼り付け用シート!$A$3:$AN$3000,14,FALSE)="","",(VLOOKUP($AB100,変換表貼り付け用シート!$A$3:$AN$3000,14,FALSE)))</f>
        <v>#N/A</v>
      </c>
      <c r="AH100" s="85" t="e">
        <f>IF(VLOOKUP($AB100,変換表貼り付け用シート!$A$3:$AN$3000,15,FALSE)="","",(VLOOKUP($AB100,変換表貼り付け用シート!$A$3:$AN$3000,15,FALSE)))</f>
        <v>#N/A</v>
      </c>
      <c r="AI100" s="79" t="e">
        <f>IF(VLOOKUP($AB100,変換表貼り付け用シート!$A$3:$AN$3000,16,FALSE)="","",(VLOOKUP($AB100,変換表貼り付け用シート!$A$3:$AN$3000,16,FALSE)))</f>
        <v>#N/A</v>
      </c>
      <c r="AJ100" s="81" t="e">
        <f>IF(VLOOKUP($AB100,変換表貼り付け用シート!$A$3:$AN$3000,17,FALSE)="","",(VLOOKUP($AB100,変換表貼り付け用シート!$A$3:$AN$3000,17,FALSE)))</f>
        <v>#N/A</v>
      </c>
      <c r="AK100" s="88" t="e">
        <f>IF(VLOOKUP($AB100,変換表貼り付け用シート!$A$3:$AN$3000,18,FALSE)="","",(VLOOKUP($AB100,変換表貼り付け用シート!$A$3:$AN$3000,18,FALSE)))</f>
        <v>#N/A</v>
      </c>
      <c r="AL100" s="81" t="e">
        <f>IF(VLOOKUP($AB100,変換表貼り付け用シート!$A$3:$AN$3000,19,FALSE)="","",(VLOOKUP($AB100,変換表貼り付け用シート!$A$3:$AN$3000,19,FALSE)))</f>
        <v>#N/A</v>
      </c>
      <c r="AM100" s="75" t="e">
        <f>IF(VLOOKUP($AB100,変換表貼り付け用シート!$A$3:$AN$3000,20,FALSE)="","",(VLOOKUP($AB100,変換表貼り付け用シート!$A$3:$AN$3000,20,FALSE)))</f>
        <v>#N/A</v>
      </c>
    </row>
    <row r="101" spans="2:39" ht="21" customHeight="1" x14ac:dyDescent="0.35">
      <c r="B101" s="39"/>
      <c r="C101" s="117" t="s">
        <v>805</v>
      </c>
      <c r="D101" s="96" t="s">
        <v>299</v>
      </c>
      <c r="E101" s="27" t="s">
        <v>44</v>
      </c>
      <c r="F101" s="37" t="s">
        <v>45</v>
      </c>
      <c r="G101" s="33" t="s">
        <v>206</v>
      </c>
      <c r="H101" s="27" t="s">
        <v>207</v>
      </c>
      <c r="I101" s="27" t="s">
        <v>206</v>
      </c>
      <c r="J101" s="37" t="s">
        <v>207</v>
      </c>
      <c r="K101" s="39" t="s">
        <v>159</v>
      </c>
      <c r="L101" s="28" t="s">
        <v>173</v>
      </c>
      <c r="M101" s="28" t="s">
        <v>48</v>
      </c>
      <c r="N101" s="41" t="s">
        <v>48</v>
      </c>
      <c r="O101" s="39" t="s">
        <v>53</v>
      </c>
      <c r="P101" s="28"/>
      <c r="Q101" s="28"/>
      <c r="R101" s="41"/>
      <c r="S101" s="39"/>
      <c r="T101" s="41"/>
      <c r="U101" s="39"/>
      <c r="V101" s="41"/>
      <c r="W101" s="43" t="s">
        <v>711</v>
      </c>
      <c r="X101" s="33"/>
      <c r="Y101" s="27"/>
      <c r="Z101" s="29"/>
      <c r="AB101" s="73" t="str">
        <f t="shared" si="2"/>
        <v>ePTRR GB減速比－</v>
      </c>
      <c r="AC101" s="74" t="e">
        <f>VLOOKUP($AB101,変換表貼り付け用シート!$A$3:$AN$1133,3,FALSE)</f>
        <v>#N/A</v>
      </c>
      <c r="AD101" s="74" t="e">
        <f t="shared" si="3"/>
        <v>#N/A</v>
      </c>
      <c r="AE101" s="79" t="e">
        <f>IF(VLOOKUP($AB101,変換表貼り付け用シート!$A$3:$AN$3000,12,FALSE)="","",(VLOOKUP($AB101,変換表貼り付け用シート!$A$3:$AN$3000,12,FALSE)))</f>
        <v>#N/A</v>
      </c>
      <c r="AF101" s="80" t="e">
        <f>IF(VLOOKUP($AB101,変換表貼り付け用シート!$A$3:$AN$3000,13,FALSE)="","",(VLOOKUP($AB101,変換表貼り付け用シート!$A$3:$AN$3000,13,FALSE)))</f>
        <v>#N/A</v>
      </c>
      <c r="AG101" s="80" t="e">
        <f>IF(VLOOKUP($AB101,変換表貼り付け用シート!$A$3:$AN$3000,14,FALSE)="","",(VLOOKUP($AB101,変換表貼り付け用シート!$A$3:$AN$3000,14,FALSE)))</f>
        <v>#N/A</v>
      </c>
      <c r="AH101" s="85" t="e">
        <f>IF(VLOOKUP($AB101,変換表貼り付け用シート!$A$3:$AN$3000,15,FALSE)="","",(VLOOKUP($AB101,変換表貼り付け用シート!$A$3:$AN$3000,15,FALSE)))</f>
        <v>#N/A</v>
      </c>
      <c r="AI101" s="79" t="e">
        <f>IF(VLOOKUP($AB101,変換表貼り付け用シート!$A$3:$AN$3000,16,FALSE)="","",(VLOOKUP($AB101,変換表貼り付け用シート!$A$3:$AN$3000,16,FALSE)))</f>
        <v>#N/A</v>
      </c>
      <c r="AJ101" s="81" t="e">
        <f>IF(VLOOKUP($AB101,変換表貼り付け用シート!$A$3:$AN$3000,17,FALSE)="","",(VLOOKUP($AB101,変換表貼り付け用シート!$A$3:$AN$3000,17,FALSE)))</f>
        <v>#N/A</v>
      </c>
      <c r="AK101" s="88" t="e">
        <f>IF(VLOOKUP($AB101,変換表貼り付け用シート!$A$3:$AN$3000,18,FALSE)="","",(VLOOKUP($AB101,変換表貼り付け用シート!$A$3:$AN$3000,18,FALSE)))</f>
        <v>#N/A</v>
      </c>
      <c r="AL101" s="81" t="e">
        <f>IF(VLOOKUP($AB101,変換表貼り付け用シート!$A$3:$AN$3000,19,FALSE)="","",(VLOOKUP($AB101,変換表貼り付け用シート!$A$3:$AN$3000,19,FALSE)))</f>
        <v>#N/A</v>
      </c>
      <c r="AM101" s="75" t="e">
        <f>IF(VLOOKUP($AB101,変換表貼り付け用シート!$A$3:$AN$3000,20,FALSE)="","",(VLOOKUP($AB101,変換表貼り付け用シート!$A$3:$AN$3000,20,FALSE)))</f>
        <v>#N/A</v>
      </c>
    </row>
    <row r="102" spans="2:39" ht="21" customHeight="1" x14ac:dyDescent="0.35">
      <c r="B102" s="39"/>
      <c r="C102" s="117" t="s">
        <v>806</v>
      </c>
      <c r="D102" s="96" t="s">
        <v>300</v>
      </c>
      <c r="E102" s="27" t="s">
        <v>44</v>
      </c>
      <c r="F102" s="37" t="s">
        <v>45</v>
      </c>
      <c r="G102" s="33" t="s">
        <v>206</v>
      </c>
      <c r="H102" s="27" t="s">
        <v>207</v>
      </c>
      <c r="I102" s="27" t="s">
        <v>206</v>
      </c>
      <c r="J102" s="37" t="s">
        <v>207</v>
      </c>
      <c r="K102" s="39" t="s">
        <v>174</v>
      </c>
      <c r="L102" s="28" t="s">
        <v>175</v>
      </c>
      <c r="M102" s="28" t="s">
        <v>48</v>
      </c>
      <c r="N102" s="41" t="s">
        <v>78</v>
      </c>
      <c r="O102" s="39" t="s">
        <v>301</v>
      </c>
      <c r="P102" s="28"/>
      <c r="Q102" s="28"/>
      <c r="R102" s="41"/>
      <c r="S102" s="39"/>
      <c r="T102" s="41"/>
      <c r="U102" s="39"/>
      <c r="V102" s="41"/>
      <c r="W102" s="43" t="s">
        <v>711</v>
      </c>
      <c r="X102" s="33"/>
      <c r="Y102" s="27"/>
      <c r="Z102" s="29"/>
      <c r="AB102" s="73" t="str">
        <f t="shared" si="2"/>
        <v>ドライブシャフトFR右ドライブシャフトイナーシャ－</v>
      </c>
      <c r="AC102" s="74" t="e">
        <f>VLOOKUP($AB102,変換表貼り付け用シート!$A$3:$AN$1133,3,FALSE)</f>
        <v>#N/A</v>
      </c>
      <c r="AD102" s="74" t="e">
        <f t="shared" si="3"/>
        <v>#N/A</v>
      </c>
      <c r="AE102" s="79" t="e">
        <f>IF(VLOOKUP($AB102,変換表貼り付け用シート!$A$3:$AN$3000,12,FALSE)="","",(VLOOKUP($AB102,変換表貼り付け用シート!$A$3:$AN$3000,12,FALSE)))</f>
        <v>#N/A</v>
      </c>
      <c r="AF102" s="80" t="e">
        <f>IF(VLOOKUP($AB102,変換表貼り付け用シート!$A$3:$AN$3000,13,FALSE)="","",(VLOOKUP($AB102,変換表貼り付け用シート!$A$3:$AN$3000,13,FALSE)))</f>
        <v>#N/A</v>
      </c>
      <c r="AG102" s="80" t="e">
        <f>IF(VLOOKUP($AB102,変換表貼り付け用シート!$A$3:$AN$3000,14,FALSE)="","",(VLOOKUP($AB102,変換表貼り付け用シート!$A$3:$AN$3000,14,FALSE)))</f>
        <v>#N/A</v>
      </c>
      <c r="AH102" s="85" t="e">
        <f>IF(VLOOKUP($AB102,変換表貼り付け用シート!$A$3:$AN$3000,15,FALSE)="","",(VLOOKUP($AB102,変換表貼り付け用シート!$A$3:$AN$3000,15,FALSE)))</f>
        <v>#N/A</v>
      </c>
      <c r="AI102" s="79" t="e">
        <f>IF(VLOOKUP($AB102,変換表貼り付け用シート!$A$3:$AN$3000,16,FALSE)="","",(VLOOKUP($AB102,変換表貼り付け用シート!$A$3:$AN$3000,16,FALSE)))</f>
        <v>#N/A</v>
      </c>
      <c r="AJ102" s="81" t="e">
        <f>IF(VLOOKUP($AB102,変換表貼り付け用シート!$A$3:$AN$3000,17,FALSE)="","",(VLOOKUP($AB102,変換表貼り付け用シート!$A$3:$AN$3000,17,FALSE)))</f>
        <v>#N/A</v>
      </c>
      <c r="AK102" s="88" t="e">
        <f>IF(VLOOKUP($AB102,変換表貼り付け用シート!$A$3:$AN$3000,18,FALSE)="","",(VLOOKUP($AB102,変換表貼り付け用シート!$A$3:$AN$3000,18,FALSE)))</f>
        <v>#N/A</v>
      </c>
      <c r="AL102" s="81" t="e">
        <f>IF(VLOOKUP($AB102,変換表貼り付け用シート!$A$3:$AN$3000,19,FALSE)="","",(VLOOKUP($AB102,変換表貼り付け用シート!$A$3:$AN$3000,19,FALSE)))</f>
        <v>#N/A</v>
      </c>
      <c r="AM102" s="75" t="e">
        <f>IF(VLOOKUP($AB102,変換表貼り付け用シート!$A$3:$AN$3000,20,FALSE)="","",(VLOOKUP($AB102,変換表貼り付け用シート!$A$3:$AN$3000,20,FALSE)))</f>
        <v>#N/A</v>
      </c>
    </row>
    <row r="103" spans="2:39" ht="21" customHeight="1" x14ac:dyDescent="0.35">
      <c r="B103" s="39"/>
      <c r="C103" s="117" t="s">
        <v>807</v>
      </c>
      <c r="D103" s="96" t="s">
        <v>302</v>
      </c>
      <c r="E103" s="27" t="s">
        <v>44</v>
      </c>
      <c r="F103" s="37" t="s">
        <v>45</v>
      </c>
      <c r="G103" s="33" t="s">
        <v>206</v>
      </c>
      <c r="H103" s="27" t="s">
        <v>207</v>
      </c>
      <c r="I103" s="27" t="s">
        <v>206</v>
      </c>
      <c r="J103" s="37" t="s">
        <v>207</v>
      </c>
      <c r="K103" s="39" t="s">
        <v>174</v>
      </c>
      <c r="L103" s="28" t="s">
        <v>176</v>
      </c>
      <c r="M103" s="28" t="s">
        <v>48</v>
      </c>
      <c r="N103" s="41" t="s">
        <v>78</v>
      </c>
      <c r="O103" s="39" t="s">
        <v>303</v>
      </c>
      <c r="P103" s="28"/>
      <c r="Q103" s="28"/>
      <c r="R103" s="41"/>
      <c r="S103" s="39"/>
      <c r="T103" s="41"/>
      <c r="U103" s="39"/>
      <c r="V103" s="41"/>
      <c r="W103" s="43" t="s">
        <v>711</v>
      </c>
      <c r="X103" s="33"/>
      <c r="Y103" s="27"/>
      <c r="Z103" s="29"/>
      <c r="AB103" s="73" t="str">
        <f t="shared" si="2"/>
        <v>ドライブシャフトFR左ドライブシャフトイナーシャ－</v>
      </c>
      <c r="AC103" s="74" t="e">
        <f>VLOOKUP($AB103,変換表貼り付け用シート!$A$3:$AN$1133,3,FALSE)</f>
        <v>#N/A</v>
      </c>
      <c r="AD103" s="74" t="e">
        <f t="shared" si="3"/>
        <v>#N/A</v>
      </c>
      <c r="AE103" s="79" t="e">
        <f>IF(VLOOKUP($AB103,変換表貼り付け用シート!$A$3:$AN$3000,12,FALSE)="","",(VLOOKUP($AB103,変換表貼り付け用シート!$A$3:$AN$3000,12,FALSE)))</f>
        <v>#N/A</v>
      </c>
      <c r="AF103" s="80" t="e">
        <f>IF(VLOOKUP($AB103,変換表貼り付け用シート!$A$3:$AN$3000,13,FALSE)="","",(VLOOKUP($AB103,変換表貼り付け用シート!$A$3:$AN$3000,13,FALSE)))</f>
        <v>#N/A</v>
      </c>
      <c r="AG103" s="80" t="e">
        <f>IF(VLOOKUP($AB103,変換表貼り付け用シート!$A$3:$AN$3000,14,FALSE)="","",(VLOOKUP($AB103,変換表貼り付け用シート!$A$3:$AN$3000,14,FALSE)))</f>
        <v>#N/A</v>
      </c>
      <c r="AH103" s="85" t="e">
        <f>IF(VLOOKUP($AB103,変換表貼り付け用シート!$A$3:$AN$3000,15,FALSE)="","",(VLOOKUP($AB103,変換表貼り付け用シート!$A$3:$AN$3000,15,FALSE)))</f>
        <v>#N/A</v>
      </c>
      <c r="AI103" s="79" t="e">
        <f>IF(VLOOKUP($AB103,変換表貼り付け用シート!$A$3:$AN$3000,16,FALSE)="","",(VLOOKUP($AB103,変換表貼り付け用シート!$A$3:$AN$3000,16,FALSE)))</f>
        <v>#N/A</v>
      </c>
      <c r="AJ103" s="81" t="e">
        <f>IF(VLOOKUP($AB103,変換表貼り付け用シート!$A$3:$AN$3000,17,FALSE)="","",(VLOOKUP($AB103,変換表貼り付け用シート!$A$3:$AN$3000,17,FALSE)))</f>
        <v>#N/A</v>
      </c>
      <c r="AK103" s="88" t="e">
        <f>IF(VLOOKUP($AB103,変換表貼り付け用シート!$A$3:$AN$3000,18,FALSE)="","",(VLOOKUP($AB103,変換表貼り付け用シート!$A$3:$AN$3000,18,FALSE)))</f>
        <v>#N/A</v>
      </c>
      <c r="AL103" s="81" t="e">
        <f>IF(VLOOKUP($AB103,変換表貼り付け用シート!$A$3:$AN$3000,19,FALSE)="","",(VLOOKUP($AB103,変換表貼り付け用シート!$A$3:$AN$3000,19,FALSE)))</f>
        <v>#N/A</v>
      </c>
      <c r="AM103" s="75" t="e">
        <f>IF(VLOOKUP($AB103,変換表貼り付け用シート!$A$3:$AN$3000,20,FALSE)="","",(VLOOKUP($AB103,変換表貼り付け用シート!$A$3:$AN$3000,20,FALSE)))</f>
        <v>#N/A</v>
      </c>
    </row>
    <row r="104" spans="2:39" ht="21" customHeight="1" x14ac:dyDescent="0.35">
      <c r="B104" s="39"/>
      <c r="C104" s="117" t="s">
        <v>808</v>
      </c>
      <c r="D104" s="96" t="s">
        <v>304</v>
      </c>
      <c r="E104" s="27" t="s">
        <v>44</v>
      </c>
      <c r="F104" s="37" t="s">
        <v>45</v>
      </c>
      <c r="G104" s="33" t="s">
        <v>206</v>
      </c>
      <c r="H104" s="27" t="s">
        <v>207</v>
      </c>
      <c r="I104" s="27" t="s">
        <v>206</v>
      </c>
      <c r="J104" s="37" t="s">
        <v>207</v>
      </c>
      <c r="K104" s="39" t="s">
        <v>174</v>
      </c>
      <c r="L104" s="28" t="s">
        <v>177</v>
      </c>
      <c r="M104" s="28" t="s">
        <v>48</v>
      </c>
      <c r="N104" s="41" t="s">
        <v>78</v>
      </c>
      <c r="O104" s="39" t="s">
        <v>53</v>
      </c>
      <c r="P104" s="28"/>
      <c r="Q104" s="28"/>
      <c r="R104" s="41"/>
      <c r="S104" s="39"/>
      <c r="T104" s="41"/>
      <c r="U104" s="39"/>
      <c r="V104" s="41"/>
      <c r="W104" s="43" t="s">
        <v>711</v>
      </c>
      <c r="X104" s="33"/>
      <c r="Y104" s="27"/>
      <c r="Z104" s="29"/>
      <c r="AB104" s="73" t="str">
        <f t="shared" si="2"/>
        <v>ドライブシャフトRR右ドライブシャフトイナーシャ－</v>
      </c>
      <c r="AC104" s="74" t="e">
        <f>VLOOKUP($AB104,変換表貼り付け用シート!$A$3:$AN$1133,3,FALSE)</f>
        <v>#N/A</v>
      </c>
      <c r="AD104" s="74" t="e">
        <f t="shared" si="3"/>
        <v>#N/A</v>
      </c>
      <c r="AE104" s="79" t="e">
        <f>IF(VLOOKUP($AB104,変換表貼り付け用シート!$A$3:$AN$3000,12,FALSE)="","",(VLOOKUP($AB104,変換表貼り付け用シート!$A$3:$AN$3000,12,FALSE)))</f>
        <v>#N/A</v>
      </c>
      <c r="AF104" s="80" t="e">
        <f>IF(VLOOKUP($AB104,変換表貼り付け用シート!$A$3:$AN$3000,13,FALSE)="","",(VLOOKUP($AB104,変換表貼り付け用シート!$A$3:$AN$3000,13,FALSE)))</f>
        <v>#N/A</v>
      </c>
      <c r="AG104" s="80" t="e">
        <f>IF(VLOOKUP($AB104,変換表貼り付け用シート!$A$3:$AN$3000,14,FALSE)="","",(VLOOKUP($AB104,変換表貼り付け用シート!$A$3:$AN$3000,14,FALSE)))</f>
        <v>#N/A</v>
      </c>
      <c r="AH104" s="85" t="e">
        <f>IF(VLOOKUP($AB104,変換表貼り付け用シート!$A$3:$AN$3000,15,FALSE)="","",(VLOOKUP($AB104,変換表貼り付け用シート!$A$3:$AN$3000,15,FALSE)))</f>
        <v>#N/A</v>
      </c>
      <c r="AI104" s="79" t="e">
        <f>IF(VLOOKUP($AB104,変換表貼り付け用シート!$A$3:$AN$3000,16,FALSE)="","",(VLOOKUP($AB104,変換表貼り付け用シート!$A$3:$AN$3000,16,FALSE)))</f>
        <v>#N/A</v>
      </c>
      <c r="AJ104" s="81" t="e">
        <f>IF(VLOOKUP($AB104,変換表貼り付け用シート!$A$3:$AN$3000,17,FALSE)="","",(VLOOKUP($AB104,変換表貼り付け用シート!$A$3:$AN$3000,17,FALSE)))</f>
        <v>#N/A</v>
      </c>
      <c r="AK104" s="88" t="e">
        <f>IF(VLOOKUP($AB104,変換表貼り付け用シート!$A$3:$AN$3000,18,FALSE)="","",(VLOOKUP($AB104,変換表貼り付け用シート!$A$3:$AN$3000,18,FALSE)))</f>
        <v>#N/A</v>
      </c>
      <c r="AL104" s="81" t="e">
        <f>IF(VLOOKUP($AB104,変換表貼り付け用シート!$A$3:$AN$3000,19,FALSE)="","",(VLOOKUP($AB104,変換表貼り付け用シート!$A$3:$AN$3000,19,FALSE)))</f>
        <v>#N/A</v>
      </c>
      <c r="AM104" s="75" t="e">
        <f>IF(VLOOKUP($AB104,変換表貼り付け用シート!$A$3:$AN$3000,20,FALSE)="","",(VLOOKUP($AB104,変換表貼り付け用シート!$A$3:$AN$3000,20,FALSE)))</f>
        <v>#N/A</v>
      </c>
    </row>
    <row r="105" spans="2:39" ht="21" customHeight="1" x14ac:dyDescent="0.35">
      <c r="B105" s="39"/>
      <c r="C105" s="117" t="s">
        <v>809</v>
      </c>
      <c r="D105" s="96" t="s">
        <v>305</v>
      </c>
      <c r="E105" s="27" t="s">
        <v>44</v>
      </c>
      <c r="F105" s="37" t="s">
        <v>45</v>
      </c>
      <c r="G105" s="33" t="s">
        <v>206</v>
      </c>
      <c r="H105" s="27" t="s">
        <v>207</v>
      </c>
      <c r="I105" s="27" t="s">
        <v>206</v>
      </c>
      <c r="J105" s="37" t="s">
        <v>207</v>
      </c>
      <c r="K105" s="39" t="s">
        <v>174</v>
      </c>
      <c r="L105" s="28" t="s">
        <v>178</v>
      </c>
      <c r="M105" s="28" t="s">
        <v>48</v>
      </c>
      <c r="N105" s="41" t="s">
        <v>78</v>
      </c>
      <c r="O105" s="39" t="s">
        <v>53</v>
      </c>
      <c r="P105" s="28"/>
      <c r="Q105" s="28"/>
      <c r="R105" s="41"/>
      <c r="S105" s="39"/>
      <c r="T105" s="41"/>
      <c r="U105" s="39"/>
      <c r="V105" s="41"/>
      <c r="W105" s="43" t="s">
        <v>711</v>
      </c>
      <c r="X105" s="33"/>
      <c r="Y105" s="27"/>
      <c r="Z105" s="29"/>
      <c r="AB105" s="73" t="str">
        <f t="shared" si="2"/>
        <v>ドライブシャフトRR左ドライブシャフトイナーシャ－</v>
      </c>
      <c r="AC105" s="74" t="e">
        <f>VLOOKUP($AB105,変換表貼り付け用シート!$A$3:$AN$1133,3,FALSE)</f>
        <v>#N/A</v>
      </c>
      <c r="AD105" s="74" t="e">
        <f t="shared" si="3"/>
        <v>#N/A</v>
      </c>
      <c r="AE105" s="79" t="e">
        <f>IF(VLOOKUP($AB105,変換表貼り付け用シート!$A$3:$AN$3000,12,FALSE)="","",(VLOOKUP($AB105,変換表貼り付け用シート!$A$3:$AN$3000,12,FALSE)))</f>
        <v>#N/A</v>
      </c>
      <c r="AF105" s="80" t="e">
        <f>IF(VLOOKUP($AB105,変換表貼り付け用シート!$A$3:$AN$3000,13,FALSE)="","",(VLOOKUP($AB105,変換表貼り付け用シート!$A$3:$AN$3000,13,FALSE)))</f>
        <v>#N/A</v>
      </c>
      <c r="AG105" s="80" t="e">
        <f>IF(VLOOKUP($AB105,変換表貼り付け用シート!$A$3:$AN$3000,14,FALSE)="","",(VLOOKUP($AB105,変換表貼り付け用シート!$A$3:$AN$3000,14,FALSE)))</f>
        <v>#N/A</v>
      </c>
      <c r="AH105" s="85" t="e">
        <f>IF(VLOOKUP($AB105,変換表貼り付け用シート!$A$3:$AN$3000,15,FALSE)="","",(VLOOKUP($AB105,変換表貼り付け用シート!$A$3:$AN$3000,15,FALSE)))</f>
        <v>#N/A</v>
      </c>
      <c r="AI105" s="79" t="e">
        <f>IF(VLOOKUP($AB105,変換表貼り付け用シート!$A$3:$AN$3000,16,FALSE)="","",(VLOOKUP($AB105,変換表貼り付け用シート!$A$3:$AN$3000,16,FALSE)))</f>
        <v>#N/A</v>
      </c>
      <c r="AJ105" s="81" t="e">
        <f>IF(VLOOKUP($AB105,変換表貼り付け用シート!$A$3:$AN$3000,17,FALSE)="","",(VLOOKUP($AB105,変換表貼り付け用シート!$A$3:$AN$3000,17,FALSE)))</f>
        <v>#N/A</v>
      </c>
      <c r="AK105" s="88" t="e">
        <f>IF(VLOOKUP($AB105,変換表貼り付け用シート!$A$3:$AN$3000,18,FALSE)="","",(VLOOKUP($AB105,変換表貼り付け用シート!$A$3:$AN$3000,18,FALSE)))</f>
        <v>#N/A</v>
      </c>
      <c r="AL105" s="81" t="e">
        <f>IF(VLOOKUP($AB105,変換表貼り付け用シート!$A$3:$AN$3000,19,FALSE)="","",(VLOOKUP($AB105,変換表貼り付け用シート!$A$3:$AN$3000,19,FALSE)))</f>
        <v>#N/A</v>
      </c>
      <c r="AM105" s="75" t="e">
        <f>IF(VLOOKUP($AB105,変換表貼り付け用シート!$A$3:$AN$3000,20,FALSE)="","",(VLOOKUP($AB105,変換表貼り付け用シート!$A$3:$AN$3000,20,FALSE)))</f>
        <v>#N/A</v>
      </c>
    </row>
    <row r="106" spans="2:39" ht="21" customHeight="1" x14ac:dyDescent="0.35">
      <c r="B106" s="39"/>
      <c r="C106" s="117" t="s">
        <v>810</v>
      </c>
      <c r="D106" s="96" t="s">
        <v>306</v>
      </c>
      <c r="E106" s="27" t="s">
        <v>44</v>
      </c>
      <c r="F106" s="37" t="s">
        <v>45</v>
      </c>
      <c r="G106" s="33" t="s">
        <v>206</v>
      </c>
      <c r="H106" s="27" t="s">
        <v>207</v>
      </c>
      <c r="I106" s="27" t="s">
        <v>206</v>
      </c>
      <c r="J106" s="37" t="s">
        <v>207</v>
      </c>
      <c r="K106" s="39" t="s">
        <v>179</v>
      </c>
      <c r="L106" s="28" t="s">
        <v>180</v>
      </c>
      <c r="M106" s="28" t="s">
        <v>48</v>
      </c>
      <c r="N106" s="41" t="s">
        <v>181</v>
      </c>
      <c r="O106" s="39">
        <v>75</v>
      </c>
      <c r="P106" s="28"/>
      <c r="Q106" s="28"/>
      <c r="R106" s="41"/>
      <c r="S106" s="39"/>
      <c r="T106" s="41"/>
      <c r="U106" s="39"/>
      <c r="V106" s="41"/>
      <c r="W106" s="43" t="s">
        <v>711</v>
      </c>
      <c r="X106" s="33"/>
      <c r="Y106" s="27"/>
      <c r="Z106" s="29"/>
      <c r="AB106" s="73" t="str">
        <f t="shared" si="2"/>
        <v>DCDCDCDC効率(走行時弱電220W,355V入力(SOC20%),13V出力)－</v>
      </c>
      <c r="AC106" s="74" t="e">
        <f>VLOOKUP($AB106,変換表貼り付け用シート!$A$3:$AN$1133,3,FALSE)</f>
        <v>#N/A</v>
      </c>
      <c r="AD106" s="74" t="e">
        <f t="shared" si="3"/>
        <v>#N/A</v>
      </c>
      <c r="AE106" s="79" t="e">
        <f>IF(VLOOKUP($AB106,変換表貼り付け用シート!$A$3:$AN$3000,12,FALSE)="","",(VLOOKUP($AB106,変換表貼り付け用シート!$A$3:$AN$3000,12,FALSE)))</f>
        <v>#N/A</v>
      </c>
      <c r="AF106" s="80" t="e">
        <f>IF(VLOOKUP($AB106,変換表貼り付け用シート!$A$3:$AN$3000,13,FALSE)="","",(VLOOKUP($AB106,変換表貼り付け用シート!$A$3:$AN$3000,13,FALSE)))</f>
        <v>#N/A</v>
      </c>
      <c r="AG106" s="80" t="e">
        <f>IF(VLOOKUP($AB106,変換表貼り付け用シート!$A$3:$AN$3000,14,FALSE)="","",(VLOOKUP($AB106,変換表貼り付け用シート!$A$3:$AN$3000,14,FALSE)))</f>
        <v>#N/A</v>
      </c>
      <c r="AH106" s="85" t="e">
        <f>IF(VLOOKUP($AB106,変換表貼り付け用シート!$A$3:$AN$3000,15,FALSE)="","",(VLOOKUP($AB106,変換表貼り付け用シート!$A$3:$AN$3000,15,FALSE)))</f>
        <v>#N/A</v>
      </c>
      <c r="AI106" s="79" t="e">
        <f>IF(VLOOKUP($AB106,変換表貼り付け用シート!$A$3:$AN$3000,16,FALSE)="","",(VLOOKUP($AB106,変換表貼り付け用シート!$A$3:$AN$3000,16,FALSE)))</f>
        <v>#N/A</v>
      </c>
      <c r="AJ106" s="81" t="e">
        <f>IF(VLOOKUP($AB106,変換表貼り付け用シート!$A$3:$AN$3000,17,FALSE)="","",(VLOOKUP($AB106,変換表貼り付け用シート!$A$3:$AN$3000,17,FALSE)))</f>
        <v>#N/A</v>
      </c>
      <c r="AK106" s="88" t="e">
        <f>IF(VLOOKUP($AB106,変換表貼り付け用シート!$A$3:$AN$3000,18,FALSE)="","",(VLOOKUP($AB106,変換表貼り付け用シート!$A$3:$AN$3000,18,FALSE)))</f>
        <v>#N/A</v>
      </c>
      <c r="AL106" s="81" t="e">
        <f>IF(VLOOKUP($AB106,変換表貼り付け用シート!$A$3:$AN$3000,19,FALSE)="","",(VLOOKUP($AB106,変換表貼り付け用シート!$A$3:$AN$3000,19,FALSE)))</f>
        <v>#N/A</v>
      </c>
      <c r="AM106" s="75" t="e">
        <f>IF(VLOOKUP($AB106,変換表貼り付け用シート!$A$3:$AN$3000,20,FALSE)="","",(VLOOKUP($AB106,変換表貼り付け用シート!$A$3:$AN$3000,20,FALSE)))</f>
        <v>#N/A</v>
      </c>
    </row>
    <row r="107" spans="2:39" ht="21" customHeight="1" x14ac:dyDescent="0.35">
      <c r="B107" s="39"/>
      <c r="C107" s="117" t="s">
        <v>811</v>
      </c>
      <c r="D107" s="96" t="s">
        <v>307</v>
      </c>
      <c r="E107" s="27" t="s">
        <v>44</v>
      </c>
      <c r="F107" s="37" t="s">
        <v>45</v>
      </c>
      <c r="G107" s="33" t="s">
        <v>206</v>
      </c>
      <c r="H107" s="27" t="s">
        <v>207</v>
      </c>
      <c r="I107" s="27" t="s">
        <v>206</v>
      </c>
      <c r="J107" s="37" t="s">
        <v>207</v>
      </c>
      <c r="K107" s="39" t="s">
        <v>182</v>
      </c>
      <c r="L107" s="28" t="s">
        <v>183</v>
      </c>
      <c r="M107" s="28" t="s">
        <v>48</v>
      </c>
      <c r="N107" s="41" t="s">
        <v>161</v>
      </c>
      <c r="O107" s="39">
        <v>227</v>
      </c>
      <c r="P107" s="28"/>
      <c r="Q107" s="28"/>
      <c r="R107" s="41"/>
      <c r="S107" s="39"/>
      <c r="T107" s="41"/>
      <c r="U107" s="39"/>
      <c r="V107" s="41"/>
      <c r="W107" s="43" t="s">
        <v>711</v>
      </c>
      <c r="X107" s="33"/>
      <c r="Y107" s="27"/>
      <c r="Z107" s="29"/>
      <c r="AB107" s="73" t="str">
        <f t="shared" si="2"/>
        <v>LV BATT消費電力(電費試験時WLTCモード)－</v>
      </c>
      <c r="AC107" s="74" t="e">
        <f>VLOOKUP($AB107,変換表貼り付け用シート!$A$3:$AN$1133,3,FALSE)</f>
        <v>#N/A</v>
      </c>
      <c r="AD107" s="74" t="e">
        <f t="shared" si="3"/>
        <v>#N/A</v>
      </c>
      <c r="AE107" s="79" t="e">
        <f>IF(VLOOKUP($AB107,変換表貼り付け用シート!$A$3:$AN$3000,12,FALSE)="","",(VLOOKUP($AB107,変換表貼り付け用シート!$A$3:$AN$3000,12,FALSE)))</f>
        <v>#N/A</v>
      </c>
      <c r="AF107" s="80" t="e">
        <f>IF(VLOOKUP($AB107,変換表貼り付け用シート!$A$3:$AN$3000,13,FALSE)="","",(VLOOKUP($AB107,変換表貼り付け用シート!$A$3:$AN$3000,13,FALSE)))</f>
        <v>#N/A</v>
      </c>
      <c r="AG107" s="80" t="e">
        <f>IF(VLOOKUP($AB107,変換表貼り付け用シート!$A$3:$AN$3000,14,FALSE)="","",(VLOOKUP($AB107,変換表貼り付け用シート!$A$3:$AN$3000,14,FALSE)))</f>
        <v>#N/A</v>
      </c>
      <c r="AH107" s="85" t="e">
        <f>IF(VLOOKUP($AB107,変換表貼り付け用シート!$A$3:$AN$3000,15,FALSE)="","",(VLOOKUP($AB107,変換表貼り付け用シート!$A$3:$AN$3000,15,FALSE)))</f>
        <v>#N/A</v>
      </c>
      <c r="AI107" s="79" t="e">
        <f>IF(VLOOKUP($AB107,変換表貼り付け用シート!$A$3:$AN$3000,16,FALSE)="","",(VLOOKUP($AB107,変換表貼り付け用シート!$A$3:$AN$3000,16,FALSE)))</f>
        <v>#N/A</v>
      </c>
      <c r="AJ107" s="81" t="e">
        <f>IF(VLOOKUP($AB107,変換表貼り付け用シート!$A$3:$AN$3000,17,FALSE)="","",(VLOOKUP($AB107,変換表貼り付け用シート!$A$3:$AN$3000,17,FALSE)))</f>
        <v>#N/A</v>
      </c>
      <c r="AK107" s="88" t="e">
        <f>IF(VLOOKUP($AB107,変換表貼り付け用シート!$A$3:$AN$3000,18,FALSE)="","",(VLOOKUP($AB107,変換表貼り付け用シート!$A$3:$AN$3000,18,FALSE)))</f>
        <v>#N/A</v>
      </c>
      <c r="AL107" s="81" t="e">
        <f>IF(VLOOKUP($AB107,変換表貼り付け用シート!$A$3:$AN$3000,19,FALSE)="","",(VLOOKUP($AB107,変換表貼り付け用シート!$A$3:$AN$3000,19,FALSE)))</f>
        <v>#N/A</v>
      </c>
      <c r="AM107" s="75" t="e">
        <f>IF(VLOOKUP($AB107,変換表貼り付け用シート!$A$3:$AN$3000,20,FALSE)="","",(VLOOKUP($AB107,変換表貼り付け用シート!$A$3:$AN$3000,20,FALSE)))</f>
        <v>#N/A</v>
      </c>
    </row>
    <row r="108" spans="2:39" ht="21" customHeight="1" x14ac:dyDescent="0.35">
      <c r="B108" s="39"/>
      <c r="C108" s="117" t="s">
        <v>812</v>
      </c>
      <c r="D108" s="96" t="s">
        <v>308</v>
      </c>
      <c r="E108" s="27" t="s">
        <v>44</v>
      </c>
      <c r="F108" s="37" t="s">
        <v>45</v>
      </c>
      <c r="G108" s="33" t="s">
        <v>206</v>
      </c>
      <c r="H108" s="27" t="s">
        <v>207</v>
      </c>
      <c r="I108" s="27" t="s">
        <v>206</v>
      </c>
      <c r="J108" s="37" t="s">
        <v>207</v>
      </c>
      <c r="K108" s="39" t="s">
        <v>184</v>
      </c>
      <c r="L108" s="28" t="s">
        <v>185</v>
      </c>
      <c r="M108" s="28" t="s">
        <v>48</v>
      </c>
      <c r="N108" s="41" t="s">
        <v>186</v>
      </c>
      <c r="O108" s="39">
        <v>100</v>
      </c>
      <c r="P108" s="28"/>
      <c r="Q108" s="28"/>
      <c r="R108" s="41"/>
      <c r="S108" s="39"/>
      <c r="T108" s="41"/>
      <c r="U108" s="39"/>
      <c r="V108" s="41"/>
      <c r="W108" s="43" t="s">
        <v>711</v>
      </c>
      <c r="X108" s="33"/>
      <c r="Y108" s="27"/>
      <c r="Z108" s="29"/>
      <c r="AB108" s="73" t="str">
        <f t="shared" si="2"/>
        <v>HV BATT直列セル数－</v>
      </c>
      <c r="AC108" s="74" t="e">
        <f>VLOOKUP($AB108,変換表貼り付け用シート!$A$3:$AN$1133,3,FALSE)</f>
        <v>#N/A</v>
      </c>
      <c r="AD108" s="74" t="e">
        <f t="shared" si="3"/>
        <v>#N/A</v>
      </c>
      <c r="AE108" s="79" t="e">
        <f>IF(VLOOKUP($AB108,変換表貼り付け用シート!$A$3:$AN$3000,12,FALSE)="","",(VLOOKUP($AB108,変換表貼り付け用シート!$A$3:$AN$3000,12,FALSE)))</f>
        <v>#N/A</v>
      </c>
      <c r="AF108" s="80" t="e">
        <f>IF(VLOOKUP($AB108,変換表貼り付け用シート!$A$3:$AN$3000,13,FALSE)="","",(VLOOKUP($AB108,変換表貼り付け用シート!$A$3:$AN$3000,13,FALSE)))</f>
        <v>#N/A</v>
      </c>
      <c r="AG108" s="80" t="e">
        <f>IF(VLOOKUP($AB108,変換表貼り付け用シート!$A$3:$AN$3000,14,FALSE)="","",(VLOOKUP($AB108,変換表貼り付け用シート!$A$3:$AN$3000,14,FALSE)))</f>
        <v>#N/A</v>
      </c>
      <c r="AH108" s="85" t="e">
        <f>IF(VLOOKUP($AB108,変換表貼り付け用シート!$A$3:$AN$3000,15,FALSE)="","",(VLOOKUP($AB108,変換表貼り付け用シート!$A$3:$AN$3000,15,FALSE)))</f>
        <v>#N/A</v>
      </c>
      <c r="AI108" s="79" t="e">
        <f>IF(VLOOKUP($AB108,変換表貼り付け用シート!$A$3:$AN$3000,16,FALSE)="","",(VLOOKUP($AB108,変換表貼り付け用シート!$A$3:$AN$3000,16,FALSE)))</f>
        <v>#N/A</v>
      </c>
      <c r="AJ108" s="81" t="e">
        <f>IF(VLOOKUP($AB108,変換表貼り付け用シート!$A$3:$AN$3000,17,FALSE)="","",(VLOOKUP($AB108,変換表貼り付け用シート!$A$3:$AN$3000,17,FALSE)))</f>
        <v>#N/A</v>
      </c>
      <c r="AK108" s="88" t="e">
        <f>IF(VLOOKUP($AB108,変換表貼り付け用シート!$A$3:$AN$3000,18,FALSE)="","",(VLOOKUP($AB108,変換表貼り付け用シート!$A$3:$AN$3000,18,FALSE)))</f>
        <v>#N/A</v>
      </c>
      <c r="AL108" s="81" t="e">
        <f>IF(VLOOKUP($AB108,変換表貼り付け用シート!$A$3:$AN$3000,19,FALSE)="","",(VLOOKUP($AB108,変換表貼り付け用シート!$A$3:$AN$3000,19,FALSE)))</f>
        <v>#N/A</v>
      </c>
      <c r="AM108" s="75" t="e">
        <f>IF(VLOOKUP($AB108,変換表貼り付け用シート!$A$3:$AN$3000,20,FALSE)="","",(VLOOKUP($AB108,変換表貼り付け用シート!$A$3:$AN$3000,20,FALSE)))</f>
        <v>#N/A</v>
      </c>
    </row>
    <row r="109" spans="2:39" ht="21" customHeight="1" x14ac:dyDescent="0.35">
      <c r="B109" s="39"/>
      <c r="C109" s="117" t="s">
        <v>813</v>
      </c>
      <c r="D109" s="96" t="s">
        <v>309</v>
      </c>
      <c r="E109" s="27" t="s">
        <v>44</v>
      </c>
      <c r="F109" s="37" t="s">
        <v>45</v>
      </c>
      <c r="G109" s="33" t="s">
        <v>206</v>
      </c>
      <c r="H109" s="27" t="s">
        <v>207</v>
      </c>
      <c r="I109" s="27" t="s">
        <v>206</v>
      </c>
      <c r="J109" s="37" t="s">
        <v>207</v>
      </c>
      <c r="K109" s="39" t="s">
        <v>184</v>
      </c>
      <c r="L109" s="28" t="s">
        <v>187</v>
      </c>
      <c r="M109" s="28" t="s">
        <v>48</v>
      </c>
      <c r="N109" s="41" t="s">
        <v>188</v>
      </c>
      <c r="O109" s="39">
        <v>1</v>
      </c>
      <c r="P109" s="28"/>
      <c r="Q109" s="28"/>
      <c r="R109" s="41"/>
      <c r="S109" s="39"/>
      <c r="T109" s="41"/>
      <c r="U109" s="39"/>
      <c r="V109" s="41"/>
      <c r="W109" s="43" t="s">
        <v>711</v>
      </c>
      <c r="X109" s="33"/>
      <c r="Y109" s="27"/>
      <c r="Z109" s="29"/>
      <c r="AB109" s="73" t="str">
        <f t="shared" si="2"/>
        <v>HV BATT並列セル数－</v>
      </c>
      <c r="AC109" s="74" t="e">
        <f>VLOOKUP($AB109,変換表貼り付け用シート!$A$3:$AN$1133,3,FALSE)</f>
        <v>#N/A</v>
      </c>
      <c r="AD109" s="74" t="e">
        <f t="shared" si="3"/>
        <v>#N/A</v>
      </c>
      <c r="AE109" s="79" t="e">
        <f>IF(VLOOKUP($AB109,変換表貼り付け用シート!$A$3:$AN$3000,12,FALSE)="","",(VLOOKUP($AB109,変換表貼り付け用シート!$A$3:$AN$3000,12,FALSE)))</f>
        <v>#N/A</v>
      </c>
      <c r="AF109" s="80" t="e">
        <f>IF(VLOOKUP($AB109,変換表貼り付け用シート!$A$3:$AN$3000,13,FALSE)="","",(VLOOKUP($AB109,変換表貼り付け用シート!$A$3:$AN$3000,13,FALSE)))</f>
        <v>#N/A</v>
      </c>
      <c r="AG109" s="80" t="e">
        <f>IF(VLOOKUP($AB109,変換表貼り付け用シート!$A$3:$AN$3000,14,FALSE)="","",(VLOOKUP($AB109,変換表貼り付け用シート!$A$3:$AN$3000,14,FALSE)))</f>
        <v>#N/A</v>
      </c>
      <c r="AH109" s="85" t="e">
        <f>IF(VLOOKUP($AB109,変換表貼り付け用シート!$A$3:$AN$3000,15,FALSE)="","",(VLOOKUP($AB109,変換表貼り付け用シート!$A$3:$AN$3000,15,FALSE)))</f>
        <v>#N/A</v>
      </c>
      <c r="AI109" s="79" t="e">
        <f>IF(VLOOKUP($AB109,変換表貼り付け用シート!$A$3:$AN$3000,16,FALSE)="","",(VLOOKUP($AB109,変換表貼り付け用シート!$A$3:$AN$3000,16,FALSE)))</f>
        <v>#N/A</v>
      </c>
      <c r="AJ109" s="81" t="e">
        <f>IF(VLOOKUP($AB109,変換表貼り付け用シート!$A$3:$AN$3000,17,FALSE)="","",(VLOOKUP($AB109,変換表貼り付け用シート!$A$3:$AN$3000,17,FALSE)))</f>
        <v>#N/A</v>
      </c>
      <c r="AK109" s="88" t="e">
        <f>IF(VLOOKUP($AB109,変換表貼り付け用シート!$A$3:$AN$3000,18,FALSE)="","",(VLOOKUP($AB109,変換表貼り付け用シート!$A$3:$AN$3000,18,FALSE)))</f>
        <v>#N/A</v>
      </c>
      <c r="AL109" s="81" t="e">
        <f>IF(VLOOKUP($AB109,変換表貼り付け用シート!$A$3:$AN$3000,19,FALSE)="","",(VLOOKUP($AB109,変換表貼り付け用シート!$A$3:$AN$3000,19,FALSE)))</f>
        <v>#N/A</v>
      </c>
      <c r="AM109" s="75" t="e">
        <f>IF(VLOOKUP($AB109,変換表貼り付け用シート!$A$3:$AN$3000,20,FALSE)="","",(VLOOKUP($AB109,変換表貼り付け用シート!$A$3:$AN$3000,20,FALSE)))</f>
        <v>#N/A</v>
      </c>
    </row>
    <row r="110" spans="2:39" ht="21" customHeight="1" x14ac:dyDescent="0.35">
      <c r="B110" s="39"/>
      <c r="C110" s="117" t="s">
        <v>814</v>
      </c>
      <c r="D110" s="96" t="s">
        <v>310</v>
      </c>
      <c r="E110" s="27" t="s">
        <v>44</v>
      </c>
      <c r="F110" s="37" t="s">
        <v>45</v>
      </c>
      <c r="G110" s="33" t="s">
        <v>206</v>
      </c>
      <c r="H110" s="27" t="s">
        <v>207</v>
      </c>
      <c r="I110" s="27" t="s">
        <v>206</v>
      </c>
      <c r="J110" s="37" t="s">
        <v>207</v>
      </c>
      <c r="K110" s="39" t="s">
        <v>184</v>
      </c>
      <c r="L110" s="28" t="s">
        <v>189</v>
      </c>
      <c r="M110" s="28" t="s">
        <v>48</v>
      </c>
      <c r="N110" s="41" t="s">
        <v>190</v>
      </c>
      <c r="O110" s="39">
        <v>72</v>
      </c>
      <c r="P110" s="28"/>
      <c r="Q110" s="28"/>
      <c r="R110" s="41"/>
      <c r="S110" s="39"/>
      <c r="T110" s="41"/>
      <c r="U110" s="39"/>
      <c r="V110" s="41"/>
      <c r="W110" s="43" t="s">
        <v>711</v>
      </c>
      <c r="X110" s="33"/>
      <c r="Y110" s="27"/>
      <c r="Z110" s="29"/>
      <c r="AB110" s="73" t="str">
        <f t="shared" si="2"/>
        <v>HV BATTセル容量－</v>
      </c>
      <c r="AC110" s="74" t="e">
        <f>VLOOKUP($AB110,変換表貼り付け用シート!$A$3:$AN$1133,3,FALSE)</f>
        <v>#N/A</v>
      </c>
      <c r="AD110" s="74" t="e">
        <f t="shared" si="3"/>
        <v>#N/A</v>
      </c>
      <c r="AE110" s="79" t="e">
        <f>IF(VLOOKUP($AB110,変換表貼り付け用シート!$A$3:$AN$3000,12,FALSE)="","",(VLOOKUP($AB110,変換表貼り付け用シート!$A$3:$AN$3000,12,FALSE)))</f>
        <v>#N/A</v>
      </c>
      <c r="AF110" s="80" t="e">
        <f>IF(VLOOKUP($AB110,変換表貼り付け用シート!$A$3:$AN$3000,13,FALSE)="","",(VLOOKUP($AB110,変換表貼り付け用シート!$A$3:$AN$3000,13,FALSE)))</f>
        <v>#N/A</v>
      </c>
      <c r="AG110" s="80" t="e">
        <f>IF(VLOOKUP($AB110,変換表貼り付け用シート!$A$3:$AN$3000,14,FALSE)="","",(VLOOKUP($AB110,変換表貼り付け用シート!$A$3:$AN$3000,14,FALSE)))</f>
        <v>#N/A</v>
      </c>
      <c r="AH110" s="85" t="e">
        <f>IF(VLOOKUP($AB110,変換表貼り付け用シート!$A$3:$AN$3000,15,FALSE)="","",(VLOOKUP($AB110,変換表貼り付け用シート!$A$3:$AN$3000,15,FALSE)))</f>
        <v>#N/A</v>
      </c>
      <c r="AI110" s="79" t="e">
        <f>IF(VLOOKUP($AB110,変換表貼り付け用シート!$A$3:$AN$3000,16,FALSE)="","",(VLOOKUP($AB110,変換表貼り付け用シート!$A$3:$AN$3000,16,FALSE)))</f>
        <v>#N/A</v>
      </c>
      <c r="AJ110" s="81" t="e">
        <f>IF(VLOOKUP($AB110,変換表貼り付け用シート!$A$3:$AN$3000,17,FALSE)="","",(VLOOKUP($AB110,変換表貼り付け用シート!$A$3:$AN$3000,17,FALSE)))</f>
        <v>#N/A</v>
      </c>
      <c r="AK110" s="88" t="e">
        <f>IF(VLOOKUP($AB110,変換表貼り付け用シート!$A$3:$AN$3000,18,FALSE)="","",(VLOOKUP($AB110,変換表貼り付け用シート!$A$3:$AN$3000,18,FALSE)))</f>
        <v>#N/A</v>
      </c>
      <c r="AL110" s="81" t="e">
        <f>IF(VLOOKUP($AB110,変換表貼り付け用シート!$A$3:$AN$3000,19,FALSE)="","",(VLOOKUP($AB110,変換表貼り付け用シート!$A$3:$AN$3000,19,FALSE)))</f>
        <v>#N/A</v>
      </c>
      <c r="AM110" s="75" t="e">
        <f>IF(VLOOKUP($AB110,変換表貼り付け用シート!$A$3:$AN$3000,20,FALSE)="","",(VLOOKUP($AB110,変換表貼り付け用シート!$A$3:$AN$3000,20,FALSE)))</f>
        <v>#N/A</v>
      </c>
    </row>
    <row r="111" spans="2:39" ht="21" customHeight="1" x14ac:dyDescent="0.35">
      <c r="B111" s="39"/>
      <c r="C111" s="117" t="s">
        <v>815</v>
      </c>
      <c r="D111" s="96" t="s">
        <v>311</v>
      </c>
      <c r="E111" s="27" t="s">
        <v>44</v>
      </c>
      <c r="F111" s="37" t="s">
        <v>45</v>
      </c>
      <c r="G111" s="33" t="s">
        <v>206</v>
      </c>
      <c r="H111" s="27" t="s">
        <v>207</v>
      </c>
      <c r="I111" s="27" t="s">
        <v>206</v>
      </c>
      <c r="J111" s="37" t="s">
        <v>207</v>
      </c>
      <c r="K111" s="39" t="s">
        <v>184</v>
      </c>
      <c r="L111" s="28" t="s">
        <v>191</v>
      </c>
      <c r="M111" s="28" t="s">
        <v>48</v>
      </c>
      <c r="N111" s="41" t="s">
        <v>192</v>
      </c>
      <c r="O111" s="39" t="s">
        <v>193</v>
      </c>
      <c r="P111" s="28"/>
      <c r="Q111" s="28"/>
      <c r="R111" s="41"/>
      <c r="S111" s="39"/>
      <c r="T111" s="41"/>
      <c r="U111" s="39"/>
      <c r="V111" s="41"/>
      <c r="W111" s="43" t="s">
        <v>711</v>
      </c>
      <c r="X111" s="33"/>
      <c r="Y111" s="27"/>
      <c r="Z111" s="29"/>
      <c r="AB111" s="73" t="str">
        <f t="shared" si="2"/>
        <v>HV BATTパック繋ぎ抵抗－</v>
      </c>
      <c r="AC111" s="74" t="e">
        <f>VLOOKUP($AB111,変換表貼り付け用シート!$A$3:$AN$1133,3,FALSE)</f>
        <v>#N/A</v>
      </c>
      <c r="AD111" s="74" t="e">
        <f t="shared" si="3"/>
        <v>#N/A</v>
      </c>
      <c r="AE111" s="79" t="e">
        <f>IF(VLOOKUP($AB111,変換表貼り付け用シート!$A$3:$AN$3000,12,FALSE)="","",(VLOOKUP($AB111,変換表貼り付け用シート!$A$3:$AN$3000,12,FALSE)))</f>
        <v>#N/A</v>
      </c>
      <c r="AF111" s="80" t="e">
        <f>IF(VLOOKUP($AB111,変換表貼り付け用シート!$A$3:$AN$3000,13,FALSE)="","",(VLOOKUP($AB111,変換表貼り付け用シート!$A$3:$AN$3000,13,FALSE)))</f>
        <v>#N/A</v>
      </c>
      <c r="AG111" s="80" t="e">
        <f>IF(VLOOKUP($AB111,変換表貼り付け用シート!$A$3:$AN$3000,14,FALSE)="","",(VLOOKUP($AB111,変換表貼り付け用シート!$A$3:$AN$3000,14,FALSE)))</f>
        <v>#N/A</v>
      </c>
      <c r="AH111" s="85" t="e">
        <f>IF(VLOOKUP($AB111,変換表貼り付け用シート!$A$3:$AN$3000,15,FALSE)="","",(VLOOKUP($AB111,変換表貼り付け用シート!$A$3:$AN$3000,15,FALSE)))</f>
        <v>#N/A</v>
      </c>
      <c r="AI111" s="79" t="e">
        <f>IF(VLOOKUP($AB111,変換表貼り付け用シート!$A$3:$AN$3000,16,FALSE)="","",(VLOOKUP($AB111,変換表貼り付け用シート!$A$3:$AN$3000,16,FALSE)))</f>
        <v>#N/A</v>
      </c>
      <c r="AJ111" s="81" t="e">
        <f>IF(VLOOKUP($AB111,変換表貼り付け用シート!$A$3:$AN$3000,17,FALSE)="","",(VLOOKUP($AB111,変換表貼り付け用シート!$A$3:$AN$3000,17,FALSE)))</f>
        <v>#N/A</v>
      </c>
      <c r="AK111" s="88" t="e">
        <f>IF(VLOOKUP($AB111,変換表貼り付け用シート!$A$3:$AN$3000,18,FALSE)="","",(VLOOKUP($AB111,変換表貼り付け用シート!$A$3:$AN$3000,18,FALSE)))</f>
        <v>#N/A</v>
      </c>
      <c r="AL111" s="81" t="e">
        <f>IF(VLOOKUP($AB111,変換表貼り付け用シート!$A$3:$AN$3000,19,FALSE)="","",(VLOOKUP($AB111,変換表貼り付け用シート!$A$3:$AN$3000,19,FALSE)))</f>
        <v>#N/A</v>
      </c>
      <c r="AM111" s="75" t="e">
        <f>IF(VLOOKUP($AB111,変換表貼り付け用シート!$A$3:$AN$3000,20,FALSE)="","",(VLOOKUP($AB111,変換表貼り付け用シート!$A$3:$AN$3000,20,FALSE)))</f>
        <v>#N/A</v>
      </c>
    </row>
    <row r="112" spans="2:39" ht="21" customHeight="1" x14ac:dyDescent="0.35">
      <c r="B112" s="39"/>
      <c r="C112" s="117" t="s">
        <v>816</v>
      </c>
      <c r="D112" s="96" t="s">
        <v>312</v>
      </c>
      <c r="E112" s="27" t="s">
        <v>44</v>
      </c>
      <c r="F112" s="37" t="s">
        <v>45</v>
      </c>
      <c r="G112" s="33" t="s">
        <v>206</v>
      </c>
      <c r="H112" s="27" t="s">
        <v>207</v>
      </c>
      <c r="I112" s="27" t="s">
        <v>206</v>
      </c>
      <c r="J112" s="37" t="s">
        <v>207</v>
      </c>
      <c r="K112" s="39" t="s">
        <v>184</v>
      </c>
      <c r="L112" s="28" t="s">
        <v>194</v>
      </c>
      <c r="M112" s="28" t="s">
        <v>48</v>
      </c>
      <c r="N112" s="41" t="s">
        <v>192</v>
      </c>
      <c r="O112" s="39" t="s">
        <v>108</v>
      </c>
      <c r="P112" s="28"/>
      <c r="Q112" s="28"/>
      <c r="R112" s="41"/>
      <c r="S112" s="39"/>
      <c r="T112" s="41"/>
      <c r="U112" s="39"/>
      <c r="V112" s="41"/>
      <c r="W112" s="43" t="s">
        <v>711</v>
      </c>
      <c r="X112" s="33"/>
      <c r="Y112" s="27"/>
      <c r="Z112" s="29"/>
      <c r="AB112" s="73" t="str">
        <f t="shared" si="2"/>
        <v>HV BATTDCハーネスの抵抗－</v>
      </c>
      <c r="AC112" s="74" t="e">
        <f>VLOOKUP($AB112,変換表貼り付け用シート!$A$3:$AN$1133,3,FALSE)</f>
        <v>#N/A</v>
      </c>
      <c r="AD112" s="74" t="e">
        <f t="shared" si="3"/>
        <v>#N/A</v>
      </c>
      <c r="AE112" s="79" t="e">
        <f>IF(VLOOKUP($AB112,変換表貼り付け用シート!$A$3:$AN$3000,12,FALSE)="","",(VLOOKUP($AB112,変換表貼り付け用シート!$A$3:$AN$3000,12,FALSE)))</f>
        <v>#N/A</v>
      </c>
      <c r="AF112" s="80" t="e">
        <f>IF(VLOOKUP($AB112,変換表貼り付け用シート!$A$3:$AN$3000,13,FALSE)="","",(VLOOKUP($AB112,変換表貼り付け用シート!$A$3:$AN$3000,13,FALSE)))</f>
        <v>#N/A</v>
      </c>
      <c r="AG112" s="80" t="e">
        <f>IF(VLOOKUP($AB112,変換表貼り付け用シート!$A$3:$AN$3000,14,FALSE)="","",(VLOOKUP($AB112,変換表貼り付け用シート!$A$3:$AN$3000,14,FALSE)))</f>
        <v>#N/A</v>
      </c>
      <c r="AH112" s="85" t="e">
        <f>IF(VLOOKUP($AB112,変換表貼り付け用シート!$A$3:$AN$3000,15,FALSE)="","",(VLOOKUP($AB112,変換表貼り付け用シート!$A$3:$AN$3000,15,FALSE)))</f>
        <v>#N/A</v>
      </c>
      <c r="AI112" s="79" t="e">
        <f>IF(VLOOKUP($AB112,変換表貼り付け用シート!$A$3:$AN$3000,16,FALSE)="","",(VLOOKUP($AB112,変換表貼り付け用シート!$A$3:$AN$3000,16,FALSE)))</f>
        <v>#N/A</v>
      </c>
      <c r="AJ112" s="81" t="e">
        <f>IF(VLOOKUP($AB112,変換表貼り付け用シート!$A$3:$AN$3000,17,FALSE)="","",(VLOOKUP($AB112,変換表貼り付け用シート!$A$3:$AN$3000,17,FALSE)))</f>
        <v>#N/A</v>
      </c>
      <c r="AK112" s="88" t="e">
        <f>IF(VLOOKUP($AB112,変換表貼り付け用シート!$A$3:$AN$3000,18,FALSE)="","",(VLOOKUP($AB112,変換表貼り付け用シート!$A$3:$AN$3000,18,FALSE)))</f>
        <v>#N/A</v>
      </c>
      <c r="AL112" s="81" t="e">
        <f>IF(VLOOKUP($AB112,変換表貼り付け用シート!$A$3:$AN$3000,19,FALSE)="","",(VLOOKUP($AB112,変換表貼り付け用シート!$A$3:$AN$3000,19,FALSE)))</f>
        <v>#N/A</v>
      </c>
      <c r="AM112" s="75" t="e">
        <f>IF(VLOOKUP($AB112,変換表貼り付け用シート!$A$3:$AN$3000,20,FALSE)="","",(VLOOKUP($AB112,変換表貼り付け用シート!$A$3:$AN$3000,20,FALSE)))</f>
        <v>#N/A</v>
      </c>
    </row>
    <row r="113" spans="2:39" ht="21" customHeight="1" x14ac:dyDescent="0.35">
      <c r="B113" s="39"/>
      <c r="C113" s="117" t="s">
        <v>817</v>
      </c>
      <c r="D113" s="96" t="s">
        <v>313</v>
      </c>
      <c r="E113" s="27" t="s">
        <v>44</v>
      </c>
      <c r="F113" s="37" t="s">
        <v>45</v>
      </c>
      <c r="G113" s="33" t="s">
        <v>206</v>
      </c>
      <c r="H113" s="27" t="s">
        <v>314</v>
      </c>
      <c r="I113" s="27" t="s">
        <v>206</v>
      </c>
      <c r="J113" s="37" t="s">
        <v>314</v>
      </c>
      <c r="K113" s="39" t="s">
        <v>46</v>
      </c>
      <c r="L113" s="28" t="s">
        <v>47</v>
      </c>
      <c r="M113" s="28" t="s">
        <v>48</v>
      </c>
      <c r="N113" s="41" t="s">
        <v>49</v>
      </c>
      <c r="O113" s="39">
        <v>1102</v>
      </c>
      <c r="P113" s="28"/>
      <c r="Q113" s="28"/>
      <c r="R113" s="41"/>
      <c r="S113" s="39"/>
      <c r="T113" s="41"/>
      <c r="U113" s="39"/>
      <c r="V113" s="41"/>
      <c r="W113" s="43" t="s">
        <v>711</v>
      </c>
      <c r="X113" s="33"/>
      <c r="Y113" s="27"/>
      <c r="Z113" s="29"/>
      <c r="AB113" s="73" t="str">
        <f t="shared" si="2"/>
        <v>Vehicle WeightMin.C.W.－</v>
      </c>
      <c r="AC113" s="74" t="e">
        <f>VLOOKUP($AB113,変換表貼り付け用シート!$A$3:$AN$1133,3,FALSE)</f>
        <v>#N/A</v>
      </c>
      <c r="AD113" s="74" t="e">
        <f t="shared" si="3"/>
        <v>#N/A</v>
      </c>
      <c r="AE113" s="79" t="e">
        <f>IF(VLOOKUP($AB113,変換表貼り付け用シート!$A$3:$AN$3000,12,FALSE)="","",(VLOOKUP($AB113,変換表貼り付け用シート!$A$3:$AN$3000,12,FALSE)))</f>
        <v>#N/A</v>
      </c>
      <c r="AF113" s="80" t="e">
        <f>IF(VLOOKUP($AB113,変換表貼り付け用シート!$A$3:$AN$3000,13,FALSE)="","",(VLOOKUP($AB113,変換表貼り付け用シート!$A$3:$AN$3000,13,FALSE)))</f>
        <v>#N/A</v>
      </c>
      <c r="AG113" s="80" t="e">
        <f>IF(VLOOKUP($AB113,変換表貼り付け用シート!$A$3:$AN$3000,14,FALSE)="","",(VLOOKUP($AB113,変換表貼り付け用シート!$A$3:$AN$3000,14,FALSE)))</f>
        <v>#N/A</v>
      </c>
      <c r="AH113" s="85" t="e">
        <f>IF(VLOOKUP($AB113,変換表貼り付け用シート!$A$3:$AN$3000,15,FALSE)="","",(VLOOKUP($AB113,変換表貼り付け用シート!$A$3:$AN$3000,15,FALSE)))</f>
        <v>#N/A</v>
      </c>
      <c r="AI113" s="79" t="e">
        <f>IF(VLOOKUP($AB113,変換表貼り付け用シート!$A$3:$AN$3000,16,FALSE)="","",(VLOOKUP($AB113,変換表貼り付け用シート!$A$3:$AN$3000,16,FALSE)))</f>
        <v>#N/A</v>
      </c>
      <c r="AJ113" s="81" t="e">
        <f>IF(VLOOKUP($AB113,変換表貼り付け用シート!$A$3:$AN$3000,17,FALSE)="","",(VLOOKUP($AB113,変換表貼り付け用シート!$A$3:$AN$3000,17,FALSE)))</f>
        <v>#N/A</v>
      </c>
      <c r="AK113" s="88" t="e">
        <f>IF(VLOOKUP($AB113,変換表貼り付け用シート!$A$3:$AN$3000,18,FALSE)="","",(VLOOKUP($AB113,変換表貼り付け用シート!$A$3:$AN$3000,18,FALSE)))</f>
        <v>#N/A</v>
      </c>
      <c r="AL113" s="81" t="e">
        <f>IF(VLOOKUP($AB113,変換表貼り付け用シート!$A$3:$AN$3000,19,FALSE)="","",(VLOOKUP($AB113,変換表貼り付け用シート!$A$3:$AN$3000,19,FALSE)))</f>
        <v>#N/A</v>
      </c>
      <c r="AM113" s="75" t="e">
        <f>IF(VLOOKUP($AB113,変換表貼り付け用シート!$A$3:$AN$3000,20,FALSE)="","",(VLOOKUP($AB113,変換表貼り付け用シート!$A$3:$AN$3000,20,FALSE)))</f>
        <v>#N/A</v>
      </c>
    </row>
    <row r="114" spans="2:39" ht="21" customHeight="1" x14ac:dyDescent="0.35">
      <c r="B114" s="39"/>
      <c r="C114" s="117" t="s">
        <v>818</v>
      </c>
      <c r="D114" s="96" t="s">
        <v>315</v>
      </c>
      <c r="E114" s="27" t="s">
        <v>44</v>
      </c>
      <c r="F114" s="37" t="s">
        <v>45</v>
      </c>
      <c r="G114" s="33" t="s">
        <v>206</v>
      </c>
      <c r="H114" s="27" t="s">
        <v>314</v>
      </c>
      <c r="I114" s="27" t="s">
        <v>206</v>
      </c>
      <c r="J114" s="37" t="s">
        <v>314</v>
      </c>
      <c r="K114" s="39" t="s">
        <v>46</v>
      </c>
      <c r="L114" s="28" t="s">
        <v>50</v>
      </c>
      <c r="M114" s="28" t="s">
        <v>48</v>
      </c>
      <c r="N114" s="41" t="s">
        <v>49</v>
      </c>
      <c r="O114" s="39">
        <v>1116</v>
      </c>
      <c r="P114" s="28"/>
      <c r="Q114" s="28"/>
      <c r="R114" s="41"/>
      <c r="S114" s="39"/>
      <c r="T114" s="41"/>
      <c r="U114" s="39"/>
      <c r="V114" s="41"/>
      <c r="W114" s="43" t="s">
        <v>711</v>
      </c>
      <c r="X114" s="33"/>
      <c r="Y114" s="27"/>
      <c r="Z114" s="29"/>
      <c r="AB114" s="73" t="str">
        <f t="shared" si="2"/>
        <v>Vehicle WeightMax.C.W.－</v>
      </c>
      <c r="AC114" s="74" t="e">
        <f>VLOOKUP($AB114,変換表貼り付け用シート!$A$3:$AN$1133,3,FALSE)</f>
        <v>#N/A</v>
      </c>
      <c r="AD114" s="74" t="e">
        <f t="shared" si="3"/>
        <v>#N/A</v>
      </c>
      <c r="AE114" s="79" t="e">
        <f>IF(VLOOKUP($AB114,変換表貼り付け用シート!$A$3:$AN$3000,12,FALSE)="","",(VLOOKUP($AB114,変換表貼り付け用シート!$A$3:$AN$3000,12,FALSE)))</f>
        <v>#N/A</v>
      </c>
      <c r="AF114" s="80" t="e">
        <f>IF(VLOOKUP($AB114,変換表貼り付け用シート!$A$3:$AN$3000,13,FALSE)="","",(VLOOKUP($AB114,変換表貼り付け用シート!$A$3:$AN$3000,13,FALSE)))</f>
        <v>#N/A</v>
      </c>
      <c r="AG114" s="80" t="e">
        <f>IF(VLOOKUP($AB114,変換表貼り付け用シート!$A$3:$AN$3000,14,FALSE)="","",(VLOOKUP($AB114,変換表貼り付け用シート!$A$3:$AN$3000,14,FALSE)))</f>
        <v>#N/A</v>
      </c>
      <c r="AH114" s="85" t="e">
        <f>IF(VLOOKUP($AB114,変換表貼り付け用シート!$A$3:$AN$3000,15,FALSE)="","",(VLOOKUP($AB114,変換表貼り付け用シート!$A$3:$AN$3000,15,FALSE)))</f>
        <v>#N/A</v>
      </c>
      <c r="AI114" s="79" t="e">
        <f>IF(VLOOKUP($AB114,変換表貼り付け用シート!$A$3:$AN$3000,16,FALSE)="","",(VLOOKUP($AB114,変換表貼り付け用シート!$A$3:$AN$3000,16,FALSE)))</f>
        <v>#N/A</v>
      </c>
      <c r="AJ114" s="81" t="e">
        <f>IF(VLOOKUP($AB114,変換表貼り付け用シート!$A$3:$AN$3000,17,FALSE)="","",(VLOOKUP($AB114,変換表貼り付け用シート!$A$3:$AN$3000,17,FALSE)))</f>
        <v>#N/A</v>
      </c>
      <c r="AK114" s="88" t="e">
        <f>IF(VLOOKUP($AB114,変換表貼り付け用シート!$A$3:$AN$3000,18,FALSE)="","",(VLOOKUP($AB114,変換表貼り付け用シート!$A$3:$AN$3000,18,FALSE)))</f>
        <v>#N/A</v>
      </c>
      <c r="AL114" s="81" t="e">
        <f>IF(VLOOKUP($AB114,変換表貼り付け用シート!$A$3:$AN$3000,19,FALSE)="","",(VLOOKUP($AB114,変換表貼り付け用シート!$A$3:$AN$3000,19,FALSE)))</f>
        <v>#N/A</v>
      </c>
      <c r="AM114" s="75" t="e">
        <f>IF(VLOOKUP($AB114,変換表貼り付け用シート!$A$3:$AN$3000,20,FALSE)="","",(VLOOKUP($AB114,変換表貼り付け用シート!$A$3:$AN$3000,20,FALSE)))</f>
        <v>#N/A</v>
      </c>
    </row>
    <row r="115" spans="2:39" ht="21" customHeight="1" x14ac:dyDescent="0.35">
      <c r="B115" s="39"/>
      <c r="C115" s="117" t="s">
        <v>819</v>
      </c>
      <c r="D115" s="96" t="s">
        <v>316</v>
      </c>
      <c r="E115" s="27" t="s">
        <v>44</v>
      </c>
      <c r="F115" s="37" t="s">
        <v>45</v>
      </c>
      <c r="G115" s="33" t="s">
        <v>206</v>
      </c>
      <c r="H115" s="27" t="s">
        <v>314</v>
      </c>
      <c r="I115" s="27" t="s">
        <v>206</v>
      </c>
      <c r="J115" s="37" t="s">
        <v>314</v>
      </c>
      <c r="K115" s="39" t="s">
        <v>46</v>
      </c>
      <c r="L115" s="28" t="s">
        <v>51</v>
      </c>
      <c r="M115" s="28" t="s">
        <v>48</v>
      </c>
      <c r="N115" s="41" t="s">
        <v>49</v>
      </c>
      <c r="O115" s="39">
        <v>1.6</v>
      </c>
      <c r="P115" s="28"/>
      <c r="Q115" s="28"/>
      <c r="R115" s="41"/>
      <c r="S115" s="39"/>
      <c r="T115" s="41"/>
      <c r="U115" s="39"/>
      <c r="V115" s="41"/>
      <c r="W115" s="43" t="s">
        <v>711</v>
      </c>
      <c r="X115" s="33"/>
      <c r="Y115" s="27"/>
      <c r="Z115" s="29"/>
      <c r="AB115" s="73" t="str">
        <f t="shared" si="2"/>
        <v>Vehicle Weightスペアタイヤ&amp;工具 －</v>
      </c>
      <c r="AC115" s="74" t="e">
        <f>VLOOKUP($AB115,変換表貼り付け用シート!$A$3:$AN$1133,3,FALSE)</f>
        <v>#N/A</v>
      </c>
      <c r="AD115" s="74" t="e">
        <f t="shared" si="3"/>
        <v>#N/A</v>
      </c>
      <c r="AE115" s="79" t="e">
        <f>IF(VLOOKUP($AB115,変換表貼り付け用シート!$A$3:$AN$3000,12,FALSE)="","",(VLOOKUP($AB115,変換表貼り付け用シート!$A$3:$AN$3000,12,FALSE)))</f>
        <v>#N/A</v>
      </c>
      <c r="AF115" s="80" t="e">
        <f>IF(VLOOKUP($AB115,変換表貼り付け用シート!$A$3:$AN$3000,13,FALSE)="","",(VLOOKUP($AB115,変換表貼り付け用シート!$A$3:$AN$3000,13,FALSE)))</f>
        <v>#N/A</v>
      </c>
      <c r="AG115" s="80" t="e">
        <f>IF(VLOOKUP($AB115,変換表貼り付け用シート!$A$3:$AN$3000,14,FALSE)="","",(VLOOKUP($AB115,変換表貼り付け用シート!$A$3:$AN$3000,14,FALSE)))</f>
        <v>#N/A</v>
      </c>
      <c r="AH115" s="85" t="e">
        <f>IF(VLOOKUP($AB115,変換表貼り付け用シート!$A$3:$AN$3000,15,FALSE)="","",(VLOOKUP($AB115,変換表貼り付け用シート!$A$3:$AN$3000,15,FALSE)))</f>
        <v>#N/A</v>
      </c>
      <c r="AI115" s="79" t="e">
        <f>IF(VLOOKUP($AB115,変換表貼り付け用シート!$A$3:$AN$3000,16,FALSE)="","",(VLOOKUP($AB115,変換表貼り付け用シート!$A$3:$AN$3000,16,FALSE)))</f>
        <v>#N/A</v>
      </c>
      <c r="AJ115" s="81" t="e">
        <f>IF(VLOOKUP($AB115,変換表貼り付け用シート!$A$3:$AN$3000,17,FALSE)="","",(VLOOKUP($AB115,変換表貼り付け用シート!$A$3:$AN$3000,17,FALSE)))</f>
        <v>#N/A</v>
      </c>
      <c r="AK115" s="88" t="e">
        <f>IF(VLOOKUP($AB115,変換表貼り付け用シート!$A$3:$AN$3000,18,FALSE)="","",(VLOOKUP($AB115,変換表貼り付け用シート!$A$3:$AN$3000,18,FALSE)))</f>
        <v>#N/A</v>
      </c>
      <c r="AL115" s="81" t="e">
        <f>IF(VLOOKUP($AB115,変換表貼り付け用シート!$A$3:$AN$3000,19,FALSE)="","",(VLOOKUP($AB115,変換表貼り付け用シート!$A$3:$AN$3000,19,FALSE)))</f>
        <v>#N/A</v>
      </c>
      <c r="AM115" s="75" t="e">
        <f>IF(VLOOKUP($AB115,変換表貼り付け用シート!$A$3:$AN$3000,20,FALSE)="","",(VLOOKUP($AB115,変換表貼り付け用シート!$A$3:$AN$3000,20,FALSE)))</f>
        <v>#N/A</v>
      </c>
    </row>
    <row r="116" spans="2:39" ht="21" customHeight="1" x14ac:dyDescent="0.35">
      <c r="B116" s="39"/>
      <c r="C116" s="117" t="s">
        <v>820</v>
      </c>
      <c r="D116" s="96" t="s">
        <v>317</v>
      </c>
      <c r="E116" s="27" t="s">
        <v>44</v>
      </c>
      <c r="F116" s="37" t="s">
        <v>45</v>
      </c>
      <c r="G116" s="33" t="s">
        <v>206</v>
      </c>
      <c r="H116" s="27" t="s">
        <v>314</v>
      </c>
      <c r="I116" s="27" t="s">
        <v>206</v>
      </c>
      <c r="J116" s="37" t="s">
        <v>314</v>
      </c>
      <c r="K116" s="39" t="s">
        <v>46</v>
      </c>
      <c r="L116" s="28" t="s">
        <v>52</v>
      </c>
      <c r="M116" s="28" t="s">
        <v>48</v>
      </c>
      <c r="N116" s="41" t="s">
        <v>49</v>
      </c>
      <c r="O116" s="39" t="s">
        <v>53</v>
      </c>
      <c r="P116" s="28"/>
      <c r="Q116" s="28"/>
      <c r="R116" s="41"/>
      <c r="S116" s="39"/>
      <c r="T116" s="41"/>
      <c r="U116" s="39"/>
      <c r="V116" s="41"/>
      <c r="W116" s="43" t="s">
        <v>711</v>
      </c>
      <c r="X116" s="33"/>
      <c r="Y116" s="27"/>
      <c r="Z116" s="29"/>
      <c r="AB116" s="73" t="str">
        <f t="shared" si="2"/>
        <v>Vehicle WeightEPA届出重量－</v>
      </c>
      <c r="AC116" s="74" t="e">
        <f>VLOOKUP($AB116,変換表貼り付け用シート!$A$3:$AN$1133,3,FALSE)</f>
        <v>#N/A</v>
      </c>
      <c r="AD116" s="74" t="e">
        <f t="shared" si="3"/>
        <v>#N/A</v>
      </c>
      <c r="AE116" s="79" t="e">
        <f>IF(VLOOKUP($AB116,変換表貼り付け用シート!$A$3:$AN$3000,12,FALSE)="","",(VLOOKUP($AB116,変換表貼り付け用シート!$A$3:$AN$3000,12,FALSE)))</f>
        <v>#N/A</v>
      </c>
      <c r="AF116" s="80" t="e">
        <f>IF(VLOOKUP($AB116,変換表貼り付け用シート!$A$3:$AN$3000,13,FALSE)="","",(VLOOKUP($AB116,変換表貼り付け用シート!$A$3:$AN$3000,13,FALSE)))</f>
        <v>#N/A</v>
      </c>
      <c r="AG116" s="80" t="e">
        <f>IF(VLOOKUP($AB116,変換表貼り付け用シート!$A$3:$AN$3000,14,FALSE)="","",(VLOOKUP($AB116,変換表貼り付け用シート!$A$3:$AN$3000,14,FALSE)))</f>
        <v>#N/A</v>
      </c>
      <c r="AH116" s="85" t="e">
        <f>IF(VLOOKUP($AB116,変換表貼り付け用シート!$A$3:$AN$3000,15,FALSE)="","",(VLOOKUP($AB116,変換表貼り付け用シート!$A$3:$AN$3000,15,FALSE)))</f>
        <v>#N/A</v>
      </c>
      <c r="AI116" s="79" t="e">
        <f>IF(VLOOKUP($AB116,変換表貼り付け用シート!$A$3:$AN$3000,16,FALSE)="","",(VLOOKUP($AB116,変換表貼り付け用シート!$A$3:$AN$3000,16,FALSE)))</f>
        <v>#N/A</v>
      </c>
      <c r="AJ116" s="81" t="e">
        <f>IF(VLOOKUP($AB116,変換表貼り付け用シート!$A$3:$AN$3000,17,FALSE)="","",(VLOOKUP($AB116,変換表貼り付け用シート!$A$3:$AN$3000,17,FALSE)))</f>
        <v>#N/A</v>
      </c>
      <c r="AK116" s="88" t="e">
        <f>IF(VLOOKUP($AB116,変換表貼り付け用シート!$A$3:$AN$3000,18,FALSE)="","",(VLOOKUP($AB116,変換表貼り付け用シート!$A$3:$AN$3000,18,FALSE)))</f>
        <v>#N/A</v>
      </c>
      <c r="AL116" s="81" t="e">
        <f>IF(VLOOKUP($AB116,変換表貼り付け用シート!$A$3:$AN$3000,19,FALSE)="","",(VLOOKUP($AB116,変換表貼り付け用シート!$A$3:$AN$3000,19,FALSE)))</f>
        <v>#N/A</v>
      </c>
      <c r="AM116" s="75" t="e">
        <f>IF(VLOOKUP($AB116,変換表貼り付け用シート!$A$3:$AN$3000,20,FALSE)="","",(VLOOKUP($AB116,変換表貼り付け用シート!$A$3:$AN$3000,20,FALSE)))</f>
        <v>#N/A</v>
      </c>
    </row>
    <row r="117" spans="2:39" ht="21" customHeight="1" x14ac:dyDescent="0.35">
      <c r="B117" s="39"/>
      <c r="C117" s="117" t="s">
        <v>821</v>
      </c>
      <c r="D117" s="96" t="s">
        <v>318</v>
      </c>
      <c r="E117" s="27" t="s">
        <v>44</v>
      </c>
      <c r="F117" s="37" t="s">
        <v>45</v>
      </c>
      <c r="G117" s="33" t="s">
        <v>206</v>
      </c>
      <c r="H117" s="27" t="s">
        <v>314</v>
      </c>
      <c r="I117" s="27" t="s">
        <v>206</v>
      </c>
      <c r="J117" s="37" t="s">
        <v>314</v>
      </c>
      <c r="K117" s="39" t="s">
        <v>54</v>
      </c>
      <c r="L117" s="28" t="s">
        <v>55</v>
      </c>
      <c r="M117" s="28" t="s">
        <v>48</v>
      </c>
      <c r="N117" s="41" t="s">
        <v>49</v>
      </c>
      <c r="O117" s="39">
        <v>1358</v>
      </c>
      <c r="P117" s="28"/>
      <c r="Q117" s="28"/>
      <c r="R117" s="41"/>
      <c r="S117" s="39"/>
      <c r="T117" s="41"/>
      <c r="U117" s="39"/>
      <c r="V117" s="41"/>
      <c r="W117" s="43" t="s">
        <v>711</v>
      </c>
      <c r="X117" s="33"/>
      <c r="Y117" s="27"/>
      <c r="Z117" s="29"/>
      <c r="AB117" s="73" t="str">
        <f t="shared" si="2"/>
        <v>Vehicle Severe WeightPTW or GVWR－</v>
      </c>
      <c r="AC117" s="74" t="e">
        <f>VLOOKUP($AB117,変換表貼り付け用シート!$A$3:$AN$1133,3,FALSE)</f>
        <v>#N/A</v>
      </c>
      <c r="AD117" s="74" t="e">
        <f t="shared" si="3"/>
        <v>#N/A</v>
      </c>
      <c r="AE117" s="79" t="e">
        <f>IF(VLOOKUP($AB117,変換表貼り付け用シート!$A$3:$AN$3000,12,FALSE)="","",(VLOOKUP($AB117,変換表貼り付け用シート!$A$3:$AN$3000,12,FALSE)))</f>
        <v>#N/A</v>
      </c>
      <c r="AF117" s="80" t="e">
        <f>IF(VLOOKUP($AB117,変換表貼り付け用シート!$A$3:$AN$3000,13,FALSE)="","",(VLOOKUP($AB117,変換表貼り付け用シート!$A$3:$AN$3000,13,FALSE)))</f>
        <v>#N/A</v>
      </c>
      <c r="AG117" s="80" t="e">
        <f>IF(VLOOKUP($AB117,変換表貼り付け用シート!$A$3:$AN$3000,14,FALSE)="","",(VLOOKUP($AB117,変換表貼り付け用シート!$A$3:$AN$3000,14,FALSE)))</f>
        <v>#N/A</v>
      </c>
      <c r="AH117" s="85" t="e">
        <f>IF(VLOOKUP($AB117,変換表貼り付け用シート!$A$3:$AN$3000,15,FALSE)="","",(VLOOKUP($AB117,変換表貼り付け用シート!$A$3:$AN$3000,15,FALSE)))</f>
        <v>#N/A</v>
      </c>
      <c r="AI117" s="79" t="e">
        <f>IF(VLOOKUP($AB117,変換表貼り付け用シート!$A$3:$AN$3000,16,FALSE)="","",(VLOOKUP($AB117,変換表貼り付け用シート!$A$3:$AN$3000,16,FALSE)))</f>
        <v>#N/A</v>
      </c>
      <c r="AJ117" s="81" t="e">
        <f>IF(VLOOKUP($AB117,変換表貼り付け用シート!$A$3:$AN$3000,17,FALSE)="","",(VLOOKUP($AB117,変換表貼り付け用シート!$A$3:$AN$3000,17,FALSE)))</f>
        <v>#N/A</v>
      </c>
      <c r="AK117" s="88" t="e">
        <f>IF(VLOOKUP($AB117,変換表貼り付け用シート!$A$3:$AN$3000,18,FALSE)="","",(VLOOKUP($AB117,変換表貼り付け用シート!$A$3:$AN$3000,18,FALSE)))</f>
        <v>#N/A</v>
      </c>
      <c r="AL117" s="81" t="e">
        <f>IF(VLOOKUP($AB117,変換表貼り付け用シート!$A$3:$AN$3000,19,FALSE)="","",(VLOOKUP($AB117,変換表貼り付け用シート!$A$3:$AN$3000,19,FALSE)))</f>
        <v>#N/A</v>
      </c>
      <c r="AM117" s="75" t="e">
        <f>IF(VLOOKUP($AB117,変換表貼り付け用シート!$A$3:$AN$3000,20,FALSE)="","",(VLOOKUP($AB117,変換表貼り付け用シート!$A$3:$AN$3000,20,FALSE)))</f>
        <v>#N/A</v>
      </c>
    </row>
    <row r="118" spans="2:39" ht="21" customHeight="1" x14ac:dyDescent="0.35">
      <c r="B118" s="39"/>
      <c r="C118" s="117" t="s">
        <v>822</v>
      </c>
      <c r="D118" s="96" t="s">
        <v>319</v>
      </c>
      <c r="E118" s="27" t="s">
        <v>44</v>
      </c>
      <c r="F118" s="37" t="s">
        <v>45</v>
      </c>
      <c r="G118" s="33" t="s">
        <v>206</v>
      </c>
      <c r="H118" s="27" t="s">
        <v>314</v>
      </c>
      <c r="I118" s="27" t="s">
        <v>206</v>
      </c>
      <c r="J118" s="37" t="s">
        <v>314</v>
      </c>
      <c r="K118" s="39" t="s">
        <v>54</v>
      </c>
      <c r="L118" s="28" t="s">
        <v>56</v>
      </c>
      <c r="M118" s="28" t="s">
        <v>48</v>
      </c>
      <c r="N118" s="41" t="s">
        <v>49</v>
      </c>
      <c r="O118" s="39" t="s">
        <v>57</v>
      </c>
      <c r="P118" s="28"/>
      <c r="Q118" s="28"/>
      <c r="R118" s="41"/>
      <c r="S118" s="39"/>
      <c r="T118" s="41"/>
      <c r="U118" s="39"/>
      <c r="V118" s="41"/>
      <c r="W118" s="43" t="s">
        <v>711</v>
      </c>
      <c r="X118" s="33"/>
      <c r="Y118" s="27"/>
      <c r="Z118" s="29"/>
      <c r="AB118" s="73" t="str">
        <f t="shared" si="2"/>
        <v>Vehicle Severe WeightGAWR FR－</v>
      </c>
      <c r="AC118" s="74" t="e">
        <f>VLOOKUP($AB118,変換表貼り付け用シート!$A$3:$AN$1133,3,FALSE)</f>
        <v>#N/A</v>
      </c>
      <c r="AD118" s="74" t="e">
        <f t="shared" si="3"/>
        <v>#N/A</v>
      </c>
      <c r="AE118" s="79" t="e">
        <f>IF(VLOOKUP($AB118,変換表貼り付け用シート!$A$3:$AN$3000,12,FALSE)="","",(VLOOKUP($AB118,変換表貼り付け用シート!$A$3:$AN$3000,12,FALSE)))</f>
        <v>#N/A</v>
      </c>
      <c r="AF118" s="80" t="e">
        <f>IF(VLOOKUP($AB118,変換表貼り付け用シート!$A$3:$AN$3000,13,FALSE)="","",(VLOOKUP($AB118,変換表貼り付け用シート!$A$3:$AN$3000,13,FALSE)))</f>
        <v>#N/A</v>
      </c>
      <c r="AG118" s="80" t="e">
        <f>IF(VLOOKUP($AB118,変換表貼り付け用シート!$A$3:$AN$3000,14,FALSE)="","",(VLOOKUP($AB118,変換表貼り付け用シート!$A$3:$AN$3000,14,FALSE)))</f>
        <v>#N/A</v>
      </c>
      <c r="AH118" s="85" t="e">
        <f>IF(VLOOKUP($AB118,変換表貼り付け用シート!$A$3:$AN$3000,15,FALSE)="","",(VLOOKUP($AB118,変換表貼り付け用シート!$A$3:$AN$3000,15,FALSE)))</f>
        <v>#N/A</v>
      </c>
      <c r="AI118" s="79" t="e">
        <f>IF(VLOOKUP($AB118,変換表貼り付け用シート!$A$3:$AN$3000,16,FALSE)="","",(VLOOKUP($AB118,変換表貼り付け用シート!$A$3:$AN$3000,16,FALSE)))</f>
        <v>#N/A</v>
      </c>
      <c r="AJ118" s="81" t="e">
        <f>IF(VLOOKUP($AB118,変換表貼り付け用シート!$A$3:$AN$3000,17,FALSE)="","",(VLOOKUP($AB118,変換表貼り付け用シート!$A$3:$AN$3000,17,FALSE)))</f>
        <v>#N/A</v>
      </c>
      <c r="AK118" s="88" t="e">
        <f>IF(VLOOKUP($AB118,変換表貼り付け用シート!$A$3:$AN$3000,18,FALSE)="","",(VLOOKUP($AB118,変換表貼り付け用シート!$A$3:$AN$3000,18,FALSE)))</f>
        <v>#N/A</v>
      </c>
      <c r="AL118" s="81" t="e">
        <f>IF(VLOOKUP($AB118,変換表貼り付け用シート!$A$3:$AN$3000,19,FALSE)="","",(VLOOKUP($AB118,変換表貼り付け用シート!$A$3:$AN$3000,19,FALSE)))</f>
        <v>#N/A</v>
      </c>
      <c r="AM118" s="75" t="e">
        <f>IF(VLOOKUP($AB118,変換表貼り付け用シート!$A$3:$AN$3000,20,FALSE)="","",(VLOOKUP($AB118,変換表貼り付け用シート!$A$3:$AN$3000,20,FALSE)))</f>
        <v>#N/A</v>
      </c>
    </row>
    <row r="119" spans="2:39" ht="21" customHeight="1" x14ac:dyDescent="0.35">
      <c r="B119" s="39"/>
      <c r="C119" s="117" t="s">
        <v>823</v>
      </c>
      <c r="D119" s="96" t="s">
        <v>320</v>
      </c>
      <c r="E119" s="27" t="s">
        <v>44</v>
      </c>
      <c r="F119" s="37" t="s">
        <v>45</v>
      </c>
      <c r="G119" s="33" t="s">
        <v>206</v>
      </c>
      <c r="H119" s="27" t="s">
        <v>314</v>
      </c>
      <c r="I119" s="27" t="s">
        <v>206</v>
      </c>
      <c r="J119" s="37" t="s">
        <v>314</v>
      </c>
      <c r="K119" s="39" t="s">
        <v>54</v>
      </c>
      <c r="L119" s="28" t="s">
        <v>58</v>
      </c>
      <c r="M119" s="28" t="s">
        <v>48</v>
      </c>
      <c r="N119" s="41" t="s">
        <v>49</v>
      </c>
      <c r="O119" s="39" t="s">
        <v>57</v>
      </c>
      <c r="P119" s="28"/>
      <c r="Q119" s="28"/>
      <c r="R119" s="41"/>
      <c r="S119" s="39"/>
      <c r="T119" s="41"/>
      <c r="U119" s="39"/>
      <c r="V119" s="41"/>
      <c r="W119" s="43" t="s">
        <v>711</v>
      </c>
      <c r="X119" s="33"/>
      <c r="Y119" s="27"/>
      <c r="Z119" s="29"/>
      <c r="AB119" s="73" t="str">
        <f t="shared" si="2"/>
        <v>Vehicle Severe WeightGAWR RR－</v>
      </c>
      <c r="AC119" s="74" t="e">
        <f>VLOOKUP($AB119,変換表貼り付け用シート!$A$3:$AN$1133,3,FALSE)</f>
        <v>#N/A</v>
      </c>
      <c r="AD119" s="74" t="e">
        <f t="shared" si="3"/>
        <v>#N/A</v>
      </c>
      <c r="AE119" s="79" t="e">
        <f>IF(VLOOKUP($AB119,変換表貼り付け用シート!$A$3:$AN$3000,12,FALSE)="","",(VLOOKUP($AB119,変換表貼り付け用シート!$A$3:$AN$3000,12,FALSE)))</f>
        <v>#N/A</v>
      </c>
      <c r="AF119" s="80" t="e">
        <f>IF(VLOOKUP($AB119,変換表貼り付け用シート!$A$3:$AN$3000,13,FALSE)="","",(VLOOKUP($AB119,変換表貼り付け用シート!$A$3:$AN$3000,13,FALSE)))</f>
        <v>#N/A</v>
      </c>
      <c r="AG119" s="80" t="e">
        <f>IF(VLOOKUP($AB119,変換表貼り付け用シート!$A$3:$AN$3000,14,FALSE)="","",(VLOOKUP($AB119,変換表貼り付け用シート!$A$3:$AN$3000,14,FALSE)))</f>
        <v>#N/A</v>
      </c>
      <c r="AH119" s="85" t="e">
        <f>IF(VLOOKUP($AB119,変換表貼り付け用シート!$A$3:$AN$3000,15,FALSE)="","",(VLOOKUP($AB119,変換表貼り付け用シート!$A$3:$AN$3000,15,FALSE)))</f>
        <v>#N/A</v>
      </c>
      <c r="AI119" s="79" t="e">
        <f>IF(VLOOKUP($AB119,変換表貼り付け用シート!$A$3:$AN$3000,16,FALSE)="","",(VLOOKUP($AB119,変換表貼り付け用シート!$A$3:$AN$3000,16,FALSE)))</f>
        <v>#N/A</v>
      </c>
      <c r="AJ119" s="81" t="e">
        <f>IF(VLOOKUP($AB119,変換表貼り付け用シート!$A$3:$AN$3000,17,FALSE)="","",(VLOOKUP($AB119,変換表貼り付け用シート!$A$3:$AN$3000,17,FALSE)))</f>
        <v>#N/A</v>
      </c>
      <c r="AK119" s="88" t="e">
        <f>IF(VLOOKUP($AB119,変換表貼り付け用シート!$A$3:$AN$3000,18,FALSE)="","",(VLOOKUP($AB119,変換表貼り付け用シート!$A$3:$AN$3000,18,FALSE)))</f>
        <v>#N/A</v>
      </c>
      <c r="AL119" s="81" t="e">
        <f>IF(VLOOKUP($AB119,変換表貼り付け用シート!$A$3:$AN$3000,19,FALSE)="","",(VLOOKUP($AB119,変換表貼り付け用シート!$A$3:$AN$3000,19,FALSE)))</f>
        <v>#N/A</v>
      </c>
      <c r="AM119" s="75" t="e">
        <f>IF(VLOOKUP($AB119,変換表貼り付け用シート!$A$3:$AN$3000,20,FALSE)="","",(VLOOKUP($AB119,変換表貼り付け用シート!$A$3:$AN$3000,20,FALSE)))</f>
        <v>#N/A</v>
      </c>
    </row>
    <row r="120" spans="2:39" ht="21" customHeight="1" x14ac:dyDescent="0.35">
      <c r="B120" s="39"/>
      <c r="C120" s="117" t="s">
        <v>824</v>
      </c>
      <c r="D120" s="96" t="s">
        <v>321</v>
      </c>
      <c r="E120" s="27" t="s">
        <v>44</v>
      </c>
      <c r="F120" s="37" t="s">
        <v>45</v>
      </c>
      <c r="G120" s="33" t="s">
        <v>206</v>
      </c>
      <c r="H120" s="27" t="s">
        <v>314</v>
      </c>
      <c r="I120" s="27" t="s">
        <v>206</v>
      </c>
      <c r="J120" s="37" t="s">
        <v>314</v>
      </c>
      <c r="K120" s="39" t="s">
        <v>54</v>
      </c>
      <c r="L120" s="28" t="s">
        <v>59</v>
      </c>
      <c r="M120" s="28" t="s">
        <v>48</v>
      </c>
      <c r="N120" s="41" t="s">
        <v>49</v>
      </c>
      <c r="O120" s="39" t="s">
        <v>53</v>
      </c>
      <c r="P120" s="28"/>
      <c r="Q120" s="28"/>
      <c r="R120" s="41"/>
      <c r="S120" s="39"/>
      <c r="T120" s="41"/>
      <c r="U120" s="39"/>
      <c r="V120" s="41"/>
      <c r="W120" s="43" t="s">
        <v>711</v>
      </c>
      <c r="X120" s="33"/>
      <c r="Y120" s="27"/>
      <c r="Z120" s="29"/>
      <c r="AB120" s="73" t="str">
        <f t="shared" si="2"/>
        <v>Vehicle Severe WeightTowing－</v>
      </c>
      <c r="AC120" s="74" t="e">
        <f>VLOOKUP($AB120,変換表貼り付け用シート!$A$3:$AN$1133,3,FALSE)</f>
        <v>#N/A</v>
      </c>
      <c r="AD120" s="74" t="e">
        <f t="shared" si="3"/>
        <v>#N/A</v>
      </c>
      <c r="AE120" s="79" t="e">
        <f>IF(VLOOKUP($AB120,変換表貼り付け用シート!$A$3:$AN$3000,12,FALSE)="","",(VLOOKUP($AB120,変換表貼り付け用シート!$A$3:$AN$3000,12,FALSE)))</f>
        <v>#N/A</v>
      </c>
      <c r="AF120" s="80" t="e">
        <f>IF(VLOOKUP($AB120,変換表貼り付け用シート!$A$3:$AN$3000,13,FALSE)="","",(VLOOKUP($AB120,変換表貼り付け用シート!$A$3:$AN$3000,13,FALSE)))</f>
        <v>#N/A</v>
      </c>
      <c r="AG120" s="80" t="e">
        <f>IF(VLOOKUP($AB120,変換表貼り付け用シート!$A$3:$AN$3000,14,FALSE)="","",(VLOOKUP($AB120,変換表貼り付け用シート!$A$3:$AN$3000,14,FALSE)))</f>
        <v>#N/A</v>
      </c>
      <c r="AH120" s="85" t="e">
        <f>IF(VLOOKUP($AB120,変換表貼り付け用シート!$A$3:$AN$3000,15,FALSE)="","",(VLOOKUP($AB120,変換表貼り付け用シート!$A$3:$AN$3000,15,FALSE)))</f>
        <v>#N/A</v>
      </c>
      <c r="AI120" s="79" t="e">
        <f>IF(VLOOKUP($AB120,変換表貼り付け用シート!$A$3:$AN$3000,16,FALSE)="","",(VLOOKUP($AB120,変換表貼り付け用シート!$A$3:$AN$3000,16,FALSE)))</f>
        <v>#N/A</v>
      </c>
      <c r="AJ120" s="81" t="e">
        <f>IF(VLOOKUP($AB120,変換表貼り付け用シート!$A$3:$AN$3000,17,FALSE)="","",(VLOOKUP($AB120,変換表貼り付け用シート!$A$3:$AN$3000,17,FALSE)))</f>
        <v>#N/A</v>
      </c>
      <c r="AK120" s="88" t="e">
        <f>IF(VLOOKUP($AB120,変換表貼り付け用シート!$A$3:$AN$3000,18,FALSE)="","",(VLOOKUP($AB120,変換表貼り付け用シート!$A$3:$AN$3000,18,FALSE)))</f>
        <v>#N/A</v>
      </c>
      <c r="AL120" s="81" t="e">
        <f>IF(VLOOKUP($AB120,変換表貼り付け用シート!$A$3:$AN$3000,19,FALSE)="","",(VLOOKUP($AB120,変換表貼り付け用シート!$A$3:$AN$3000,19,FALSE)))</f>
        <v>#N/A</v>
      </c>
      <c r="AM120" s="75" t="e">
        <f>IF(VLOOKUP($AB120,変換表貼り付け用シート!$A$3:$AN$3000,20,FALSE)="","",(VLOOKUP($AB120,変換表貼り付け用シート!$A$3:$AN$3000,20,FALSE)))</f>
        <v>#N/A</v>
      </c>
    </row>
    <row r="121" spans="2:39" ht="21" customHeight="1" x14ac:dyDescent="0.35">
      <c r="B121" s="39"/>
      <c r="C121" s="117" t="s">
        <v>825</v>
      </c>
      <c r="D121" s="96" t="s">
        <v>322</v>
      </c>
      <c r="E121" s="27" t="s">
        <v>44</v>
      </c>
      <c r="F121" s="37" t="s">
        <v>45</v>
      </c>
      <c r="G121" s="33" t="s">
        <v>206</v>
      </c>
      <c r="H121" s="27" t="s">
        <v>314</v>
      </c>
      <c r="I121" s="27" t="s">
        <v>206</v>
      </c>
      <c r="J121" s="37" t="s">
        <v>314</v>
      </c>
      <c r="K121" s="39" t="s">
        <v>60</v>
      </c>
      <c r="L121" s="28" t="s">
        <v>61</v>
      </c>
      <c r="M121" s="28" t="s">
        <v>48</v>
      </c>
      <c r="N121" s="41" t="s">
        <v>48</v>
      </c>
      <c r="O121" s="100" t="s">
        <v>216</v>
      </c>
      <c r="P121" s="28"/>
      <c r="Q121" s="28"/>
      <c r="R121" s="41"/>
      <c r="S121" s="39"/>
      <c r="T121" s="41"/>
      <c r="U121" s="39"/>
      <c r="V121" s="41"/>
      <c r="W121" s="43" t="s">
        <v>711</v>
      </c>
      <c r="X121" s="33"/>
      <c r="Y121" s="27"/>
      <c r="Z121" s="29"/>
      <c r="AB121" s="73" t="str">
        <f t="shared" si="2"/>
        <v>空力Cd －</v>
      </c>
      <c r="AC121" s="74" t="e">
        <f>VLOOKUP($AB121,変換表貼り付け用シート!$A$3:$AN$1133,3,FALSE)</f>
        <v>#N/A</v>
      </c>
      <c r="AD121" s="74" t="e">
        <f t="shared" si="3"/>
        <v>#N/A</v>
      </c>
      <c r="AE121" s="79" t="e">
        <f>IF(VLOOKUP($AB121,変換表貼り付け用シート!$A$3:$AN$3000,12,FALSE)="","",(VLOOKUP($AB121,変換表貼り付け用シート!$A$3:$AN$3000,12,FALSE)))</f>
        <v>#N/A</v>
      </c>
      <c r="AF121" s="80" t="e">
        <f>IF(VLOOKUP($AB121,変換表貼り付け用シート!$A$3:$AN$3000,13,FALSE)="","",(VLOOKUP($AB121,変換表貼り付け用シート!$A$3:$AN$3000,13,FALSE)))</f>
        <v>#N/A</v>
      </c>
      <c r="AG121" s="80" t="e">
        <f>IF(VLOOKUP($AB121,変換表貼り付け用シート!$A$3:$AN$3000,14,FALSE)="","",(VLOOKUP($AB121,変換表貼り付け用シート!$A$3:$AN$3000,14,FALSE)))</f>
        <v>#N/A</v>
      </c>
      <c r="AH121" s="85" t="e">
        <f>IF(VLOOKUP($AB121,変換表貼り付け用シート!$A$3:$AN$3000,15,FALSE)="","",(VLOOKUP($AB121,変換表貼り付け用シート!$A$3:$AN$3000,15,FALSE)))</f>
        <v>#N/A</v>
      </c>
      <c r="AI121" s="79" t="e">
        <f>IF(VLOOKUP($AB121,変換表貼り付け用シート!$A$3:$AN$3000,16,FALSE)="","",(VLOOKUP($AB121,変換表貼り付け用シート!$A$3:$AN$3000,16,FALSE)))</f>
        <v>#N/A</v>
      </c>
      <c r="AJ121" s="81" t="e">
        <f>IF(VLOOKUP($AB121,変換表貼り付け用シート!$A$3:$AN$3000,17,FALSE)="","",(VLOOKUP($AB121,変換表貼り付け用シート!$A$3:$AN$3000,17,FALSE)))</f>
        <v>#N/A</v>
      </c>
      <c r="AK121" s="88" t="e">
        <f>IF(VLOOKUP($AB121,変換表貼り付け用シート!$A$3:$AN$3000,18,FALSE)="","",(VLOOKUP($AB121,変換表貼り付け用シート!$A$3:$AN$3000,18,FALSE)))</f>
        <v>#N/A</v>
      </c>
      <c r="AL121" s="81" t="e">
        <f>IF(VLOOKUP($AB121,変換表貼り付け用シート!$A$3:$AN$3000,19,FALSE)="","",(VLOOKUP($AB121,変換表貼り付け用シート!$A$3:$AN$3000,19,FALSE)))</f>
        <v>#N/A</v>
      </c>
      <c r="AM121" s="75" t="e">
        <f>IF(VLOOKUP($AB121,変換表貼り付け用シート!$A$3:$AN$3000,20,FALSE)="","",(VLOOKUP($AB121,変換表貼り付け用シート!$A$3:$AN$3000,20,FALSE)))</f>
        <v>#N/A</v>
      </c>
    </row>
    <row r="122" spans="2:39" ht="21" customHeight="1" x14ac:dyDescent="0.35">
      <c r="B122" s="39"/>
      <c r="C122" s="117" t="s">
        <v>826</v>
      </c>
      <c r="D122" s="96" t="s">
        <v>323</v>
      </c>
      <c r="E122" s="27" t="s">
        <v>44</v>
      </c>
      <c r="F122" s="37" t="s">
        <v>45</v>
      </c>
      <c r="G122" s="33" t="s">
        <v>206</v>
      </c>
      <c r="H122" s="27" t="s">
        <v>314</v>
      </c>
      <c r="I122" s="27" t="s">
        <v>206</v>
      </c>
      <c r="J122" s="37" t="s">
        <v>314</v>
      </c>
      <c r="K122" s="39" t="s">
        <v>60</v>
      </c>
      <c r="L122" s="28" t="s">
        <v>62</v>
      </c>
      <c r="M122" s="28" t="s">
        <v>48</v>
      </c>
      <c r="N122" s="41" t="s">
        <v>63</v>
      </c>
      <c r="O122" s="39">
        <v>2.21</v>
      </c>
      <c r="P122" s="28"/>
      <c r="Q122" s="28"/>
      <c r="R122" s="41"/>
      <c r="S122" s="39"/>
      <c r="T122" s="41"/>
      <c r="U122" s="39"/>
      <c r="V122" s="41"/>
      <c r="W122" s="43" t="s">
        <v>711</v>
      </c>
      <c r="X122" s="33"/>
      <c r="Y122" s="27"/>
      <c r="Z122" s="29"/>
      <c r="AB122" s="73" t="str">
        <f t="shared" si="2"/>
        <v>空力A－</v>
      </c>
      <c r="AC122" s="74" t="e">
        <f>VLOOKUP($AB122,変換表貼り付け用シート!$A$3:$AN$1133,3,FALSE)</f>
        <v>#N/A</v>
      </c>
      <c r="AD122" s="74" t="e">
        <f t="shared" si="3"/>
        <v>#N/A</v>
      </c>
      <c r="AE122" s="79" t="e">
        <f>IF(VLOOKUP($AB122,変換表貼り付け用シート!$A$3:$AN$3000,12,FALSE)="","",(VLOOKUP($AB122,変換表貼り付け用シート!$A$3:$AN$3000,12,FALSE)))</f>
        <v>#N/A</v>
      </c>
      <c r="AF122" s="80" t="e">
        <f>IF(VLOOKUP($AB122,変換表貼り付け用シート!$A$3:$AN$3000,13,FALSE)="","",(VLOOKUP($AB122,変換表貼り付け用シート!$A$3:$AN$3000,13,FALSE)))</f>
        <v>#N/A</v>
      </c>
      <c r="AG122" s="80" t="e">
        <f>IF(VLOOKUP($AB122,変換表貼り付け用シート!$A$3:$AN$3000,14,FALSE)="","",(VLOOKUP($AB122,変換表貼り付け用シート!$A$3:$AN$3000,14,FALSE)))</f>
        <v>#N/A</v>
      </c>
      <c r="AH122" s="85" t="e">
        <f>IF(VLOOKUP($AB122,変換表貼り付け用シート!$A$3:$AN$3000,15,FALSE)="","",(VLOOKUP($AB122,変換表貼り付け用シート!$A$3:$AN$3000,15,FALSE)))</f>
        <v>#N/A</v>
      </c>
      <c r="AI122" s="79" t="e">
        <f>IF(VLOOKUP($AB122,変換表貼り付け用シート!$A$3:$AN$3000,16,FALSE)="","",(VLOOKUP($AB122,変換表貼り付け用シート!$A$3:$AN$3000,16,FALSE)))</f>
        <v>#N/A</v>
      </c>
      <c r="AJ122" s="81" t="e">
        <f>IF(VLOOKUP($AB122,変換表貼り付け用シート!$A$3:$AN$3000,17,FALSE)="","",(VLOOKUP($AB122,変換表貼り付け用シート!$A$3:$AN$3000,17,FALSE)))</f>
        <v>#N/A</v>
      </c>
      <c r="AK122" s="88" t="e">
        <f>IF(VLOOKUP($AB122,変換表貼り付け用シート!$A$3:$AN$3000,18,FALSE)="","",(VLOOKUP($AB122,変換表貼り付け用シート!$A$3:$AN$3000,18,FALSE)))</f>
        <v>#N/A</v>
      </c>
      <c r="AL122" s="81" t="e">
        <f>IF(VLOOKUP($AB122,変換表貼り付け用シート!$A$3:$AN$3000,19,FALSE)="","",(VLOOKUP($AB122,変換表貼り付け用シート!$A$3:$AN$3000,19,FALSE)))</f>
        <v>#N/A</v>
      </c>
      <c r="AM122" s="75" t="e">
        <f>IF(VLOOKUP($AB122,変換表貼り付け用シート!$A$3:$AN$3000,20,FALSE)="","",(VLOOKUP($AB122,変換表貼り付け用シート!$A$3:$AN$3000,20,FALSE)))</f>
        <v>#N/A</v>
      </c>
    </row>
    <row r="123" spans="2:39" ht="21" customHeight="1" x14ac:dyDescent="0.35">
      <c r="B123" s="39"/>
      <c r="C123" s="117" t="s">
        <v>827</v>
      </c>
      <c r="D123" s="96" t="s">
        <v>324</v>
      </c>
      <c r="E123" s="27" t="s">
        <v>44</v>
      </c>
      <c r="F123" s="37" t="s">
        <v>45</v>
      </c>
      <c r="G123" s="33" t="s">
        <v>206</v>
      </c>
      <c r="H123" s="27" t="s">
        <v>314</v>
      </c>
      <c r="I123" s="27" t="s">
        <v>206</v>
      </c>
      <c r="J123" s="37" t="s">
        <v>314</v>
      </c>
      <c r="K123" s="39" t="s">
        <v>60</v>
      </c>
      <c r="L123" s="28" t="s">
        <v>64</v>
      </c>
      <c r="M123" s="28" t="s">
        <v>48</v>
      </c>
      <c r="N123" s="41" t="s">
        <v>48</v>
      </c>
      <c r="O123" s="39" t="s">
        <v>57</v>
      </c>
      <c r="P123" s="28"/>
      <c r="Q123" s="28"/>
      <c r="R123" s="41"/>
      <c r="S123" s="39"/>
      <c r="T123" s="41"/>
      <c r="U123" s="39"/>
      <c r="V123" s="41"/>
      <c r="W123" s="43" t="s">
        <v>711</v>
      </c>
      <c r="X123" s="33"/>
      <c r="Y123" s="27"/>
      <c r="Z123" s="29"/>
      <c r="AB123" s="73" t="str">
        <f t="shared" si="2"/>
        <v>空力ΔCd (AGS閉→全開)－</v>
      </c>
      <c r="AC123" s="74" t="e">
        <f>VLOOKUP($AB123,変換表貼り付け用シート!$A$3:$AN$1133,3,FALSE)</f>
        <v>#N/A</v>
      </c>
      <c r="AD123" s="74" t="e">
        <f t="shared" si="3"/>
        <v>#N/A</v>
      </c>
      <c r="AE123" s="79" t="e">
        <f>IF(VLOOKUP($AB123,変換表貼り付け用シート!$A$3:$AN$3000,12,FALSE)="","",(VLOOKUP($AB123,変換表貼り付け用シート!$A$3:$AN$3000,12,FALSE)))</f>
        <v>#N/A</v>
      </c>
      <c r="AF123" s="80" t="e">
        <f>IF(VLOOKUP($AB123,変換表貼り付け用シート!$A$3:$AN$3000,13,FALSE)="","",(VLOOKUP($AB123,変換表貼り付け用シート!$A$3:$AN$3000,13,FALSE)))</f>
        <v>#N/A</v>
      </c>
      <c r="AG123" s="80" t="e">
        <f>IF(VLOOKUP($AB123,変換表貼り付け用シート!$A$3:$AN$3000,14,FALSE)="","",(VLOOKUP($AB123,変換表貼り付け用シート!$A$3:$AN$3000,14,FALSE)))</f>
        <v>#N/A</v>
      </c>
      <c r="AH123" s="85" t="e">
        <f>IF(VLOOKUP($AB123,変換表貼り付け用シート!$A$3:$AN$3000,15,FALSE)="","",(VLOOKUP($AB123,変換表貼り付け用シート!$A$3:$AN$3000,15,FALSE)))</f>
        <v>#N/A</v>
      </c>
      <c r="AI123" s="79" t="e">
        <f>IF(VLOOKUP($AB123,変換表貼り付け用シート!$A$3:$AN$3000,16,FALSE)="","",(VLOOKUP($AB123,変換表貼り付け用シート!$A$3:$AN$3000,16,FALSE)))</f>
        <v>#N/A</v>
      </c>
      <c r="AJ123" s="81" t="e">
        <f>IF(VLOOKUP($AB123,変換表貼り付け用シート!$A$3:$AN$3000,17,FALSE)="","",(VLOOKUP($AB123,変換表貼り付け用シート!$A$3:$AN$3000,17,FALSE)))</f>
        <v>#N/A</v>
      </c>
      <c r="AK123" s="88" t="e">
        <f>IF(VLOOKUP($AB123,変換表貼り付け用シート!$A$3:$AN$3000,18,FALSE)="","",(VLOOKUP($AB123,変換表貼り付け用シート!$A$3:$AN$3000,18,FALSE)))</f>
        <v>#N/A</v>
      </c>
      <c r="AL123" s="81" t="e">
        <f>IF(VLOOKUP($AB123,変換表貼り付け用シート!$A$3:$AN$3000,19,FALSE)="","",(VLOOKUP($AB123,変換表貼り付け用シート!$A$3:$AN$3000,19,FALSE)))</f>
        <v>#N/A</v>
      </c>
      <c r="AM123" s="75" t="e">
        <f>IF(VLOOKUP($AB123,変換表貼り付け用シート!$A$3:$AN$3000,20,FALSE)="","",(VLOOKUP($AB123,変換表貼り付け用シート!$A$3:$AN$3000,20,FALSE)))</f>
        <v>#N/A</v>
      </c>
    </row>
    <row r="124" spans="2:39" ht="21" customHeight="1" x14ac:dyDescent="0.35">
      <c r="B124" s="39"/>
      <c r="C124" s="117" t="s">
        <v>828</v>
      </c>
      <c r="D124" s="96" t="s">
        <v>325</v>
      </c>
      <c r="E124" s="27" t="s">
        <v>44</v>
      </c>
      <c r="F124" s="37" t="s">
        <v>45</v>
      </c>
      <c r="G124" s="33" t="s">
        <v>206</v>
      </c>
      <c r="H124" s="27" t="s">
        <v>314</v>
      </c>
      <c r="I124" s="27" t="s">
        <v>206</v>
      </c>
      <c r="J124" s="37" t="s">
        <v>314</v>
      </c>
      <c r="K124" s="39" t="s">
        <v>60</v>
      </c>
      <c r="L124" s="28" t="s">
        <v>65</v>
      </c>
      <c r="M124" s="28" t="s">
        <v>48</v>
      </c>
      <c r="N124" s="41" t="s">
        <v>66</v>
      </c>
      <c r="O124" s="39" t="s">
        <v>57</v>
      </c>
      <c r="P124" s="28"/>
      <c r="Q124" s="28"/>
      <c r="R124" s="41"/>
      <c r="S124" s="39"/>
      <c r="T124" s="41"/>
      <c r="U124" s="39"/>
      <c r="V124" s="41"/>
      <c r="W124" s="43" t="s">
        <v>711</v>
      </c>
      <c r="X124" s="33"/>
      <c r="Y124" s="27"/>
      <c r="Z124" s="29"/>
      <c r="AB124" s="73" t="str">
        <f t="shared" si="2"/>
        <v>空力Grill shutter車速閾値 高速側 (閉→開)/(開→閉)－</v>
      </c>
      <c r="AC124" s="74" t="e">
        <f>VLOOKUP($AB124,変換表貼り付け用シート!$A$3:$AN$1133,3,FALSE)</f>
        <v>#N/A</v>
      </c>
      <c r="AD124" s="74" t="e">
        <f t="shared" si="3"/>
        <v>#N/A</v>
      </c>
      <c r="AE124" s="79" t="e">
        <f>IF(VLOOKUP($AB124,変換表貼り付け用シート!$A$3:$AN$3000,12,FALSE)="","",(VLOOKUP($AB124,変換表貼り付け用シート!$A$3:$AN$3000,12,FALSE)))</f>
        <v>#N/A</v>
      </c>
      <c r="AF124" s="80" t="e">
        <f>IF(VLOOKUP($AB124,変換表貼り付け用シート!$A$3:$AN$3000,13,FALSE)="","",(VLOOKUP($AB124,変換表貼り付け用シート!$A$3:$AN$3000,13,FALSE)))</f>
        <v>#N/A</v>
      </c>
      <c r="AG124" s="80" t="e">
        <f>IF(VLOOKUP($AB124,変換表貼り付け用シート!$A$3:$AN$3000,14,FALSE)="","",(VLOOKUP($AB124,変換表貼り付け用シート!$A$3:$AN$3000,14,FALSE)))</f>
        <v>#N/A</v>
      </c>
      <c r="AH124" s="85" t="e">
        <f>IF(VLOOKUP($AB124,変換表貼り付け用シート!$A$3:$AN$3000,15,FALSE)="","",(VLOOKUP($AB124,変換表貼り付け用シート!$A$3:$AN$3000,15,FALSE)))</f>
        <v>#N/A</v>
      </c>
      <c r="AI124" s="79" t="e">
        <f>IF(VLOOKUP($AB124,変換表貼り付け用シート!$A$3:$AN$3000,16,FALSE)="","",(VLOOKUP($AB124,変換表貼り付け用シート!$A$3:$AN$3000,16,FALSE)))</f>
        <v>#N/A</v>
      </c>
      <c r="AJ124" s="81" t="e">
        <f>IF(VLOOKUP($AB124,変換表貼り付け用シート!$A$3:$AN$3000,17,FALSE)="","",(VLOOKUP($AB124,変換表貼り付け用シート!$A$3:$AN$3000,17,FALSE)))</f>
        <v>#N/A</v>
      </c>
      <c r="AK124" s="88" t="e">
        <f>IF(VLOOKUP($AB124,変換表貼り付け用シート!$A$3:$AN$3000,18,FALSE)="","",(VLOOKUP($AB124,変換表貼り付け用シート!$A$3:$AN$3000,18,FALSE)))</f>
        <v>#N/A</v>
      </c>
      <c r="AL124" s="81" t="e">
        <f>IF(VLOOKUP($AB124,変換表貼り付け用シート!$A$3:$AN$3000,19,FALSE)="","",(VLOOKUP($AB124,変換表貼り付け用シート!$A$3:$AN$3000,19,FALSE)))</f>
        <v>#N/A</v>
      </c>
      <c r="AM124" s="75" t="e">
        <f>IF(VLOOKUP($AB124,変換表貼り付け用シート!$A$3:$AN$3000,20,FALSE)="","",(VLOOKUP($AB124,変換表貼り付け用シート!$A$3:$AN$3000,20,FALSE)))</f>
        <v>#N/A</v>
      </c>
    </row>
    <row r="125" spans="2:39" ht="21" customHeight="1" x14ac:dyDescent="0.35">
      <c r="B125" s="39"/>
      <c r="C125" s="117" t="s">
        <v>829</v>
      </c>
      <c r="D125" s="96" t="s">
        <v>326</v>
      </c>
      <c r="E125" s="27" t="s">
        <v>44</v>
      </c>
      <c r="F125" s="37" t="s">
        <v>45</v>
      </c>
      <c r="G125" s="33" t="s">
        <v>206</v>
      </c>
      <c r="H125" s="27" t="s">
        <v>314</v>
      </c>
      <c r="I125" s="27" t="s">
        <v>206</v>
      </c>
      <c r="J125" s="37" t="s">
        <v>314</v>
      </c>
      <c r="K125" s="39" t="s">
        <v>60</v>
      </c>
      <c r="L125" s="28" t="s">
        <v>67</v>
      </c>
      <c r="M125" s="28" t="s">
        <v>48</v>
      </c>
      <c r="N125" s="41" t="s">
        <v>66</v>
      </c>
      <c r="O125" s="39" t="s">
        <v>57</v>
      </c>
      <c r="P125" s="28"/>
      <c r="Q125" s="28"/>
      <c r="R125" s="41"/>
      <c r="S125" s="39"/>
      <c r="T125" s="41"/>
      <c r="U125" s="39"/>
      <c r="V125" s="41"/>
      <c r="W125" s="43" t="s">
        <v>711</v>
      </c>
      <c r="X125" s="33"/>
      <c r="Y125" s="27"/>
      <c r="Z125" s="29"/>
      <c r="AB125" s="73" t="str">
        <f t="shared" si="2"/>
        <v>空力Grill shutter車速閾値 低速側 (閉→開)/(開→閉)－</v>
      </c>
      <c r="AC125" s="74" t="e">
        <f>VLOOKUP($AB125,変換表貼り付け用シート!$A$3:$AN$1133,3,FALSE)</f>
        <v>#N/A</v>
      </c>
      <c r="AD125" s="74" t="e">
        <f t="shared" si="3"/>
        <v>#N/A</v>
      </c>
      <c r="AE125" s="79" t="e">
        <f>IF(VLOOKUP($AB125,変換表貼り付け用シート!$A$3:$AN$3000,12,FALSE)="","",(VLOOKUP($AB125,変換表貼り付け用シート!$A$3:$AN$3000,12,FALSE)))</f>
        <v>#N/A</v>
      </c>
      <c r="AF125" s="80" t="e">
        <f>IF(VLOOKUP($AB125,変換表貼り付け用シート!$A$3:$AN$3000,13,FALSE)="","",(VLOOKUP($AB125,変換表貼り付け用シート!$A$3:$AN$3000,13,FALSE)))</f>
        <v>#N/A</v>
      </c>
      <c r="AG125" s="80" t="e">
        <f>IF(VLOOKUP($AB125,変換表貼り付け用シート!$A$3:$AN$3000,14,FALSE)="","",(VLOOKUP($AB125,変換表貼り付け用シート!$A$3:$AN$3000,14,FALSE)))</f>
        <v>#N/A</v>
      </c>
      <c r="AH125" s="85" t="e">
        <f>IF(VLOOKUP($AB125,変換表貼り付け用シート!$A$3:$AN$3000,15,FALSE)="","",(VLOOKUP($AB125,変換表貼り付け用シート!$A$3:$AN$3000,15,FALSE)))</f>
        <v>#N/A</v>
      </c>
      <c r="AI125" s="79" t="e">
        <f>IF(VLOOKUP($AB125,変換表貼り付け用シート!$A$3:$AN$3000,16,FALSE)="","",(VLOOKUP($AB125,変換表貼り付け用シート!$A$3:$AN$3000,16,FALSE)))</f>
        <v>#N/A</v>
      </c>
      <c r="AJ125" s="81" t="e">
        <f>IF(VLOOKUP($AB125,変換表貼り付け用シート!$A$3:$AN$3000,17,FALSE)="","",(VLOOKUP($AB125,変換表貼り付け用シート!$A$3:$AN$3000,17,FALSE)))</f>
        <v>#N/A</v>
      </c>
      <c r="AK125" s="88" t="e">
        <f>IF(VLOOKUP($AB125,変換表貼り付け用シート!$A$3:$AN$3000,18,FALSE)="","",(VLOOKUP($AB125,変換表貼り付け用シート!$A$3:$AN$3000,18,FALSE)))</f>
        <v>#N/A</v>
      </c>
      <c r="AL125" s="81" t="e">
        <f>IF(VLOOKUP($AB125,変換表貼り付け用シート!$A$3:$AN$3000,19,FALSE)="","",(VLOOKUP($AB125,変換表貼り付け用シート!$A$3:$AN$3000,19,FALSE)))</f>
        <v>#N/A</v>
      </c>
      <c r="AM125" s="75" t="e">
        <f>IF(VLOOKUP($AB125,変換表貼り付け用シート!$A$3:$AN$3000,20,FALSE)="","",(VLOOKUP($AB125,変換表貼り付け用シート!$A$3:$AN$3000,20,FALSE)))</f>
        <v>#N/A</v>
      </c>
    </row>
    <row r="126" spans="2:39" ht="21" customHeight="1" x14ac:dyDescent="0.35">
      <c r="B126" s="39"/>
      <c r="C126" s="117" t="s">
        <v>830</v>
      </c>
      <c r="D126" s="96" t="s">
        <v>327</v>
      </c>
      <c r="E126" s="27" t="s">
        <v>44</v>
      </c>
      <c r="F126" s="37" t="s">
        <v>45</v>
      </c>
      <c r="G126" s="33" t="s">
        <v>206</v>
      </c>
      <c r="H126" s="27" t="s">
        <v>314</v>
      </c>
      <c r="I126" s="27" t="s">
        <v>206</v>
      </c>
      <c r="J126" s="37" t="s">
        <v>314</v>
      </c>
      <c r="K126" s="39" t="s">
        <v>68</v>
      </c>
      <c r="L126" s="28" t="s">
        <v>69</v>
      </c>
      <c r="M126" s="28" t="s">
        <v>48</v>
      </c>
      <c r="N126" s="41" t="s">
        <v>48</v>
      </c>
      <c r="O126" s="39" t="s">
        <v>70</v>
      </c>
      <c r="P126" s="28"/>
      <c r="Q126" s="28"/>
      <c r="R126" s="41"/>
      <c r="S126" s="39"/>
      <c r="T126" s="41"/>
      <c r="U126" s="39"/>
      <c r="V126" s="41"/>
      <c r="W126" s="43" t="s">
        <v>711</v>
      </c>
      <c r="X126" s="33"/>
      <c r="Y126" s="27"/>
      <c r="Z126" s="29"/>
      <c r="AB126" s="73" t="str">
        <f t="shared" si="2"/>
        <v>タイヤFRサイズ－</v>
      </c>
      <c r="AC126" s="74" t="e">
        <f>VLOOKUP($AB126,変換表貼り付け用シート!$A$3:$AN$1133,3,FALSE)</f>
        <v>#N/A</v>
      </c>
      <c r="AD126" s="74" t="e">
        <f t="shared" si="3"/>
        <v>#N/A</v>
      </c>
      <c r="AE126" s="79" t="e">
        <f>IF(VLOOKUP($AB126,変換表貼り付け用シート!$A$3:$AN$3000,12,FALSE)="","",(VLOOKUP($AB126,変換表貼り付け用シート!$A$3:$AN$3000,12,FALSE)))</f>
        <v>#N/A</v>
      </c>
      <c r="AF126" s="80" t="e">
        <f>IF(VLOOKUP($AB126,変換表貼り付け用シート!$A$3:$AN$3000,13,FALSE)="","",(VLOOKUP($AB126,変換表貼り付け用シート!$A$3:$AN$3000,13,FALSE)))</f>
        <v>#N/A</v>
      </c>
      <c r="AG126" s="80" t="e">
        <f>IF(VLOOKUP($AB126,変換表貼り付け用シート!$A$3:$AN$3000,14,FALSE)="","",(VLOOKUP($AB126,変換表貼り付け用シート!$A$3:$AN$3000,14,FALSE)))</f>
        <v>#N/A</v>
      </c>
      <c r="AH126" s="85" t="e">
        <f>IF(VLOOKUP($AB126,変換表貼り付け用シート!$A$3:$AN$3000,15,FALSE)="","",(VLOOKUP($AB126,変換表貼り付け用シート!$A$3:$AN$3000,15,FALSE)))</f>
        <v>#N/A</v>
      </c>
      <c r="AI126" s="79" t="e">
        <f>IF(VLOOKUP($AB126,変換表貼り付け用シート!$A$3:$AN$3000,16,FALSE)="","",(VLOOKUP($AB126,変換表貼り付け用シート!$A$3:$AN$3000,16,FALSE)))</f>
        <v>#N/A</v>
      </c>
      <c r="AJ126" s="81" t="e">
        <f>IF(VLOOKUP($AB126,変換表貼り付け用シート!$A$3:$AN$3000,17,FALSE)="","",(VLOOKUP($AB126,変換表貼り付け用シート!$A$3:$AN$3000,17,FALSE)))</f>
        <v>#N/A</v>
      </c>
      <c r="AK126" s="88" t="e">
        <f>IF(VLOOKUP($AB126,変換表貼り付け用シート!$A$3:$AN$3000,18,FALSE)="","",(VLOOKUP($AB126,変換表貼り付け用シート!$A$3:$AN$3000,18,FALSE)))</f>
        <v>#N/A</v>
      </c>
      <c r="AL126" s="81" t="e">
        <f>IF(VLOOKUP($AB126,変換表貼り付け用シート!$A$3:$AN$3000,19,FALSE)="","",(VLOOKUP($AB126,変換表貼り付け用シート!$A$3:$AN$3000,19,FALSE)))</f>
        <v>#N/A</v>
      </c>
      <c r="AM126" s="75" t="e">
        <f>IF(VLOOKUP($AB126,変換表貼り付け用シート!$A$3:$AN$3000,20,FALSE)="","",(VLOOKUP($AB126,変換表貼り付け用シート!$A$3:$AN$3000,20,FALSE)))</f>
        <v>#N/A</v>
      </c>
    </row>
    <row r="127" spans="2:39" ht="21" customHeight="1" x14ac:dyDescent="0.35">
      <c r="B127" s="39"/>
      <c r="C127" s="117" t="s">
        <v>831</v>
      </c>
      <c r="D127" s="96" t="s">
        <v>328</v>
      </c>
      <c r="E127" s="27" t="s">
        <v>44</v>
      </c>
      <c r="F127" s="37" t="s">
        <v>45</v>
      </c>
      <c r="G127" s="33" t="s">
        <v>206</v>
      </c>
      <c r="H127" s="27" t="s">
        <v>314</v>
      </c>
      <c r="I127" s="27" t="s">
        <v>206</v>
      </c>
      <c r="J127" s="37" t="s">
        <v>314</v>
      </c>
      <c r="K127" s="39" t="s">
        <v>68</v>
      </c>
      <c r="L127" s="28" t="s">
        <v>71</v>
      </c>
      <c r="M127" s="28" t="s">
        <v>48</v>
      </c>
      <c r="N127" s="41" t="s">
        <v>72</v>
      </c>
      <c r="O127" s="39">
        <v>0.27100000000000002</v>
      </c>
      <c r="P127" s="28"/>
      <c r="Q127" s="28"/>
      <c r="R127" s="41"/>
      <c r="S127" s="39"/>
      <c r="T127" s="41"/>
      <c r="U127" s="39"/>
      <c r="V127" s="41"/>
      <c r="W127" s="43" t="s">
        <v>711</v>
      </c>
      <c r="X127" s="33"/>
      <c r="Y127" s="27"/>
      <c r="Z127" s="29"/>
      <c r="AB127" s="73" t="str">
        <f t="shared" si="2"/>
        <v>タイヤFR動半径－</v>
      </c>
      <c r="AC127" s="74" t="e">
        <f>VLOOKUP($AB127,変換表貼り付け用シート!$A$3:$AN$1133,3,FALSE)</f>
        <v>#N/A</v>
      </c>
      <c r="AD127" s="74" t="e">
        <f t="shared" si="3"/>
        <v>#N/A</v>
      </c>
      <c r="AE127" s="79" t="e">
        <f>IF(VLOOKUP($AB127,変換表貼り付け用シート!$A$3:$AN$3000,12,FALSE)="","",(VLOOKUP($AB127,変換表貼り付け用シート!$A$3:$AN$3000,12,FALSE)))</f>
        <v>#N/A</v>
      </c>
      <c r="AF127" s="80" t="e">
        <f>IF(VLOOKUP($AB127,変換表貼り付け用シート!$A$3:$AN$3000,13,FALSE)="","",(VLOOKUP($AB127,変換表貼り付け用シート!$A$3:$AN$3000,13,FALSE)))</f>
        <v>#N/A</v>
      </c>
      <c r="AG127" s="80" t="e">
        <f>IF(VLOOKUP($AB127,変換表貼り付け用シート!$A$3:$AN$3000,14,FALSE)="","",(VLOOKUP($AB127,変換表貼り付け用シート!$A$3:$AN$3000,14,FALSE)))</f>
        <v>#N/A</v>
      </c>
      <c r="AH127" s="85" t="e">
        <f>IF(VLOOKUP($AB127,変換表貼り付け用シート!$A$3:$AN$3000,15,FALSE)="","",(VLOOKUP($AB127,変換表貼り付け用シート!$A$3:$AN$3000,15,FALSE)))</f>
        <v>#N/A</v>
      </c>
      <c r="AI127" s="79" t="e">
        <f>IF(VLOOKUP($AB127,変換表貼り付け用シート!$A$3:$AN$3000,16,FALSE)="","",(VLOOKUP($AB127,変換表貼り付け用シート!$A$3:$AN$3000,16,FALSE)))</f>
        <v>#N/A</v>
      </c>
      <c r="AJ127" s="81" t="e">
        <f>IF(VLOOKUP($AB127,変換表貼り付け用シート!$A$3:$AN$3000,17,FALSE)="","",(VLOOKUP($AB127,変換表貼り付け用シート!$A$3:$AN$3000,17,FALSE)))</f>
        <v>#N/A</v>
      </c>
      <c r="AK127" s="88" t="e">
        <f>IF(VLOOKUP($AB127,変換表貼り付け用シート!$A$3:$AN$3000,18,FALSE)="","",(VLOOKUP($AB127,変換表貼り付け用シート!$A$3:$AN$3000,18,FALSE)))</f>
        <v>#N/A</v>
      </c>
      <c r="AL127" s="81" t="e">
        <f>IF(VLOOKUP($AB127,変換表貼り付け用シート!$A$3:$AN$3000,19,FALSE)="","",(VLOOKUP($AB127,変換表貼り付け用シート!$A$3:$AN$3000,19,FALSE)))</f>
        <v>#N/A</v>
      </c>
      <c r="AM127" s="75" t="e">
        <f>IF(VLOOKUP($AB127,変換表貼り付け用シート!$A$3:$AN$3000,20,FALSE)="","",(VLOOKUP($AB127,変換表貼り付け用シート!$A$3:$AN$3000,20,FALSE)))</f>
        <v>#N/A</v>
      </c>
    </row>
    <row r="128" spans="2:39" ht="21" customHeight="1" x14ac:dyDescent="0.35">
      <c r="B128" s="39"/>
      <c r="C128" s="117" t="s">
        <v>832</v>
      </c>
      <c r="D128" s="96" t="s">
        <v>329</v>
      </c>
      <c r="E128" s="27" t="s">
        <v>44</v>
      </c>
      <c r="F128" s="37" t="s">
        <v>45</v>
      </c>
      <c r="G128" s="33" t="s">
        <v>206</v>
      </c>
      <c r="H128" s="27" t="s">
        <v>314</v>
      </c>
      <c r="I128" s="27" t="s">
        <v>206</v>
      </c>
      <c r="J128" s="37" t="s">
        <v>314</v>
      </c>
      <c r="K128" s="39" t="s">
        <v>68</v>
      </c>
      <c r="L128" s="28" t="s">
        <v>73</v>
      </c>
      <c r="M128" s="28" t="s">
        <v>48</v>
      </c>
      <c r="N128" s="41" t="s">
        <v>48</v>
      </c>
      <c r="O128" s="39">
        <v>7.2</v>
      </c>
      <c r="P128" s="28"/>
      <c r="Q128" s="28"/>
      <c r="R128" s="41"/>
      <c r="S128" s="39"/>
      <c r="T128" s="41"/>
      <c r="U128" s="39"/>
      <c r="V128" s="41"/>
      <c r="W128" s="43" t="s">
        <v>711</v>
      </c>
      <c r="X128" s="33"/>
      <c r="Y128" s="27"/>
      <c r="Z128" s="29"/>
      <c r="AB128" s="73" t="str">
        <f t="shared" si="2"/>
        <v>タイヤFR RRC (ISO 28560 80kmh,210kPa)－</v>
      </c>
      <c r="AC128" s="74" t="e">
        <f>VLOOKUP($AB128,変換表貼り付け用シート!$A$3:$AN$1133,3,FALSE)</f>
        <v>#N/A</v>
      </c>
      <c r="AD128" s="74" t="e">
        <f t="shared" si="3"/>
        <v>#N/A</v>
      </c>
      <c r="AE128" s="79" t="e">
        <f>IF(VLOOKUP($AB128,変換表貼り付け用シート!$A$3:$AN$3000,12,FALSE)="","",(VLOOKUP($AB128,変換表貼り付け用シート!$A$3:$AN$3000,12,FALSE)))</f>
        <v>#N/A</v>
      </c>
      <c r="AF128" s="80" t="e">
        <f>IF(VLOOKUP($AB128,変換表貼り付け用シート!$A$3:$AN$3000,13,FALSE)="","",(VLOOKUP($AB128,変換表貼り付け用シート!$A$3:$AN$3000,13,FALSE)))</f>
        <v>#N/A</v>
      </c>
      <c r="AG128" s="80" t="e">
        <f>IF(VLOOKUP($AB128,変換表貼り付け用シート!$A$3:$AN$3000,14,FALSE)="","",(VLOOKUP($AB128,変換表貼り付け用シート!$A$3:$AN$3000,14,FALSE)))</f>
        <v>#N/A</v>
      </c>
      <c r="AH128" s="85" t="e">
        <f>IF(VLOOKUP($AB128,変換表貼り付け用シート!$A$3:$AN$3000,15,FALSE)="","",(VLOOKUP($AB128,変換表貼り付け用シート!$A$3:$AN$3000,15,FALSE)))</f>
        <v>#N/A</v>
      </c>
      <c r="AI128" s="79" t="e">
        <f>IF(VLOOKUP($AB128,変換表貼り付け用シート!$A$3:$AN$3000,16,FALSE)="","",(VLOOKUP($AB128,変換表貼り付け用シート!$A$3:$AN$3000,16,FALSE)))</f>
        <v>#N/A</v>
      </c>
      <c r="AJ128" s="81" t="e">
        <f>IF(VLOOKUP($AB128,変換表貼り付け用シート!$A$3:$AN$3000,17,FALSE)="","",(VLOOKUP($AB128,変換表貼り付け用シート!$A$3:$AN$3000,17,FALSE)))</f>
        <v>#N/A</v>
      </c>
      <c r="AK128" s="88" t="e">
        <f>IF(VLOOKUP($AB128,変換表貼り付け用シート!$A$3:$AN$3000,18,FALSE)="","",(VLOOKUP($AB128,変換表貼り付け用シート!$A$3:$AN$3000,18,FALSE)))</f>
        <v>#N/A</v>
      </c>
      <c r="AL128" s="81" t="e">
        <f>IF(VLOOKUP($AB128,変換表貼り付け用シート!$A$3:$AN$3000,19,FALSE)="","",(VLOOKUP($AB128,変換表貼り付け用シート!$A$3:$AN$3000,19,FALSE)))</f>
        <v>#N/A</v>
      </c>
      <c r="AM128" s="75" t="e">
        <f>IF(VLOOKUP($AB128,変換表貼り付け用シート!$A$3:$AN$3000,20,FALSE)="","",(VLOOKUP($AB128,変換表貼り付け用シート!$A$3:$AN$3000,20,FALSE)))</f>
        <v>#N/A</v>
      </c>
    </row>
    <row r="129" spans="2:39" ht="21" customHeight="1" x14ac:dyDescent="0.35">
      <c r="B129" s="39"/>
      <c r="C129" s="117" t="s">
        <v>833</v>
      </c>
      <c r="D129" s="96" t="s">
        <v>330</v>
      </c>
      <c r="E129" s="27" t="s">
        <v>44</v>
      </c>
      <c r="F129" s="37" t="s">
        <v>45</v>
      </c>
      <c r="G129" s="33" t="s">
        <v>206</v>
      </c>
      <c r="H129" s="27" t="s">
        <v>314</v>
      </c>
      <c r="I129" s="27" t="s">
        <v>206</v>
      </c>
      <c r="J129" s="37" t="s">
        <v>314</v>
      </c>
      <c r="K129" s="39" t="s">
        <v>68</v>
      </c>
      <c r="L129" s="28" t="s">
        <v>74</v>
      </c>
      <c r="M129" s="28" t="s">
        <v>48</v>
      </c>
      <c r="N129" s="41" t="s">
        <v>48</v>
      </c>
      <c r="O129" s="39">
        <v>68</v>
      </c>
      <c r="P129" s="28"/>
      <c r="Q129" s="28"/>
      <c r="R129" s="41"/>
      <c r="S129" s="39"/>
      <c r="T129" s="41"/>
      <c r="U129" s="39"/>
      <c r="V129" s="41"/>
      <c r="W129" s="43" t="s">
        <v>711</v>
      </c>
      <c r="X129" s="33"/>
      <c r="Y129" s="27"/>
      <c r="Z129" s="29"/>
      <c r="AB129" s="73" t="str">
        <f t="shared" si="2"/>
        <v>タイヤFR RRC (車両状態)－</v>
      </c>
      <c r="AC129" s="74" t="e">
        <f>VLOOKUP($AB129,変換表貼り付け用シート!$A$3:$AN$1133,3,FALSE)</f>
        <v>#N/A</v>
      </c>
      <c r="AD129" s="74" t="e">
        <f t="shared" si="3"/>
        <v>#N/A</v>
      </c>
      <c r="AE129" s="79" t="e">
        <f>IF(VLOOKUP($AB129,変換表貼り付け用シート!$A$3:$AN$3000,12,FALSE)="","",(VLOOKUP($AB129,変換表貼り付け用シート!$A$3:$AN$3000,12,FALSE)))</f>
        <v>#N/A</v>
      </c>
      <c r="AF129" s="80" t="e">
        <f>IF(VLOOKUP($AB129,変換表貼り付け用シート!$A$3:$AN$3000,13,FALSE)="","",(VLOOKUP($AB129,変換表貼り付け用シート!$A$3:$AN$3000,13,FALSE)))</f>
        <v>#N/A</v>
      </c>
      <c r="AG129" s="80" t="e">
        <f>IF(VLOOKUP($AB129,変換表貼り付け用シート!$A$3:$AN$3000,14,FALSE)="","",(VLOOKUP($AB129,変換表貼り付け用シート!$A$3:$AN$3000,14,FALSE)))</f>
        <v>#N/A</v>
      </c>
      <c r="AH129" s="85" t="e">
        <f>IF(VLOOKUP($AB129,変換表貼り付け用シート!$A$3:$AN$3000,15,FALSE)="","",(VLOOKUP($AB129,変換表貼り付け用シート!$A$3:$AN$3000,15,FALSE)))</f>
        <v>#N/A</v>
      </c>
      <c r="AI129" s="79" t="e">
        <f>IF(VLOOKUP($AB129,変換表貼り付け用シート!$A$3:$AN$3000,16,FALSE)="","",(VLOOKUP($AB129,変換表貼り付け用シート!$A$3:$AN$3000,16,FALSE)))</f>
        <v>#N/A</v>
      </c>
      <c r="AJ129" s="81" t="e">
        <f>IF(VLOOKUP($AB129,変換表貼り付け用シート!$A$3:$AN$3000,17,FALSE)="","",(VLOOKUP($AB129,変換表貼り付け用シート!$A$3:$AN$3000,17,FALSE)))</f>
        <v>#N/A</v>
      </c>
      <c r="AK129" s="88" t="e">
        <f>IF(VLOOKUP($AB129,変換表貼り付け用シート!$A$3:$AN$3000,18,FALSE)="","",(VLOOKUP($AB129,変換表貼り付け用シート!$A$3:$AN$3000,18,FALSE)))</f>
        <v>#N/A</v>
      </c>
      <c r="AL129" s="81" t="e">
        <f>IF(VLOOKUP($AB129,変換表貼り付け用シート!$A$3:$AN$3000,19,FALSE)="","",(VLOOKUP($AB129,変換表貼り付け用シート!$A$3:$AN$3000,19,FALSE)))</f>
        <v>#N/A</v>
      </c>
      <c r="AM129" s="75" t="e">
        <f>IF(VLOOKUP($AB129,変換表貼り付け用シート!$A$3:$AN$3000,20,FALSE)="","",(VLOOKUP($AB129,変換表貼り付け用シート!$A$3:$AN$3000,20,FALSE)))</f>
        <v>#N/A</v>
      </c>
    </row>
    <row r="130" spans="2:39" ht="21" customHeight="1" x14ac:dyDescent="0.35">
      <c r="B130" s="39"/>
      <c r="C130" s="117" t="s">
        <v>834</v>
      </c>
      <c r="D130" s="96" t="s">
        <v>331</v>
      </c>
      <c r="E130" s="27" t="s">
        <v>44</v>
      </c>
      <c r="F130" s="37" t="s">
        <v>45</v>
      </c>
      <c r="G130" s="33" t="s">
        <v>206</v>
      </c>
      <c r="H130" s="27" t="s">
        <v>314</v>
      </c>
      <c r="I130" s="27" t="s">
        <v>206</v>
      </c>
      <c r="J130" s="37" t="s">
        <v>314</v>
      </c>
      <c r="K130" s="39" t="s">
        <v>68</v>
      </c>
      <c r="L130" s="28" t="s">
        <v>75</v>
      </c>
      <c r="M130" s="28" t="s">
        <v>48</v>
      </c>
      <c r="N130" s="41" t="s">
        <v>76</v>
      </c>
      <c r="O130" s="39">
        <v>240</v>
      </c>
      <c r="P130" s="28"/>
      <c r="Q130" s="28"/>
      <c r="R130" s="41"/>
      <c r="S130" s="39"/>
      <c r="T130" s="41"/>
      <c r="U130" s="39"/>
      <c r="V130" s="41"/>
      <c r="W130" s="43" t="s">
        <v>711</v>
      </c>
      <c r="X130" s="33"/>
      <c r="Y130" s="27"/>
      <c r="Z130" s="29"/>
      <c r="AB130" s="73" t="str">
        <f t="shared" si="2"/>
        <v>タイヤFR RRC (車両状態)空気圧－</v>
      </c>
      <c r="AC130" s="74" t="e">
        <f>VLOOKUP($AB130,変換表貼り付け用シート!$A$3:$AN$1133,3,FALSE)</f>
        <v>#N/A</v>
      </c>
      <c r="AD130" s="74" t="e">
        <f t="shared" si="3"/>
        <v>#N/A</v>
      </c>
      <c r="AE130" s="79" t="e">
        <f>IF(VLOOKUP($AB130,変換表貼り付け用シート!$A$3:$AN$3000,12,FALSE)="","",(VLOOKUP($AB130,変換表貼り付け用シート!$A$3:$AN$3000,12,FALSE)))</f>
        <v>#N/A</v>
      </c>
      <c r="AF130" s="80" t="e">
        <f>IF(VLOOKUP($AB130,変換表貼り付け用シート!$A$3:$AN$3000,13,FALSE)="","",(VLOOKUP($AB130,変換表貼り付け用シート!$A$3:$AN$3000,13,FALSE)))</f>
        <v>#N/A</v>
      </c>
      <c r="AG130" s="80" t="e">
        <f>IF(VLOOKUP($AB130,変換表貼り付け用シート!$A$3:$AN$3000,14,FALSE)="","",(VLOOKUP($AB130,変換表貼り付け用シート!$A$3:$AN$3000,14,FALSE)))</f>
        <v>#N/A</v>
      </c>
      <c r="AH130" s="85" t="e">
        <f>IF(VLOOKUP($AB130,変換表貼り付け用シート!$A$3:$AN$3000,15,FALSE)="","",(VLOOKUP($AB130,変換表貼り付け用シート!$A$3:$AN$3000,15,FALSE)))</f>
        <v>#N/A</v>
      </c>
      <c r="AI130" s="79" t="e">
        <f>IF(VLOOKUP($AB130,変換表貼り付け用シート!$A$3:$AN$3000,16,FALSE)="","",(VLOOKUP($AB130,変換表貼り付け用シート!$A$3:$AN$3000,16,FALSE)))</f>
        <v>#N/A</v>
      </c>
      <c r="AJ130" s="81" t="e">
        <f>IF(VLOOKUP($AB130,変換表貼り付け用シート!$A$3:$AN$3000,17,FALSE)="","",(VLOOKUP($AB130,変換表貼り付け用シート!$A$3:$AN$3000,17,FALSE)))</f>
        <v>#N/A</v>
      </c>
      <c r="AK130" s="88" t="e">
        <f>IF(VLOOKUP($AB130,変換表貼り付け用シート!$A$3:$AN$3000,18,FALSE)="","",(VLOOKUP($AB130,変換表貼り付け用シート!$A$3:$AN$3000,18,FALSE)))</f>
        <v>#N/A</v>
      </c>
      <c r="AL130" s="81" t="e">
        <f>IF(VLOOKUP($AB130,変換表貼り付け用シート!$A$3:$AN$3000,19,FALSE)="","",(VLOOKUP($AB130,変換表貼り付け用シート!$A$3:$AN$3000,19,FALSE)))</f>
        <v>#N/A</v>
      </c>
      <c r="AM130" s="75" t="e">
        <f>IF(VLOOKUP($AB130,変換表貼り付け用シート!$A$3:$AN$3000,20,FALSE)="","",(VLOOKUP($AB130,変換表貼り付け用シート!$A$3:$AN$3000,20,FALSE)))</f>
        <v>#N/A</v>
      </c>
    </row>
    <row r="131" spans="2:39" ht="21" customHeight="1" x14ac:dyDescent="0.35">
      <c r="B131" s="39"/>
      <c r="C131" s="117" t="s">
        <v>835</v>
      </c>
      <c r="D131" s="96" t="s">
        <v>332</v>
      </c>
      <c r="E131" s="27" t="s">
        <v>44</v>
      </c>
      <c r="F131" s="37" t="s">
        <v>45</v>
      </c>
      <c r="G131" s="33" t="s">
        <v>206</v>
      </c>
      <c r="H131" s="27" t="s">
        <v>314</v>
      </c>
      <c r="I131" s="27" t="s">
        <v>206</v>
      </c>
      <c r="J131" s="37" t="s">
        <v>314</v>
      </c>
      <c r="K131" s="39" t="s">
        <v>68</v>
      </c>
      <c r="L131" s="28" t="s">
        <v>77</v>
      </c>
      <c r="M131" s="28" t="s">
        <v>48</v>
      </c>
      <c r="N131" s="41" t="s">
        <v>78</v>
      </c>
      <c r="O131" s="39">
        <v>0.49</v>
      </c>
      <c r="P131" s="28"/>
      <c r="Q131" s="28"/>
      <c r="R131" s="41"/>
      <c r="S131" s="39"/>
      <c r="T131" s="41"/>
      <c r="U131" s="39"/>
      <c r="V131" s="41"/>
      <c r="W131" s="43" t="s">
        <v>711</v>
      </c>
      <c r="X131" s="33"/>
      <c r="Y131" s="27"/>
      <c r="Z131" s="29"/>
      <c r="AB131" s="73" t="str">
        <f t="shared" si="2"/>
        <v>タイヤFR イナーシャ(1本) －</v>
      </c>
      <c r="AC131" s="74" t="e">
        <f>VLOOKUP($AB131,変換表貼り付け用シート!$A$3:$AN$1133,3,FALSE)</f>
        <v>#N/A</v>
      </c>
      <c r="AD131" s="74" t="e">
        <f t="shared" si="3"/>
        <v>#N/A</v>
      </c>
      <c r="AE131" s="79" t="e">
        <f>IF(VLOOKUP($AB131,変換表貼り付け用シート!$A$3:$AN$3000,12,FALSE)="","",(VLOOKUP($AB131,変換表貼り付け用シート!$A$3:$AN$3000,12,FALSE)))</f>
        <v>#N/A</v>
      </c>
      <c r="AF131" s="80" t="e">
        <f>IF(VLOOKUP($AB131,変換表貼り付け用シート!$A$3:$AN$3000,13,FALSE)="","",(VLOOKUP($AB131,変換表貼り付け用シート!$A$3:$AN$3000,13,FALSE)))</f>
        <v>#N/A</v>
      </c>
      <c r="AG131" s="80" t="e">
        <f>IF(VLOOKUP($AB131,変換表貼り付け用シート!$A$3:$AN$3000,14,FALSE)="","",(VLOOKUP($AB131,変換表貼り付け用シート!$A$3:$AN$3000,14,FALSE)))</f>
        <v>#N/A</v>
      </c>
      <c r="AH131" s="85" t="e">
        <f>IF(VLOOKUP($AB131,変換表貼り付け用シート!$A$3:$AN$3000,15,FALSE)="","",(VLOOKUP($AB131,変換表貼り付け用シート!$A$3:$AN$3000,15,FALSE)))</f>
        <v>#N/A</v>
      </c>
      <c r="AI131" s="79" t="e">
        <f>IF(VLOOKUP($AB131,変換表貼り付け用シート!$A$3:$AN$3000,16,FALSE)="","",(VLOOKUP($AB131,変換表貼り付け用シート!$A$3:$AN$3000,16,FALSE)))</f>
        <v>#N/A</v>
      </c>
      <c r="AJ131" s="81" t="e">
        <f>IF(VLOOKUP($AB131,変換表貼り付け用シート!$A$3:$AN$3000,17,FALSE)="","",(VLOOKUP($AB131,変換表貼り付け用シート!$A$3:$AN$3000,17,FALSE)))</f>
        <v>#N/A</v>
      </c>
      <c r="AK131" s="88" t="e">
        <f>IF(VLOOKUP($AB131,変換表貼り付け用シート!$A$3:$AN$3000,18,FALSE)="","",(VLOOKUP($AB131,変換表貼り付け用シート!$A$3:$AN$3000,18,FALSE)))</f>
        <v>#N/A</v>
      </c>
      <c r="AL131" s="81" t="e">
        <f>IF(VLOOKUP($AB131,変換表貼り付け用シート!$A$3:$AN$3000,19,FALSE)="","",(VLOOKUP($AB131,変換表貼り付け用シート!$A$3:$AN$3000,19,FALSE)))</f>
        <v>#N/A</v>
      </c>
      <c r="AM131" s="75" t="e">
        <f>IF(VLOOKUP($AB131,変換表貼り付け用シート!$A$3:$AN$3000,20,FALSE)="","",(VLOOKUP($AB131,変換表貼り付け用シート!$A$3:$AN$3000,20,FALSE)))</f>
        <v>#N/A</v>
      </c>
    </row>
    <row r="132" spans="2:39" ht="21" customHeight="1" x14ac:dyDescent="0.35">
      <c r="B132" s="39"/>
      <c r="C132" s="117" t="s">
        <v>836</v>
      </c>
      <c r="D132" s="96" t="s">
        <v>333</v>
      </c>
      <c r="E132" s="27" t="s">
        <v>44</v>
      </c>
      <c r="F132" s="37" t="s">
        <v>45</v>
      </c>
      <c r="G132" s="33" t="s">
        <v>206</v>
      </c>
      <c r="H132" s="27" t="s">
        <v>314</v>
      </c>
      <c r="I132" s="27" t="s">
        <v>206</v>
      </c>
      <c r="J132" s="37" t="s">
        <v>314</v>
      </c>
      <c r="K132" s="39" t="s">
        <v>68</v>
      </c>
      <c r="L132" s="28" t="s">
        <v>79</v>
      </c>
      <c r="M132" s="28" t="s">
        <v>48</v>
      </c>
      <c r="N132" s="41" t="s">
        <v>48</v>
      </c>
      <c r="O132" s="39" t="s">
        <v>70</v>
      </c>
      <c r="P132" s="28"/>
      <c r="Q132" s="28"/>
      <c r="R132" s="41"/>
      <c r="S132" s="39"/>
      <c r="T132" s="41"/>
      <c r="U132" s="39"/>
      <c r="V132" s="41"/>
      <c r="W132" s="43" t="s">
        <v>711</v>
      </c>
      <c r="X132" s="33"/>
      <c r="Y132" s="27"/>
      <c r="Z132" s="29"/>
      <c r="AB132" s="73" t="str">
        <f t="shared" si="2"/>
        <v>タイヤRRサイズ－</v>
      </c>
      <c r="AC132" s="74" t="e">
        <f>VLOOKUP($AB132,変換表貼り付け用シート!$A$3:$AN$1133,3,FALSE)</f>
        <v>#N/A</v>
      </c>
      <c r="AD132" s="74" t="e">
        <f t="shared" si="3"/>
        <v>#N/A</v>
      </c>
      <c r="AE132" s="79" t="e">
        <f>IF(VLOOKUP($AB132,変換表貼り付け用シート!$A$3:$AN$3000,12,FALSE)="","",(VLOOKUP($AB132,変換表貼り付け用シート!$A$3:$AN$3000,12,FALSE)))</f>
        <v>#N/A</v>
      </c>
      <c r="AF132" s="80" t="e">
        <f>IF(VLOOKUP($AB132,変換表貼り付け用シート!$A$3:$AN$3000,13,FALSE)="","",(VLOOKUP($AB132,変換表貼り付け用シート!$A$3:$AN$3000,13,FALSE)))</f>
        <v>#N/A</v>
      </c>
      <c r="AG132" s="80" t="e">
        <f>IF(VLOOKUP($AB132,変換表貼り付け用シート!$A$3:$AN$3000,14,FALSE)="","",(VLOOKUP($AB132,変換表貼り付け用シート!$A$3:$AN$3000,14,FALSE)))</f>
        <v>#N/A</v>
      </c>
      <c r="AH132" s="85" t="e">
        <f>IF(VLOOKUP($AB132,変換表貼り付け用シート!$A$3:$AN$3000,15,FALSE)="","",(VLOOKUP($AB132,変換表貼り付け用シート!$A$3:$AN$3000,15,FALSE)))</f>
        <v>#N/A</v>
      </c>
      <c r="AI132" s="79" t="e">
        <f>IF(VLOOKUP($AB132,変換表貼り付け用シート!$A$3:$AN$3000,16,FALSE)="","",(VLOOKUP($AB132,変換表貼り付け用シート!$A$3:$AN$3000,16,FALSE)))</f>
        <v>#N/A</v>
      </c>
      <c r="AJ132" s="81" t="e">
        <f>IF(VLOOKUP($AB132,変換表貼り付け用シート!$A$3:$AN$3000,17,FALSE)="","",(VLOOKUP($AB132,変換表貼り付け用シート!$A$3:$AN$3000,17,FALSE)))</f>
        <v>#N/A</v>
      </c>
      <c r="AK132" s="88" t="e">
        <f>IF(VLOOKUP($AB132,変換表貼り付け用シート!$A$3:$AN$3000,18,FALSE)="","",(VLOOKUP($AB132,変換表貼り付け用シート!$A$3:$AN$3000,18,FALSE)))</f>
        <v>#N/A</v>
      </c>
      <c r="AL132" s="81" t="e">
        <f>IF(VLOOKUP($AB132,変換表貼り付け用シート!$A$3:$AN$3000,19,FALSE)="","",(VLOOKUP($AB132,変換表貼り付け用シート!$A$3:$AN$3000,19,FALSE)))</f>
        <v>#N/A</v>
      </c>
      <c r="AM132" s="75" t="e">
        <f>IF(VLOOKUP($AB132,変換表貼り付け用シート!$A$3:$AN$3000,20,FALSE)="","",(VLOOKUP($AB132,変換表貼り付け用シート!$A$3:$AN$3000,20,FALSE)))</f>
        <v>#N/A</v>
      </c>
    </row>
    <row r="133" spans="2:39" ht="21" customHeight="1" x14ac:dyDescent="0.35">
      <c r="B133" s="39"/>
      <c r="C133" s="117" t="s">
        <v>837</v>
      </c>
      <c r="D133" s="96" t="s">
        <v>334</v>
      </c>
      <c r="E133" s="27" t="s">
        <v>44</v>
      </c>
      <c r="F133" s="37" t="s">
        <v>45</v>
      </c>
      <c r="G133" s="33" t="s">
        <v>206</v>
      </c>
      <c r="H133" s="27" t="s">
        <v>314</v>
      </c>
      <c r="I133" s="27" t="s">
        <v>206</v>
      </c>
      <c r="J133" s="37" t="s">
        <v>314</v>
      </c>
      <c r="K133" s="39" t="s">
        <v>68</v>
      </c>
      <c r="L133" s="28" t="s">
        <v>80</v>
      </c>
      <c r="M133" s="28" t="s">
        <v>48</v>
      </c>
      <c r="N133" s="41" t="s">
        <v>72</v>
      </c>
      <c r="O133" s="39">
        <v>0.27100000000000002</v>
      </c>
      <c r="P133" s="28"/>
      <c r="Q133" s="28"/>
      <c r="R133" s="41"/>
      <c r="S133" s="39"/>
      <c r="T133" s="41"/>
      <c r="U133" s="39"/>
      <c r="V133" s="41"/>
      <c r="W133" s="43" t="s">
        <v>711</v>
      </c>
      <c r="X133" s="33"/>
      <c r="Y133" s="27"/>
      <c r="Z133" s="29"/>
      <c r="AB133" s="73" t="str">
        <f t="shared" si="2"/>
        <v>タイヤRR動半径－</v>
      </c>
      <c r="AC133" s="74" t="e">
        <f>VLOOKUP($AB133,変換表貼り付け用シート!$A$3:$AN$1133,3,FALSE)</f>
        <v>#N/A</v>
      </c>
      <c r="AD133" s="74" t="e">
        <f t="shared" si="3"/>
        <v>#N/A</v>
      </c>
      <c r="AE133" s="79" t="e">
        <f>IF(VLOOKUP($AB133,変換表貼り付け用シート!$A$3:$AN$3000,12,FALSE)="","",(VLOOKUP($AB133,変換表貼り付け用シート!$A$3:$AN$3000,12,FALSE)))</f>
        <v>#N/A</v>
      </c>
      <c r="AF133" s="80" t="e">
        <f>IF(VLOOKUP($AB133,変換表貼り付け用シート!$A$3:$AN$3000,13,FALSE)="","",(VLOOKUP($AB133,変換表貼り付け用シート!$A$3:$AN$3000,13,FALSE)))</f>
        <v>#N/A</v>
      </c>
      <c r="AG133" s="80" t="e">
        <f>IF(VLOOKUP($AB133,変換表貼り付け用シート!$A$3:$AN$3000,14,FALSE)="","",(VLOOKUP($AB133,変換表貼り付け用シート!$A$3:$AN$3000,14,FALSE)))</f>
        <v>#N/A</v>
      </c>
      <c r="AH133" s="85" t="e">
        <f>IF(VLOOKUP($AB133,変換表貼り付け用シート!$A$3:$AN$3000,15,FALSE)="","",(VLOOKUP($AB133,変換表貼り付け用シート!$A$3:$AN$3000,15,FALSE)))</f>
        <v>#N/A</v>
      </c>
      <c r="AI133" s="79" t="e">
        <f>IF(VLOOKUP($AB133,変換表貼り付け用シート!$A$3:$AN$3000,16,FALSE)="","",(VLOOKUP($AB133,変換表貼り付け用シート!$A$3:$AN$3000,16,FALSE)))</f>
        <v>#N/A</v>
      </c>
      <c r="AJ133" s="81" t="e">
        <f>IF(VLOOKUP($AB133,変換表貼り付け用シート!$A$3:$AN$3000,17,FALSE)="","",(VLOOKUP($AB133,変換表貼り付け用シート!$A$3:$AN$3000,17,FALSE)))</f>
        <v>#N/A</v>
      </c>
      <c r="AK133" s="88" t="e">
        <f>IF(VLOOKUP($AB133,変換表貼り付け用シート!$A$3:$AN$3000,18,FALSE)="","",(VLOOKUP($AB133,変換表貼り付け用シート!$A$3:$AN$3000,18,FALSE)))</f>
        <v>#N/A</v>
      </c>
      <c r="AL133" s="81" t="e">
        <f>IF(VLOOKUP($AB133,変換表貼り付け用シート!$A$3:$AN$3000,19,FALSE)="","",(VLOOKUP($AB133,変換表貼り付け用シート!$A$3:$AN$3000,19,FALSE)))</f>
        <v>#N/A</v>
      </c>
      <c r="AM133" s="75" t="e">
        <f>IF(VLOOKUP($AB133,変換表貼り付け用シート!$A$3:$AN$3000,20,FALSE)="","",(VLOOKUP($AB133,変換表貼り付け用シート!$A$3:$AN$3000,20,FALSE)))</f>
        <v>#N/A</v>
      </c>
    </row>
    <row r="134" spans="2:39" ht="21" customHeight="1" x14ac:dyDescent="0.35">
      <c r="B134" s="39"/>
      <c r="C134" s="117" t="s">
        <v>838</v>
      </c>
      <c r="D134" s="96" t="s">
        <v>335</v>
      </c>
      <c r="E134" s="27" t="s">
        <v>44</v>
      </c>
      <c r="F134" s="37" t="s">
        <v>45</v>
      </c>
      <c r="G134" s="33" t="s">
        <v>206</v>
      </c>
      <c r="H134" s="27" t="s">
        <v>314</v>
      </c>
      <c r="I134" s="27" t="s">
        <v>206</v>
      </c>
      <c r="J134" s="37" t="s">
        <v>314</v>
      </c>
      <c r="K134" s="39" t="s">
        <v>68</v>
      </c>
      <c r="L134" s="28" t="s">
        <v>81</v>
      </c>
      <c r="M134" s="28" t="s">
        <v>48</v>
      </c>
      <c r="N134" s="41" t="s">
        <v>48</v>
      </c>
      <c r="O134" s="39" t="s">
        <v>57</v>
      </c>
      <c r="P134" s="28"/>
      <c r="Q134" s="28"/>
      <c r="R134" s="41"/>
      <c r="S134" s="39"/>
      <c r="T134" s="41"/>
      <c r="U134" s="39"/>
      <c r="V134" s="41"/>
      <c r="W134" s="43" t="s">
        <v>711</v>
      </c>
      <c r="X134" s="33"/>
      <c r="Y134" s="27"/>
      <c r="Z134" s="29"/>
      <c r="AB134" s="73" t="str">
        <f t="shared" si="2"/>
        <v>タイヤRR RRC (ISO 28560 80kmh,210kPa)－</v>
      </c>
      <c r="AC134" s="74" t="e">
        <f>VLOOKUP($AB134,変換表貼り付け用シート!$A$3:$AN$1133,3,FALSE)</f>
        <v>#N/A</v>
      </c>
      <c r="AD134" s="74" t="e">
        <f t="shared" si="3"/>
        <v>#N/A</v>
      </c>
      <c r="AE134" s="79" t="e">
        <f>IF(VLOOKUP($AB134,変換表貼り付け用シート!$A$3:$AN$3000,12,FALSE)="","",(VLOOKUP($AB134,変換表貼り付け用シート!$A$3:$AN$3000,12,FALSE)))</f>
        <v>#N/A</v>
      </c>
      <c r="AF134" s="80" t="e">
        <f>IF(VLOOKUP($AB134,変換表貼り付け用シート!$A$3:$AN$3000,13,FALSE)="","",(VLOOKUP($AB134,変換表貼り付け用シート!$A$3:$AN$3000,13,FALSE)))</f>
        <v>#N/A</v>
      </c>
      <c r="AG134" s="80" t="e">
        <f>IF(VLOOKUP($AB134,変換表貼り付け用シート!$A$3:$AN$3000,14,FALSE)="","",(VLOOKUP($AB134,変換表貼り付け用シート!$A$3:$AN$3000,14,FALSE)))</f>
        <v>#N/A</v>
      </c>
      <c r="AH134" s="85" t="e">
        <f>IF(VLOOKUP($AB134,変換表貼り付け用シート!$A$3:$AN$3000,15,FALSE)="","",(VLOOKUP($AB134,変換表貼り付け用シート!$A$3:$AN$3000,15,FALSE)))</f>
        <v>#N/A</v>
      </c>
      <c r="AI134" s="79" t="e">
        <f>IF(VLOOKUP($AB134,変換表貼り付け用シート!$A$3:$AN$3000,16,FALSE)="","",(VLOOKUP($AB134,変換表貼り付け用シート!$A$3:$AN$3000,16,FALSE)))</f>
        <v>#N/A</v>
      </c>
      <c r="AJ134" s="81" t="e">
        <f>IF(VLOOKUP($AB134,変換表貼り付け用シート!$A$3:$AN$3000,17,FALSE)="","",(VLOOKUP($AB134,変換表貼り付け用シート!$A$3:$AN$3000,17,FALSE)))</f>
        <v>#N/A</v>
      </c>
      <c r="AK134" s="88" t="e">
        <f>IF(VLOOKUP($AB134,変換表貼り付け用シート!$A$3:$AN$3000,18,FALSE)="","",(VLOOKUP($AB134,変換表貼り付け用シート!$A$3:$AN$3000,18,FALSE)))</f>
        <v>#N/A</v>
      </c>
      <c r="AL134" s="81" t="e">
        <f>IF(VLOOKUP($AB134,変換表貼り付け用シート!$A$3:$AN$3000,19,FALSE)="","",(VLOOKUP($AB134,変換表貼り付け用シート!$A$3:$AN$3000,19,FALSE)))</f>
        <v>#N/A</v>
      </c>
      <c r="AM134" s="75" t="e">
        <f>IF(VLOOKUP($AB134,変換表貼り付け用シート!$A$3:$AN$3000,20,FALSE)="","",(VLOOKUP($AB134,変換表貼り付け用シート!$A$3:$AN$3000,20,FALSE)))</f>
        <v>#N/A</v>
      </c>
    </row>
    <row r="135" spans="2:39" ht="21" customHeight="1" x14ac:dyDescent="0.35">
      <c r="B135" s="39"/>
      <c r="C135" s="117" t="s">
        <v>839</v>
      </c>
      <c r="D135" s="96" t="s">
        <v>336</v>
      </c>
      <c r="E135" s="27" t="s">
        <v>44</v>
      </c>
      <c r="F135" s="37" t="s">
        <v>45</v>
      </c>
      <c r="G135" s="33" t="s">
        <v>206</v>
      </c>
      <c r="H135" s="27" t="s">
        <v>314</v>
      </c>
      <c r="I135" s="27" t="s">
        <v>206</v>
      </c>
      <c r="J135" s="37" t="s">
        <v>314</v>
      </c>
      <c r="K135" s="39" t="s">
        <v>68</v>
      </c>
      <c r="L135" s="28" t="s">
        <v>82</v>
      </c>
      <c r="M135" s="28" t="s">
        <v>48</v>
      </c>
      <c r="N135" s="41" t="s">
        <v>48</v>
      </c>
      <c r="O135" s="39">
        <v>68</v>
      </c>
      <c r="P135" s="28"/>
      <c r="Q135" s="28"/>
      <c r="R135" s="41"/>
      <c r="S135" s="39"/>
      <c r="T135" s="41"/>
      <c r="U135" s="39"/>
      <c r="V135" s="41"/>
      <c r="W135" s="43" t="s">
        <v>711</v>
      </c>
      <c r="X135" s="33"/>
      <c r="Y135" s="27"/>
      <c r="Z135" s="29"/>
      <c r="AB135" s="73" t="str">
        <f t="shared" si="2"/>
        <v>タイヤRR RRC (車両状態)－</v>
      </c>
      <c r="AC135" s="74" t="e">
        <f>VLOOKUP($AB135,変換表貼り付け用シート!$A$3:$AN$1133,3,FALSE)</f>
        <v>#N/A</v>
      </c>
      <c r="AD135" s="74" t="e">
        <f t="shared" si="3"/>
        <v>#N/A</v>
      </c>
      <c r="AE135" s="79" t="e">
        <f>IF(VLOOKUP($AB135,変換表貼り付け用シート!$A$3:$AN$3000,12,FALSE)="","",(VLOOKUP($AB135,変換表貼り付け用シート!$A$3:$AN$3000,12,FALSE)))</f>
        <v>#N/A</v>
      </c>
      <c r="AF135" s="80" t="e">
        <f>IF(VLOOKUP($AB135,変換表貼り付け用シート!$A$3:$AN$3000,13,FALSE)="","",(VLOOKUP($AB135,変換表貼り付け用シート!$A$3:$AN$3000,13,FALSE)))</f>
        <v>#N/A</v>
      </c>
      <c r="AG135" s="80" t="e">
        <f>IF(VLOOKUP($AB135,変換表貼り付け用シート!$A$3:$AN$3000,14,FALSE)="","",(VLOOKUP($AB135,変換表貼り付け用シート!$A$3:$AN$3000,14,FALSE)))</f>
        <v>#N/A</v>
      </c>
      <c r="AH135" s="85" t="e">
        <f>IF(VLOOKUP($AB135,変換表貼り付け用シート!$A$3:$AN$3000,15,FALSE)="","",(VLOOKUP($AB135,変換表貼り付け用シート!$A$3:$AN$3000,15,FALSE)))</f>
        <v>#N/A</v>
      </c>
      <c r="AI135" s="79" t="e">
        <f>IF(VLOOKUP($AB135,変換表貼り付け用シート!$A$3:$AN$3000,16,FALSE)="","",(VLOOKUP($AB135,変換表貼り付け用シート!$A$3:$AN$3000,16,FALSE)))</f>
        <v>#N/A</v>
      </c>
      <c r="AJ135" s="81" t="e">
        <f>IF(VLOOKUP($AB135,変換表貼り付け用シート!$A$3:$AN$3000,17,FALSE)="","",(VLOOKUP($AB135,変換表貼り付け用シート!$A$3:$AN$3000,17,FALSE)))</f>
        <v>#N/A</v>
      </c>
      <c r="AK135" s="88" t="e">
        <f>IF(VLOOKUP($AB135,変換表貼り付け用シート!$A$3:$AN$3000,18,FALSE)="","",(VLOOKUP($AB135,変換表貼り付け用シート!$A$3:$AN$3000,18,FALSE)))</f>
        <v>#N/A</v>
      </c>
      <c r="AL135" s="81" t="e">
        <f>IF(VLOOKUP($AB135,変換表貼り付け用シート!$A$3:$AN$3000,19,FALSE)="","",(VLOOKUP($AB135,変換表貼り付け用シート!$A$3:$AN$3000,19,FALSE)))</f>
        <v>#N/A</v>
      </c>
      <c r="AM135" s="75" t="e">
        <f>IF(VLOOKUP($AB135,変換表貼り付け用シート!$A$3:$AN$3000,20,FALSE)="","",(VLOOKUP($AB135,変換表貼り付け用シート!$A$3:$AN$3000,20,FALSE)))</f>
        <v>#N/A</v>
      </c>
    </row>
    <row r="136" spans="2:39" ht="21" customHeight="1" x14ac:dyDescent="0.35">
      <c r="B136" s="39"/>
      <c r="C136" s="117" t="s">
        <v>840</v>
      </c>
      <c r="D136" s="96" t="s">
        <v>337</v>
      </c>
      <c r="E136" s="27" t="s">
        <v>44</v>
      </c>
      <c r="F136" s="37" t="s">
        <v>45</v>
      </c>
      <c r="G136" s="33" t="s">
        <v>206</v>
      </c>
      <c r="H136" s="27" t="s">
        <v>314</v>
      </c>
      <c r="I136" s="27" t="s">
        <v>206</v>
      </c>
      <c r="J136" s="37" t="s">
        <v>314</v>
      </c>
      <c r="K136" s="39" t="s">
        <v>68</v>
      </c>
      <c r="L136" s="28" t="s">
        <v>83</v>
      </c>
      <c r="M136" s="28" t="s">
        <v>48</v>
      </c>
      <c r="N136" s="41" t="s">
        <v>76</v>
      </c>
      <c r="O136" s="39">
        <v>240</v>
      </c>
      <c r="P136" s="28"/>
      <c r="Q136" s="28"/>
      <c r="R136" s="41"/>
      <c r="S136" s="39"/>
      <c r="T136" s="41"/>
      <c r="U136" s="39"/>
      <c r="V136" s="41"/>
      <c r="W136" s="43" t="s">
        <v>711</v>
      </c>
      <c r="X136" s="33"/>
      <c r="Y136" s="27"/>
      <c r="Z136" s="29"/>
      <c r="AB136" s="73" t="str">
        <f t="shared" si="2"/>
        <v>タイヤRR RRC (車両状態)空気圧－</v>
      </c>
      <c r="AC136" s="74" t="e">
        <f>VLOOKUP($AB136,変換表貼り付け用シート!$A$3:$AN$1133,3,FALSE)</f>
        <v>#N/A</v>
      </c>
      <c r="AD136" s="74" t="e">
        <f t="shared" si="3"/>
        <v>#N/A</v>
      </c>
      <c r="AE136" s="79" t="e">
        <f>IF(VLOOKUP($AB136,変換表貼り付け用シート!$A$3:$AN$3000,12,FALSE)="","",(VLOOKUP($AB136,変換表貼り付け用シート!$A$3:$AN$3000,12,FALSE)))</f>
        <v>#N/A</v>
      </c>
      <c r="AF136" s="80" t="e">
        <f>IF(VLOOKUP($AB136,変換表貼り付け用シート!$A$3:$AN$3000,13,FALSE)="","",(VLOOKUP($AB136,変換表貼り付け用シート!$A$3:$AN$3000,13,FALSE)))</f>
        <v>#N/A</v>
      </c>
      <c r="AG136" s="80" t="e">
        <f>IF(VLOOKUP($AB136,変換表貼り付け用シート!$A$3:$AN$3000,14,FALSE)="","",(VLOOKUP($AB136,変換表貼り付け用シート!$A$3:$AN$3000,14,FALSE)))</f>
        <v>#N/A</v>
      </c>
      <c r="AH136" s="85" t="e">
        <f>IF(VLOOKUP($AB136,変換表貼り付け用シート!$A$3:$AN$3000,15,FALSE)="","",(VLOOKUP($AB136,変換表貼り付け用シート!$A$3:$AN$3000,15,FALSE)))</f>
        <v>#N/A</v>
      </c>
      <c r="AI136" s="79" t="e">
        <f>IF(VLOOKUP($AB136,変換表貼り付け用シート!$A$3:$AN$3000,16,FALSE)="","",(VLOOKUP($AB136,変換表貼り付け用シート!$A$3:$AN$3000,16,FALSE)))</f>
        <v>#N/A</v>
      </c>
      <c r="AJ136" s="81" t="e">
        <f>IF(VLOOKUP($AB136,変換表貼り付け用シート!$A$3:$AN$3000,17,FALSE)="","",(VLOOKUP($AB136,変換表貼り付け用シート!$A$3:$AN$3000,17,FALSE)))</f>
        <v>#N/A</v>
      </c>
      <c r="AK136" s="88" t="e">
        <f>IF(VLOOKUP($AB136,変換表貼り付け用シート!$A$3:$AN$3000,18,FALSE)="","",(VLOOKUP($AB136,変換表貼り付け用シート!$A$3:$AN$3000,18,FALSE)))</f>
        <v>#N/A</v>
      </c>
      <c r="AL136" s="81" t="e">
        <f>IF(VLOOKUP($AB136,変換表貼り付け用シート!$A$3:$AN$3000,19,FALSE)="","",(VLOOKUP($AB136,変換表貼り付け用シート!$A$3:$AN$3000,19,FALSE)))</f>
        <v>#N/A</v>
      </c>
      <c r="AM136" s="75" t="e">
        <f>IF(VLOOKUP($AB136,変換表貼り付け用シート!$A$3:$AN$3000,20,FALSE)="","",(VLOOKUP($AB136,変換表貼り付け用シート!$A$3:$AN$3000,20,FALSE)))</f>
        <v>#N/A</v>
      </c>
    </row>
    <row r="137" spans="2:39" ht="21" customHeight="1" x14ac:dyDescent="0.35">
      <c r="B137" s="39"/>
      <c r="C137" s="117" t="s">
        <v>841</v>
      </c>
      <c r="D137" s="96" t="s">
        <v>338</v>
      </c>
      <c r="E137" s="27" t="s">
        <v>44</v>
      </c>
      <c r="F137" s="37" t="s">
        <v>45</v>
      </c>
      <c r="G137" s="33" t="s">
        <v>206</v>
      </c>
      <c r="H137" s="27" t="s">
        <v>314</v>
      </c>
      <c r="I137" s="27" t="s">
        <v>206</v>
      </c>
      <c r="J137" s="37" t="s">
        <v>314</v>
      </c>
      <c r="K137" s="39" t="s">
        <v>68</v>
      </c>
      <c r="L137" s="28" t="s">
        <v>84</v>
      </c>
      <c r="M137" s="28" t="s">
        <v>48</v>
      </c>
      <c r="N137" s="41" t="s">
        <v>78</v>
      </c>
      <c r="O137" s="39">
        <v>0.49</v>
      </c>
      <c r="P137" s="28"/>
      <c r="Q137" s="28"/>
      <c r="R137" s="41"/>
      <c r="S137" s="39"/>
      <c r="T137" s="41"/>
      <c r="U137" s="39"/>
      <c r="V137" s="41"/>
      <c r="W137" s="43" t="s">
        <v>711</v>
      </c>
      <c r="X137" s="33"/>
      <c r="Y137" s="27"/>
      <c r="Z137" s="29"/>
      <c r="AB137" s="73" t="str">
        <f t="shared" si="2"/>
        <v>タイヤRR イナーシャ(1本) －</v>
      </c>
      <c r="AC137" s="74" t="e">
        <f>VLOOKUP($AB137,変換表貼り付け用シート!$A$3:$AN$1133,3,FALSE)</f>
        <v>#N/A</v>
      </c>
      <c r="AD137" s="74" t="e">
        <f t="shared" si="3"/>
        <v>#N/A</v>
      </c>
      <c r="AE137" s="79" t="e">
        <f>IF(VLOOKUP($AB137,変換表貼り付け用シート!$A$3:$AN$3000,12,FALSE)="","",(VLOOKUP($AB137,変換表貼り付け用シート!$A$3:$AN$3000,12,FALSE)))</f>
        <v>#N/A</v>
      </c>
      <c r="AF137" s="80" t="e">
        <f>IF(VLOOKUP($AB137,変換表貼り付け用シート!$A$3:$AN$3000,13,FALSE)="","",(VLOOKUP($AB137,変換表貼り付け用シート!$A$3:$AN$3000,13,FALSE)))</f>
        <v>#N/A</v>
      </c>
      <c r="AG137" s="80" t="e">
        <f>IF(VLOOKUP($AB137,変換表貼り付け用シート!$A$3:$AN$3000,14,FALSE)="","",(VLOOKUP($AB137,変換表貼り付け用シート!$A$3:$AN$3000,14,FALSE)))</f>
        <v>#N/A</v>
      </c>
      <c r="AH137" s="85" t="e">
        <f>IF(VLOOKUP($AB137,変換表貼り付け用シート!$A$3:$AN$3000,15,FALSE)="","",(VLOOKUP($AB137,変換表貼り付け用シート!$A$3:$AN$3000,15,FALSE)))</f>
        <v>#N/A</v>
      </c>
      <c r="AI137" s="79" t="e">
        <f>IF(VLOOKUP($AB137,変換表貼り付け用シート!$A$3:$AN$3000,16,FALSE)="","",(VLOOKUP($AB137,変換表貼り付け用シート!$A$3:$AN$3000,16,FALSE)))</f>
        <v>#N/A</v>
      </c>
      <c r="AJ137" s="81" t="e">
        <f>IF(VLOOKUP($AB137,変換表貼り付け用シート!$A$3:$AN$3000,17,FALSE)="","",(VLOOKUP($AB137,変換表貼り付け用シート!$A$3:$AN$3000,17,FALSE)))</f>
        <v>#N/A</v>
      </c>
      <c r="AK137" s="88" t="e">
        <f>IF(VLOOKUP($AB137,変換表貼り付け用シート!$A$3:$AN$3000,18,FALSE)="","",(VLOOKUP($AB137,変換表貼り付け用シート!$A$3:$AN$3000,18,FALSE)))</f>
        <v>#N/A</v>
      </c>
      <c r="AL137" s="81" t="e">
        <f>IF(VLOOKUP($AB137,変換表貼り付け用シート!$A$3:$AN$3000,19,FALSE)="","",(VLOOKUP($AB137,変換表貼り付け用シート!$A$3:$AN$3000,19,FALSE)))</f>
        <v>#N/A</v>
      </c>
      <c r="AM137" s="75" t="e">
        <f>IF(VLOOKUP($AB137,変換表貼り付け用シート!$A$3:$AN$3000,20,FALSE)="","",(VLOOKUP($AB137,変換表貼り付け用シート!$A$3:$AN$3000,20,FALSE)))</f>
        <v>#N/A</v>
      </c>
    </row>
    <row r="138" spans="2:39" ht="21" customHeight="1" x14ac:dyDescent="0.35">
      <c r="B138" s="39"/>
      <c r="C138" s="117" t="s">
        <v>842</v>
      </c>
      <c r="D138" s="96" t="s">
        <v>339</v>
      </c>
      <c r="E138" s="27" t="s">
        <v>44</v>
      </c>
      <c r="F138" s="37" t="s">
        <v>45</v>
      </c>
      <c r="G138" s="33" t="s">
        <v>206</v>
      </c>
      <c r="H138" s="27" t="s">
        <v>314</v>
      </c>
      <c r="I138" s="27" t="s">
        <v>206</v>
      </c>
      <c r="J138" s="37" t="s">
        <v>314</v>
      </c>
      <c r="K138" s="39" t="s">
        <v>85</v>
      </c>
      <c r="L138" s="28" t="s">
        <v>86</v>
      </c>
      <c r="M138" s="28" t="s">
        <v>48</v>
      </c>
      <c r="N138" s="41" t="s">
        <v>48</v>
      </c>
      <c r="O138" s="39" t="s">
        <v>57</v>
      </c>
      <c r="P138" s="28"/>
      <c r="Q138" s="28"/>
      <c r="R138" s="41"/>
      <c r="S138" s="39"/>
      <c r="T138" s="41"/>
      <c r="U138" s="39"/>
      <c r="V138" s="41"/>
      <c r="W138" s="43" t="s">
        <v>711</v>
      </c>
      <c r="X138" s="33"/>
      <c r="Y138" s="27"/>
      <c r="Z138" s="29"/>
      <c r="AB138" s="73" t="str">
        <f t="shared" ref="AB138:AB201" si="4">K138&amp;L138&amp;M138</f>
        <v>ホイール仕様－</v>
      </c>
      <c r="AC138" s="74" t="e">
        <f>VLOOKUP($AB138,変換表貼り付け用シート!$A$3:$AN$1133,3,FALSE)</f>
        <v>#N/A</v>
      </c>
      <c r="AD138" s="74" t="e">
        <f t="shared" ref="AD138:AD201" si="5">IF(AE138&amp;AF138&amp;AG138&amp;AH138&amp;AI138&amp;AJ138&amp;AK138&amp;AL138&amp;AM138=O138&amp;P138&amp;Q138&amp;R138&amp;S138&amp;T138&amp;U138&amp;V138&amp;W138,"","更新")</f>
        <v>#N/A</v>
      </c>
      <c r="AE138" s="79" t="e">
        <f>IF(VLOOKUP($AB138,変換表貼り付け用シート!$A$3:$AN$3000,12,FALSE)="","",(VLOOKUP($AB138,変換表貼り付け用シート!$A$3:$AN$3000,12,FALSE)))</f>
        <v>#N/A</v>
      </c>
      <c r="AF138" s="80" t="e">
        <f>IF(VLOOKUP($AB138,変換表貼り付け用シート!$A$3:$AN$3000,13,FALSE)="","",(VLOOKUP($AB138,変換表貼り付け用シート!$A$3:$AN$3000,13,FALSE)))</f>
        <v>#N/A</v>
      </c>
      <c r="AG138" s="80" t="e">
        <f>IF(VLOOKUP($AB138,変換表貼り付け用シート!$A$3:$AN$3000,14,FALSE)="","",(VLOOKUP($AB138,変換表貼り付け用シート!$A$3:$AN$3000,14,FALSE)))</f>
        <v>#N/A</v>
      </c>
      <c r="AH138" s="85" t="e">
        <f>IF(VLOOKUP($AB138,変換表貼り付け用シート!$A$3:$AN$3000,15,FALSE)="","",(VLOOKUP($AB138,変換表貼り付け用シート!$A$3:$AN$3000,15,FALSE)))</f>
        <v>#N/A</v>
      </c>
      <c r="AI138" s="79" t="e">
        <f>IF(VLOOKUP($AB138,変換表貼り付け用シート!$A$3:$AN$3000,16,FALSE)="","",(VLOOKUP($AB138,変換表貼り付け用シート!$A$3:$AN$3000,16,FALSE)))</f>
        <v>#N/A</v>
      </c>
      <c r="AJ138" s="81" t="e">
        <f>IF(VLOOKUP($AB138,変換表貼り付け用シート!$A$3:$AN$3000,17,FALSE)="","",(VLOOKUP($AB138,変換表貼り付け用シート!$A$3:$AN$3000,17,FALSE)))</f>
        <v>#N/A</v>
      </c>
      <c r="AK138" s="88" t="e">
        <f>IF(VLOOKUP($AB138,変換表貼り付け用シート!$A$3:$AN$3000,18,FALSE)="","",(VLOOKUP($AB138,変換表貼り付け用シート!$A$3:$AN$3000,18,FALSE)))</f>
        <v>#N/A</v>
      </c>
      <c r="AL138" s="81" t="e">
        <f>IF(VLOOKUP($AB138,変換表貼り付け用シート!$A$3:$AN$3000,19,FALSE)="","",(VLOOKUP($AB138,変換表貼り付け用シート!$A$3:$AN$3000,19,FALSE)))</f>
        <v>#N/A</v>
      </c>
      <c r="AM138" s="75" t="e">
        <f>IF(VLOOKUP($AB138,変換表貼り付け用シート!$A$3:$AN$3000,20,FALSE)="","",(VLOOKUP($AB138,変換表貼り付け用シート!$A$3:$AN$3000,20,FALSE)))</f>
        <v>#N/A</v>
      </c>
    </row>
    <row r="139" spans="2:39" ht="21" customHeight="1" x14ac:dyDescent="0.35">
      <c r="B139" s="39"/>
      <c r="C139" s="117" t="s">
        <v>843</v>
      </c>
      <c r="D139" s="96" t="s">
        <v>340</v>
      </c>
      <c r="E139" s="27" t="s">
        <v>44</v>
      </c>
      <c r="F139" s="37" t="s">
        <v>45</v>
      </c>
      <c r="G139" s="33" t="s">
        <v>206</v>
      </c>
      <c r="H139" s="27" t="s">
        <v>314</v>
      </c>
      <c r="I139" s="27" t="s">
        <v>206</v>
      </c>
      <c r="J139" s="37" t="s">
        <v>314</v>
      </c>
      <c r="K139" s="39" t="s">
        <v>85</v>
      </c>
      <c r="L139" s="28" t="s">
        <v>87</v>
      </c>
      <c r="M139" s="28" t="s">
        <v>48</v>
      </c>
      <c r="N139" s="41" t="s">
        <v>78</v>
      </c>
      <c r="O139" s="39" t="s">
        <v>53</v>
      </c>
      <c r="P139" s="28"/>
      <c r="Q139" s="28"/>
      <c r="R139" s="41"/>
      <c r="S139" s="39"/>
      <c r="T139" s="41"/>
      <c r="U139" s="39"/>
      <c r="V139" s="41"/>
      <c r="W139" s="43" t="s">
        <v>711</v>
      </c>
      <c r="X139" s="33"/>
      <c r="Y139" s="27"/>
      <c r="Z139" s="29"/>
      <c r="AB139" s="73" t="str">
        <f t="shared" si="4"/>
        <v>ホイールイナーシャ(1本)－</v>
      </c>
      <c r="AC139" s="74" t="e">
        <f>VLOOKUP($AB139,変換表貼り付け用シート!$A$3:$AN$1133,3,FALSE)</f>
        <v>#N/A</v>
      </c>
      <c r="AD139" s="74" t="e">
        <f t="shared" si="5"/>
        <v>#N/A</v>
      </c>
      <c r="AE139" s="79" t="e">
        <f>IF(VLOOKUP($AB139,変換表貼り付け用シート!$A$3:$AN$3000,12,FALSE)="","",(VLOOKUP($AB139,変換表貼り付け用シート!$A$3:$AN$3000,12,FALSE)))</f>
        <v>#N/A</v>
      </c>
      <c r="AF139" s="80" t="e">
        <f>IF(VLOOKUP($AB139,変換表貼り付け用シート!$A$3:$AN$3000,13,FALSE)="","",(VLOOKUP($AB139,変換表貼り付け用シート!$A$3:$AN$3000,13,FALSE)))</f>
        <v>#N/A</v>
      </c>
      <c r="AG139" s="80" t="e">
        <f>IF(VLOOKUP($AB139,変換表貼り付け用シート!$A$3:$AN$3000,14,FALSE)="","",(VLOOKUP($AB139,変換表貼り付け用シート!$A$3:$AN$3000,14,FALSE)))</f>
        <v>#N/A</v>
      </c>
      <c r="AH139" s="85" t="e">
        <f>IF(VLOOKUP($AB139,変換表貼り付け用シート!$A$3:$AN$3000,15,FALSE)="","",(VLOOKUP($AB139,変換表貼り付け用シート!$A$3:$AN$3000,15,FALSE)))</f>
        <v>#N/A</v>
      </c>
      <c r="AI139" s="79" t="e">
        <f>IF(VLOOKUP($AB139,変換表貼り付け用シート!$A$3:$AN$3000,16,FALSE)="","",(VLOOKUP($AB139,変換表貼り付け用シート!$A$3:$AN$3000,16,FALSE)))</f>
        <v>#N/A</v>
      </c>
      <c r="AJ139" s="81" t="e">
        <f>IF(VLOOKUP($AB139,変換表貼り付け用シート!$A$3:$AN$3000,17,FALSE)="","",(VLOOKUP($AB139,変換表貼り付け用シート!$A$3:$AN$3000,17,FALSE)))</f>
        <v>#N/A</v>
      </c>
      <c r="AK139" s="88" t="e">
        <f>IF(VLOOKUP($AB139,変換表貼り付け用シート!$A$3:$AN$3000,18,FALSE)="","",(VLOOKUP($AB139,変換表貼り付け用シート!$A$3:$AN$3000,18,FALSE)))</f>
        <v>#N/A</v>
      </c>
      <c r="AL139" s="81" t="e">
        <f>IF(VLOOKUP($AB139,変換表貼り付け用シート!$A$3:$AN$3000,19,FALSE)="","",(VLOOKUP($AB139,変換表貼り付け用シート!$A$3:$AN$3000,19,FALSE)))</f>
        <v>#N/A</v>
      </c>
      <c r="AM139" s="75" t="e">
        <f>IF(VLOOKUP($AB139,変換表貼り付け用シート!$A$3:$AN$3000,20,FALSE)="","",(VLOOKUP($AB139,変換表貼り付け用シート!$A$3:$AN$3000,20,FALSE)))</f>
        <v>#N/A</v>
      </c>
    </row>
    <row r="140" spans="2:39" ht="21" customHeight="1" x14ac:dyDescent="0.35">
      <c r="B140" s="39"/>
      <c r="C140" s="117" t="s">
        <v>844</v>
      </c>
      <c r="D140" s="96" t="s">
        <v>341</v>
      </c>
      <c r="E140" s="27" t="s">
        <v>44</v>
      </c>
      <c r="F140" s="37" t="s">
        <v>45</v>
      </c>
      <c r="G140" s="33" t="s">
        <v>206</v>
      </c>
      <c r="H140" s="27" t="s">
        <v>314</v>
      </c>
      <c r="I140" s="27" t="s">
        <v>206</v>
      </c>
      <c r="J140" s="37" t="s">
        <v>314</v>
      </c>
      <c r="K140" s="39" t="s">
        <v>88</v>
      </c>
      <c r="L140" s="28" t="s">
        <v>89</v>
      </c>
      <c r="M140" s="28" t="s">
        <v>48</v>
      </c>
      <c r="N140" s="41" t="s">
        <v>90</v>
      </c>
      <c r="O140" s="39">
        <v>1.75</v>
      </c>
      <c r="P140" s="28"/>
      <c r="Q140" s="28"/>
      <c r="R140" s="41"/>
      <c r="S140" s="39"/>
      <c r="T140" s="41"/>
      <c r="U140" s="39"/>
      <c r="V140" s="41"/>
      <c r="W140" s="43" t="s">
        <v>711</v>
      </c>
      <c r="X140" s="33"/>
      <c r="Y140" s="27"/>
      <c r="Z140" s="29"/>
      <c r="AB140" s="73" t="str">
        <f t="shared" si="4"/>
        <v>HUBTotal引き摺りトルク (@80km/h)－</v>
      </c>
      <c r="AC140" s="74" t="e">
        <f>VLOOKUP($AB140,変換表貼り付け用シート!$A$3:$AN$1133,3,FALSE)</f>
        <v>#N/A</v>
      </c>
      <c r="AD140" s="74" t="e">
        <f t="shared" si="5"/>
        <v>#N/A</v>
      </c>
      <c r="AE140" s="79" t="e">
        <f>IF(VLOOKUP($AB140,変換表貼り付け用シート!$A$3:$AN$3000,12,FALSE)="","",(VLOOKUP($AB140,変換表貼り付け用シート!$A$3:$AN$3000,12,FALSE)))</f>
        <v>#N/A</v>
      </c>
      <c r="AF140" s="80" t="e">
        <f>IF(VLOOKUP($AB140,変換表貼り付け用シート!$A$3:$AN$3000,13,FALSE)="","",(VLOOKUP($AB140,変換表貼り付け用シート!$A$3:$AN$3000,13,FALSE)))</f>
        <v>#N/A</v>
      </c>
      <c r="AG140" s="80" t="e">
        <f>IF(VLOOKUP($AB140,変換表貼り付け用シート!$A$3:$AN$3000,14,FALSE)="","",(VLOOKUP($AB140,変換表貼り付け用シート!$A$3:$AN$3000,14,FALSE)))</f>
        <v>#N/A</v>
      </c>
      <c r="AH140" s="85" t="e">
        <f>IF(VLOOKUP($AB140,変換表貼り付け用シート!$A$3:$AN$3000,15,FALSE)="","",(VLOOKUP($AB140,変換表貼り付け用シート!$A$3:$AN$3000,15,FALSE)))</f>
        <v>#N/A</v>
      </c>
      <c r="AI140" s="79" t="e">
        <f>IF(VLOOKUP($AB140,変換表貼り付け用シート!$A$3:$AN$3000,16,FALSE)="","",(VLOOKUP($AB140,変換表貼り付け用シート!$A$3:$AN$3000,16,FALSE)))</f>
        <v>#N/A</v>
      </c>
      <c r="AJ140" s="81" t="e">
        <f>IF(VLOOKUP($AB140,変換表貼り付け用シート!$A$3:$AN$3000,17,FALSE)="","",(VLOOKUP($AB140,変換表貼り付け用シート!$A$3:$AN$3000,17,FALSE)))</f>
        <v>#N/A</v>
      </c>
      <c r="AK140" s="88" t="e">
        <f>IF(VLOOKUP($AB140,変換表貼り付け用シート!$A$3:$AN$3000,18,FALSE)="","",(VLOOKUP($AB140,変換表貼り付け用シート!$A$3:$AN$3000,18,FALSE)))</f>
        <v>#N/A</v>
      </c>
      <c r="AL140" s="81" t="e">
        <f>IF(VLOOKUP($AB140,変換表貼り付け用シート!$A$3:$AN$3000,19,FALSE)="","",(VLOOKUP($AB140,変換表貼り付け用シート!$A$3:$AN$3000,19,FALSE)))</f>
        <v>#N/A</v>
      </c>
      <c r="AM140" s="75" t="e">
        <f>IF(VLOOKUP($AB140,変換表貼り付け用シート!$A$3:$AN$3000,20,FALSE)="","",(VLOOKUP($AB140,変換表貼り付け用シート!$A$3:$AN$3000,20,FALSE)))</f>
        <v>#N/A</v>
      </c>
    </row>
    <row r="141" spans="2:39" ht="21" customHeight="1" x14ac:dyDescent="0.35">
      <c r="B141" s="39"/>
      <c r="C141" s="117" t="s">
        <v>845</v>
      </c>
      <c r="D141" s="96" t="s">
        <v>342</v>
      </c>
      <c r="E141" s="27" t="s">
        <v>44</v>
      </c>
      <c r="F141" s="37" t="s">
        <v>45</v>
      </c>
      <c r="G141" s="33" t="s">
        <v>206</v>
      </c>
      <c r="H141" s="27" t="s">
        <v>314</v>
      </c>
      <c r="I141" s="27" t="s">
        <v>206</v>
      </c>
      <c r="J141" s="37" t="s">
        <v>314</v>
      </c>
      <c r="K141" s="39" t="s">
        <v>88</v>
      </c>
      <c r="L141" s="28" t="s">
        <v>91</v>
      </c>
      <c r="M141" s="28" t="s">
        <v>48</v>
      </c>
      <c r="N141" s="41" t="s">
        <v>90</v>
      </c>
      <c r="O141" s="39" t="s">
        <v>92</v>
      </c>
      <c r="P141" s="28"/>
      <c r="Q141" s="28"/>
      <c r="R141" s="41"/>
      <c r="S141" s="39"/>
      <c r="T141" s="41"/>
      <c r="U141" s="39"/>
      <c r="V141" s="41"/>
      <c r="W141" s="43" t="s">
        <v>711</v>
      </c>
      <c r="X141" s="33"/>
      <c r="Y141" s="27"/>
      <c r="Z141" s="29"/>
      <c r="AB141" s="73" t="str">
        <f t="shared" si="4"/>
        <v>HUBFR 引き摺りトルク (@80km/h)－</v>
      </c>
      <c r="AC141" s="74" t="e">
        <f>VLOOKUP($AB141,変換表貼り付け用シート!$A$3:$AN$1133,3,FALSE)</f>
        <v>#N/A</v>
      </c>
      <c r="AD141" s="74" t="e">
        <f t="shared" si="5"/>
        <v>#N/A</v>
      </c>
      <c r="AE141" s="79" t="e">
        <f>IF(VLOOKUP($AB141,変換表貼り付け用シート!$A$3:$AN$3000,12,FALSE)="","",(VLOOKUP($AB141,変換表貼り付け用シート!$A$3:$AN$3000,12,FALSE)))</f>
        <v>#N/A</v>
      </c>
      <c r="AF141" s="80" t="e">
        <f>IF(VLOOKUP($AB141,変換表貼り付け用シート!$A$3:$AN$3000,13,FALSE)="","",(VLOOKUP($AB141,変換表貼り付け用シート!$A$3:$AN$3000,13,FALSE)))</f>
        <v>#N/A</v>
      </c>
      <c r="AG141" s="80" t="e">
        <f>IF(VLOOKUP($AB141,変換表貼り付け用シート!$A$3:$AN$3000,14,FALSE)="","",(VLOOKUP($AB141,変換表貼り付け用シート!$A$3:$AN$3000,14,FALSE)))</f>
        <v>#N/A</v>
      </c>
      <c r="AH141" s="85" t="e">
        <f>IF(VLOOKUP($AB141,変換表貼り付け用シート!$A$3:$AN$3000,15,FALSE)="","",(VLOOKUP($AB141,変換表貼り付け用シート!$A$3:$AN$3000,15,FALSE)))</f>
        <v>#N/A</v>
      </c>
      <c r="AI141" s="79" t="e">
        <f>IF(VLOOKUP($AB141,変換表貼り付け用シート!$A$3:$AN$3000,16,FALSE)="","",(VLOOKUP($AB141,変換表貼り付け用シート!$A$3:$AN$3000,16,FALSE)))</f>
        <v>#N/A</v>
      </c>
      <c r="AJ141" s="81" t="e">
        <f>IF(VLOOKUP($AB141,変換表貼り付け用シート!$A$3:$AN$3000,17,FALSE)="","",(VLOOKUP($AB141,変換表貼り付け用シート!$A$3:$AN$3000,17,FALSE)))</f>
        <v>#N/A</v>
      </c>
      <c r="AK141" s="88" t="e">
        <f>IF(VLOOKUP($AB141,変換表貼り付け用シート!$A$3:$AN$3000,18,FALSE)="","",(VLOOKUP($AB141,変換表貼り付け用シート!$A$3:$AN$3000,18,FALSE)))</f>
        <v>#N/A</v>
      </c>
      <c r="AL141" s="81" t="e">
        <f>IF(VLOOKUP($AB141,変換表貼り付け用シート!$A$3:$AN$3000,19,FALSE)="","",(VLOOKUP($AB141,変換表貼り付け用シート!$A$3:$AN$3000,19,FALSE)))</f>
        <v>#N/A</v>
      </c>
      <c r="AM141" s="75" t="e">
        <f>IF(VLOOKUP($AB141,変換表貼り付け用シート!$A$3:$AN$3000,20,FALSE)="","",(VLOOKUP($AB141,変換表貼り付け用シート!$A$3:$AN$3000,20,FALSE)))</f>
        <v>#N/A</v>
      </c>
    </row>
    <row r="142" spans="2:39" ht="21" customHeight="1" x14ac:dyDescent="0.35">
      <c r="B142" s="39"/>
      <c r="C142" s="117" t="s">
        <v>846</v>
      </c>
      <c r="D142" s="96" t="s">
        <v>343</v>
      </c>
      <c r="E142" s="27" t="s">
        <v>44</v>
      </c>
      <c r="F142" s="37" t="s">
        <v>45</v>
      </c>
      <c r="G142" s="33" t="s">
        <v>206</v>
      </c>
      <c r="H142" s="27" t="s">
        <v>314</v>
      </c>
      <c r="I142" s="27" t="s">
        <v>206</v>
      </c>
      <c r="J142" s="37" t="s">
        <v>314</v>
      </c>
      <c r="K142" s="39" t="s">
        <v>88</v>
      </c>
      <c r="L142" s="28" t="s">
        <v>93</v>
      </c>
      <c r="M142" s="28" t="s">
        <v>48</v>
      </c>
      <c r="N142" s="41" t="s">
        <v>90</v>
      </c>
      <c r="O142" s="39" t="s">
        <v>92</v>
      </c>
      <c r="P142" s="28"/>
      <c r="Q142" s="28"/>
      <c r="R142" s="41"/>
      <c r="S142" s="39"/>
      <c r="T142" s="41"/>
      <c r="U142" s="39"/>
      <c r="V142" s="41"/>
      <c r="W142" s="43" t="s">
        <v>711</v>
      </c>
      <c r="X142" s="33"/>
      <c r="Y142" s="27"/>
      <c r="Z142" s="29"/>
      <c r="AB142" s="73" t="str">
        <f t="shared" si="4"/>
        <v>HUBRR 引き摺りトルク (@80km/h)－</v>
      </c>
      <c r="AC142" s="74" t="e">
        <f>VLOOKUP($AB142,変換表貼り付け用シート!$A$3:$AN$1133,3,FALSE)</f>
        <v>#N/A</v>
      </c>
      <c r="AD142" s="74" t="e">
        <f t="shared" si="5"/>
        <v>#N/A</v>
      </c>
      <c r="AE142" s="79" t="e">
        <f>IF(VLOOKUP($AB142,変換表貼り付け用シート!$A$3:$AN$3000,12,FALSE)="","",(VLOOKUP($AB142,変換表貼り付け用シート!$A$3:$AN$3000,12,FALSE)))</f>
        <v>#N/A</v>
      </c>
      <c r="AF142" s="80" t="e">
        <f>IF(VLOOKUP($AB142,変換表貼り付け用シート!$A$3:$AN$3000,13,FALSE)="","",(VLOOKUP($AB142,変換表貼り付け用シート!$A$3:$AN$3000,13,FALSE)))</f>
        <v>#N/A</v>
      </c>
      <c r="AG142" s="80" t="e">
        <f>IF(VLOOKUP($AB142,変換表貼り付け用シート!$A$3:$AN$3000,14,FALSE)="","",(VLOOKUP($AB142,変換表貼り付け用シート!$A$3:$AN$3000,14,FALSE)))</f>
        <v>#N/A</v>
      </c>
      <c r="AH142" s="85" t="e">
        <f>IF(VLOOKUP($AB142,変換表貼り付け用シート!$A$3:$AN$3000,15,FALSE)="","",(VLOOKUP($AB142,変換表貼り付け用シート!$A$3:$AN$3000,15,FALSE)))</f>
        <v>#N/A</v>
      </c>
      <c r="AI142" s="79" t="e">
        <f>IF(VLOOKUP($AB142,変換表貼り付け用シート!$A$3:$AN$3000,16,FALSE)="","",(VLOOKUP($AB142,変換表貼り付け用シート!$A$3:$AN$3000,16,FALSE)))</f>
        <v>#N/A</v>
      </c>
      <c r="AJ142" s="81" t="e">
        <f>IF(VLOOKUP($AB142,変換表貼り付け用シート!$A$3:$AN$3000,17,FALSE)="","",(VLOOKUP($AB142,変換表貼り付け用シート!$A$3:$AN$3000,17,FALSE)))</f>
        <v>#N/A</v>
      </c>
      <c r="AK142" s="88" t="e">
        <f>IF(VLOOKUP($AB142,変換表貼り付け用シート!$A$3:$AN$3000,18,FALSE)="","",(VLOOKUP($AB142,変換表貼り付け用シート!$A$3:$AN$3000,18,FALSE)))</f>
        <v>#N/A</v>
      </c>
      <c r="AL142" s="81" t="e">
        <f>IF(VLOOKUP($AB142,変換表貼り付け用シート!$A$3:$AN$3000,19,FALSE)="","",(VLOOKUP($AB142,変換表貼り付け用シート!$A$3:$AN$3000,19,FALSE)))</f>
        <v>#N/A</v>
      </c>
      <c r="AM142" s="75" t="e">
        <f>IF(VLOOKUP($AB142,変換表貼り付け用シート!$A$3:$AN$3000,20,FALSE)="","",(VLOOKUP($AB142,変換表貼り付け用シート!$A$3:$AN$3000,20,FALSE)))</f>
        <v>#N/A</v>
      </c>
    </row>
    <row r="143" spans="2:39" ht="21" customHeight="1" x14ac:dyDescent="0.35">
      <c r="B143" s="39"/>
      <c r="C143" s="117" t="s">
        <v>847</v>
      </c>
      <c r="D143" s="96" t="s">
        <v>344</v>
      </c>
      <c r="E143" s="27" t="s">
        <v>44</v>
      </c>
      <c r="F143" s="37" t="s">
        <v>45</v>
      </c>
      <c r="G143" s="33" t="s">
        <v>206</v>
      </c>
      <c r="H143" s="27" t="s">
        <v>314</v>
      </c>
      <c r="I143" s="27" t="s">
        <v>206</v>
      </c>
      <c r="J143" s="37" t="s">
        <v>314</v>
      </c>
      <c r="K143" s="39" t="s">
        <v>88</v>
      </c>
      <c r="L143" s="28" t="s">
        <v>94</v>
      </c>
      <c r="M143" s="28" t="s">
        <v>48</v>
      </c>
      <c r="N143" s="41" t="s">
        <v>78</v>
      </c>
      <c r="O143" s="39" t="s">
        <v>57</v>
      </c>
      <c r="P143" s="28"/>
      <c r="Q143" s="28"/>
      <c r="R143" s="41"/>
      <c r="S143" s="39"/>
      <c r="T143" s="41"/>
      <c r="U143" s="39"/>
      <c r="V143" s="41"/>
      <c r="W143" s="43" t="s">
        <v>711</v>
      </c>
      <c r="X143" s="33"/>
      <c r="Y143" s="27"/>
      <c r="Z143" s="29"/>
      <c r="AB143" s="73" t="str">
        <f t="shared" si="4"/>
        <v>HUBFR イナーシャ－</v>
      </c>
      <c r="AC143" s="74" t="e">
        <f>VLOOKUP($AB143,変換表貼り付け用シート!$A$3:$AN$1133,3,FALSE)</f>
        <v>#N/A</v>
      </c>
      <c r="AD143" s="74" t="e">
        <f t="shared" si="5"/>
        <v>#N/A</v>
      </c>
      <c r="AE143" s="79" t="e">
        <f>IF(VLOOKUP($AB143,変換表貼り付け用シート!$A$3:$AN$3000,12,FALSE)="","",(VLOOKUP($AB143,変換表貼り付け用シート!$A$3:$AN$3000,12,FALSE)))</f>
        <v>#N/A</v>
      </c>
      <c r="AF143" s="80" t="e">
        <f>IF(VLOOKUP($AB143,変換表貼り付け用シート!$A$3:$AN$3000,13,FALSE)="","",(VLOOKUP($AB143,変換表貼り付け用シート!$A$3:$AN$3000,13,FALSE)))</f>
        <v>#N/A</v>
      </c>
      <c r="AG143" s="80" t="e">
        <f>IF(VLOOKUP($AB143,変換表貼り付け用シート!$A$3:$AN$3000,14,FALSE)="","",(VLOOKUP($AB143,変換表貼り付け用シート!$A$3:$AN$3000,14,FALSE)))</f>
        <v>#N/A</v>
      </c>
      <c r="AH143" s="85" t="e">
        <f>IF(VLOOKUP($AB143,変換表貼り付け用シート!$A$3:$AN$3000,15,FALSE)="","",(VLOOKUP($AB143,変換表貼り付け用シート!$A$3:$AN$3000,15,FALSE)))</f>
        <v>#N/A</v>
      </c>
      <c r="AI143" s="79" t="e">
        <f>IF(VLOOKUP($AB143,変換表貼り付け用シート!$A$3:$AN$3000,16,FALSE)="","",(VLOOKUP($AB143,変換表貼り付け用シート!$A$3:$AN$3000,16,FALSE)))</f>
        <v>#N/A</v>
      </c>
      <c r="AJ143" s="81" t="e">
        <f>IF(VLOOKUP($AB143,変換表貼り付け用シート!$A$3:$AN$3000,17,FALSE)="","",(VLOOKUP($AB143,変換表貼り付け用シート!$A$3:$AN$3000,17,FALSE)))</f>
        <v>#N/A</v>
      </c>
      <c r="AK143" s="88" t="e">
        <f>IF(VLOOKUP($AB143,変換表貼り付け用シート!$A$3:$AN$3000,18,FALSE)="","",(VLOOKUP($AB143,変換表貼り付け用シート!$A$3:$AN$3000,18,FALSE)))</f>
        <v>#N/A</v>
      </c>
      <c r="AL143" s="81" t="e">
        <f>IF(VLOOKUP($AB143,変換表貼り付け用シート!$A$3:$AN$3000,19,FALSE)="","",(VLOOKUP($AB143,変換表貼り付け用シート!$A$3:$AN$3000,19,FALSE)))</f>
        <v>#N/A</v>
      </c>
      <c r="AM143" s="75" t="e">
        <f>IF(VLOOKUP($AB143,変換表貼り付け用シート!$A$3:$AN$3000,20,FALSE)="","",(VLOOKUP($AB143,変換表貼り付け用シート!$A$3:$AN$3000,20,FALSE)))</f>
        <v>#N/A</v>
      </c>
    </row>
    <row r="144" spans="2:39" ht="21" customHeight="1" x14ac:dyDescent="0.35">
      <c r="B144" s="39"/>
      <c r="C144" s="117" t="s">
        <v>848</v>
      </c>
      <c r="D144" s="96" t="s">
        <v>345</v>
      </c>
      <c r="E144" s="27" t="s">
        <v>44</v>
      </c>
      <c r="F144" s="37" t="s">
        <v>45</v>
      </c>
      <c r="G144" s="33" t="s">
        <v>206</v>
      </c>
      <c r="H144" s="27" t="s">
        <v>314</v>
      </c>
      <c r="I144" s="27" t="s">
        <v>206</v>
      </c>
      <c r="J144" s="37" t="s">
        <v>314</v>
      </c>
      <c r="K144" s="39" t="s">
        <v>88</v>
      </c>
      <c r="L144" s="28" t="s">
        <v>95</v>
      </c>
      <c r="M144" s="28" t="s">
        <v>48</v>
      </c>
      <c r="N144" s="41" t="s">
        <v>78</v>
      </c>
      <c r="O144" s="39" t="s">
        <v>57</v>
      </c>
      <c r="P144" s="28"/>
      <c r="Q144" s="28"/>
      <c r="R144" s="41"/>
      <c r="S144" s="39"/>
      <c r="T144" s="41"/>
      <c r="U144" s="39"/>
      <c r="V144" s="41"/>
      <c r="W144" s="43" t="s">
        <v>711</v>
      </c>
      <c r="X144" s="33"/>
      <c r="Y144" s="27"/>
      <c r="Z144" s="29"/>
      <c r="AB144" s="73" t="str">
        <f t="shared" si="4"/>
        <v>HUBRR イナーシャ－</v>
      </c>
      <c r="AC144" s="74" t="e">
        <f>VLOOKUP($AB144,変換表貼り付け用シート!$A$3:$AN$1133,3,FALSE)</f>
        <v>#N/A</v>
      </c>
      <c r="AD144" s="74" t="e">
        <f t="shared" si="5"/>
        <v>#N/A</v>
      </c>
      <c r="AE144" s="79" t="e">
        <f>IF(VLOOKUP($AB144,変換表貼り付け用シート!$A$3:$AN$3000,12,FALSE)="","",(VLOOKUP($AB144,変換表貼り付け用シート!$A$3:$AN$3000,12,FALSE)))</f>
        <v>#N/A</v>
      </c>
      <c r="AF144" s="80" t="e">
        <f>IF(VLOOKUP($AB144,変換表貼り付け用シート!$A$3:$AN$3000,13,FALSE)="","",(VLOOKUP($AB144,変換表貼り付け用シート!$A$3:$AN$3000,13,FALSE)))</f>
        <v>#N/A</v>
      </c>
      <c r="AG144" s="80" t="e">
        <f>IF(VLOOKUP($AB144,変換表貼り付け用シート!$A$3:$AN$3000,14,FALSE)="","",(VLOOKUP($AB144,変換表貼り付け用シート!$A$3:$AN$3000,14,FALSE)))</f>
        <v>#N/A</v>
      </c>
      <c r="AH144" s="85" t="e">
        <f>IF(VLOOKUP($AB144,変換表貼り付け用シート!$A$3:$AN$3000,15,FALSE)="","",(VLOOKUP($AB144,変換表貼り付け用シート!$A$3:$AN$3000,15,FALSE)))</f>
        <v>#N/A</v>
      </c>
      <c r="AI144" s="79" t="e">
        <f>IF(VLOOKUP($AB144,変換表貼り付け用シート!$A$3:$AN$3000,16,FALSE)="","",(VLOOKUP($AB144,変換表貼り付け用シート!$A$3:$AN$3000,16,FALSE)))</f>
        <v>#N/A</v>
      </c>
      <c r="AJ144" s="81" t="e">
        <f>IF(VLOOKUP($AB144,変換表貼り付け用シート!$A$3:$AN$3000,17,FALSE)="","",(VLOOKUP($AB144,変換表貼り付け用シート!$A$3:$AN$3000,17,FALSE)))</f>
        <v>#N/A</v>
      </c>
      <c r="AK144" s="88" t="e">
        <f>IF(VLOOKUP($AB144,変換表貼り付け用シート!$A$3:$AN$3000,18,FALSE)="","",(VLOOKUP($AB144,変換表貼り付け用シート!$A$3:$AN$3000,18,FALSE)))</f>
        <v>#N/A</v>
      </c>
      <c r="AL144" s="81" t="e">
        <f>IF(VLOOKUP($AB144,変換表貼り付け用シート!$A$3:$AN$3000,19,FALSE)="","",(VLOOKUP($AB144,変換表貼り付け用シート!$A$3:$AN$3000,19,FALSE)))</f>
        <v>#N/A</v>
      </c>
      <c r="AM144" s="75" t="e">
        <f>IF(VLOOKUP($AB144,変換表貼り付け用シート!$A$3:$AN$3000,20,FALSE)="","",(VLOOKUP($AB144,変換表貼り付け用シート!$A$3:$AN$3000,20,FALSE)))</f>
        <v>#N/A</v>
      </c>
    </row>
    <row r="145" spans="2:39" ht="21" customHeight="1" x14ac:dyDescent="0.35">
      <c r="B145" s="39"/>
      <c r="C145" s="117" t="s">
        <v>849</v>
      </c>
      <c r="D145" s="96" t="s">
        <v>346</v>
      </c>
      <c r="E145" s="27" t="s">
        <v>44</v>
      </c>
      <c r="F145" s="37" t="s">
        <v>45</v>
      </c>
      <c r="G145" s="33" t="s">
        <v>206</v>
      </c>
      <c r="H145" s="27" t="s">
        <v>314</v>
      </c>
      <c r="I145" s="27" t="s">
        <v>206</v>
      </c>
      <c r="J145" s="37" t="s">
        <v>314</v>
      </c>
      <c r="K145" s="39" t="s">
        <v>96</v>
      </c>
      <c r="L145" s="28" t="s">
        <v>97</v>
      </c>
      <c r="M145" s="28" t="s">
        <v>48</v>
      </c>
      <c r="N145" s="41" t="s">
        <v>90</v>
      </c>
      <c r="O145" s="39">
        <v>2</v>
      </c>
      <c r="P145" s="28"/>
      <c r="Q145" s="28"/>
      <c r="R145" s="41"/>
      <c r="S145" s="39"/>
      <c r="T145" s="41"/>
      <c r="U145" s="39"/>
      <c r="V145" s="41"/>
      <c r="W145" s="43" t="s">
        <v>711</v>
      </c>
      <c r="X145" s="33"/>
      <c r="Y145" s="27"/>
      <c r="Z145" s="29"/>
      <c r="AB145" s="73" t="str">
        <f t="shared" si="4"/>
        <v>ブレーキ引き摺りトルク (＠経験圧3Mpa) －</v>
      </c>
      <c r="AC145" s="74" t="e">
        <f>VLOOKUP($AB145,変換表貼り付け用シート!$A$3:$AN$1133,3,FALSE)</f>
        <v>#N/A</v>
      </c>
      <c r="AD145" s="74" t="e">
        <f t="shared" si="5"/>
        <v>#N/A</v>
      </c>
      <c r="AE145" s="79" t="e">
        <f>IF(VLOOKUP($AB145,変換表貼り付け用シート!$A$3:$AN$3000,12,FALSE)="","",(VLOOKUP($AB145,変換表貼り付け用シート!$A$3:$AN$3000,12,FALSE)))</f>
        <v>#N/A</v>
      </c>
      <c r="AF145" s="80" t="e">
        <f>IF(VLOOKUP($AB145,変換表貼り付け用シート!$A$3:$AN$3000,13,FALSE)="","",(VLOOKUP($AB145,変換表貼り付け用シート!$A$3:$AN$3000,13,FALSE)))</f>
        <v>#N/A</v>
      </c>
      <c r="AG145" s="80" t="e">
        <f>IF(VLOOKUP($AB145,変換表貼り付け用シート!$A$3:$AN$3000,14,FALSE)="","",(VLOOKUP($AB145,変換表貼り付け用シート!$A$3:$AN$3000,14,FALSE)))</f>
        <v>#N/A</v>
      </c>
      <c r="AH145" s="85" t="e">
        <f>IF(VLOOKUP($AB145,変換表貼り付け用シート!$A$3:$AN$3000,15,FALSE)="","",(VLOOKUP($AB145,変換表貼り付け用シート!$A$3:$AN$3000,15,FALSE)))</f>
        <v>#N/A</v>
      </c>
      <c r="AI145" s="79" t="e">
        <f>IF(VLOOKUP($AB145,変換表貼り付け用シート!$A$3:$AN$3000,16,FALSE)="","",(VLOOKUP($AB145,変換表貼り付け用シート!$A$3:$AN$3000,16,FALSE)))</f>
        <v>#N/A</v>
      </c>
      <c r="AJ145" s="81" t="e">
        <f>IF(VLOOKUP($AB145,変換表貼り付け用シート!$A$3:$AN$3000,17,FALSE)="","",(VLOOKUP($AB145,変換表貼り付け用シート!$A$3:$AN$3000,17,FALSE)))</f>
        <v>#N/A</v>
      </c>
      <c r="AK145" s="88" t="e">
        <f>IF(VLOOKUP($AB145,変換表貼り付け用シート!$A$3:$AN$3000,18,FALSE)="","",(VLOOKUP($AB145,変換表貼り付け用シート!$A$3:$AN$3000,18,FALSE)))</f>
        <v>#N/A</v>
      </c>
      <c r="AL145" s="81" t="e">
        <f>IF(VLOOKUP($AB145,変換表貼り付け用シート!$A$3:$AN$3000,19,FALSE)="","",(VLOOKUP($AB145,変換表貼り付け用シート!$A$3:$AN$3000,19,FALSE)))</f>
        <v>#N/A</v>
      </c>
      <c r="AM145" s="75" t="e">
        <f>IF(VLOOKUP($AB145,変換表貼り付け用シート!$A$3:$AN$3000,20,FALSE)="","",(VLOOKUP($AB145,変換表貼り付け用シート!$A$3:$AN$3000,20,FALSE)))</f>
        <v>#N/A</v>
      </c>
    </row>
    <row r="146" spans="2:39" ht="21" customHeight="1" x14ac:dyDescent="0.35">
      <c r="B146" s="39"/>
      <c r="C146" s="117" t="s">
        <v>850</v>
      </c>
      <c r="D146" s="96" t="s">
        <v>347</v>
      </c>
      <c r="E146" s="27" t="s">
        <v>44</v>
      </c>
      <c r="F146" s="37" t="s">
        <v>45</v>
      </c>
      <c r="G146" s="33" t="s">
        <v>206</v>
      </c>
      <c r="H146" s="27" t="s">
        <v>314</v>
      </c>
      <c r="I146" s="27" t="s">
        <v>206</v>
      </c>
      <c r="J146" s="37" t="s">
        <v>314</v>
      </c>
      <c r="K146" s="39" t="s">
        <v>96</v>
      </c>
      <c r="L146" s="28" t="s">
        <v>98</v>
      </c>
      <c r="M146" s="28" t="s">
        <v>48</v>
      </c>
      <c r="N146" s="41" t="s">
        <v>90</v>
      </c>
      <c r="O146" s="39" t="s">
        <v>57</v>
      </c>
      <c r="P146" s="28"/>
      <c r="Q146" s="28"/>
      <c r="R146" s="41"/>
      <c r="S146" s="39"/>
      <c r="T146" s="41"/>
      <c r="U146" s="39"/>
      <c r="V146" s="41"/>
      <c r="W146" s="43" t="s">
        <v>711</v>
      </c>
      <c r="X146" s="33"/>
      <c r="Y146" s="27"/>
      <c r="Z146" s="29"/>
      <c r="AB146" s="73" t="str">
        <f t="shared" si="4"/>
        <v>ブレーキFR引き摺りトルク (経験圧3Mpa＠60kph)－</v>
      </c>
      <c r="AC146" s="74" t="e">
        <f>VLOOKUP($AB146,変換表貼り付け用シート!$A$3:$AN$1133,3,FALSE)</f>
        <v>#N/A</v>
      </c>
      <c r="AD146" s="74" t="e">
        <f t="shared" si="5"/>
        <v>#N/A</v>
      </c>
      <c r="AE146" s="79" t="e">
        <f>IF(VLOOKUP($AB146,変換表貼り付け用シート!$A$3:$AN$3000,12,FALSE)="","",(VLOOKUP($AB146,変換表貼り付け用シート!$A$3:$AN$3000,12,FALSE)))</f>
        <v>#N/A</v>
      </c>
      <c r="AF146" s="80" t="e">
        <f>IF(VLOOKUP($AB146,変換表貼り付け用シート!$A$3:$AN$3000,13,FALSE)="","",(VLOOKUP($AB146,変換表貼り付け用シート!$A$3:$AN$3000,13,FALSE)))</f>
        <v>#N/A</v>
      </c>
      <c r="AG146" s="80" t="e">
        <f>IF(VLOOKUP($AB146,変換表貼り付け用シート!$A$3:$AN$3000,14,FALSE)="","",(VLOOKUP($AB146,変換表貼り付け用シート!$A$3:$AN$3000,14,FALSE)))</f>
        <v>#N/A</v>
      </c>
      <c r="AH146" s="85" t="e">
        <f>IF(VLOOKUP($AB146,変換表貼り付け用シート!$A$3:$AN$3000,15,FALSE)="","",(VLOOKUP($AB146,変換表貼り付け用シート!$A$3:$AN$3000,15,FALSE)))</f>
        <v>#N/A</v>
      </c>
      <c r="AI146" s="79" t="e">
        <f>IF(VLOOKUP($AB146,変換表貼り付け用シート!$A$3:$AN$3000,16,FALSE)="","",(VLOOKUP($AB146,変換表貼り付け用シート!$A$3:$AN$3000,16,FALSE)))</f>
        <v>#N/A</v>
      </c>
      <c r="AJ146" s="81" t="e">
        <f>IF(VLOOKUP($AB146,変換表貼り付け用シート!$A$3:$AN$3000,17,FALSE)="","",(VLOOKUP($AB146,変換表貼り付け用シート!$A$3:$AN$3000,17,FALSE)))</f>
        <v>#N/A</v>
      </c>
      <c r="AK146" s="88" t="e">
        <f>IF(VLOOKUP($AB146,変換表貼り付け用シート!$A$3:$AN$3000,18,FALSE)="","",(VLOOKUP($AB146,変換表貼り付け用シート!$A$3:$AN$3000,18,FALSE)))</f>
        <v>#N/A</v>
      </c>
      <c r="AL146" s="81" t="e">
        <f>IF(VLOOKUP($AB146,変換表貼り付け用シート!$A$3:$AN$3000,19,FALSE)="","",(VLOOKUP($AB146,変換表貼り付け用シート!$A$3:$AN$3000,19,FALSE)))</f>
        <v>#N/A</v>
      </c>
      <c r="AM146" s="75" t="e">
        <f>IF(VLOOKUP($AB146,変換表貼り付け用シート!$A$3:$AN$3000,20,FALSE)="","",(VLOOKUP($AB146,変換表貼り付け用シート!$A$3:$AN$3000,20,FALSE)))</f>
        <v>#N/A</v>
      </c>
    </row>
    <row r="147" spans="2:39" ht="21" customHeight="1" x14ac:dyDescent="0.35">
      <c r="B147" s="39"/>
      <c r="C147" s="117" t="s">
        <v>851</v>
      </c>
      <c r="D147" s="96" t="s">
        <v>348</v>
      </c>
      <c r="E147" s="27" t="s">
        <v>44</v>
      </c>
      <c r="F147" s="37" t="s">
        <v>45</v>
      </c>
      <c r="G147" s="33" t="s">
        <v>206</v>
      </c>
      <c r="H147" s="27" t="s">
        <v>314</v>
      </c>
      <c r="I147" s="27" t="s">
        <v>206</v>
      </c>
      <c r="J147" s="37" t="s">
        <v>314</v>
      </c>
      <c r="K147" s="39" t="s">
        <v>96</v>
      </c>
      <c r="L147" s="28" t="s">
        <v>99</v>
      </c>
      <c r="M147" s="28" t="s">
        <v>48</v>
      </c>
      <c r="N147" s="41" t="s">
        <v>90</v>
      </c>
      <c r="O147" s="39" t="s">
        <v>57</v>
      </c>
      <c r="P147" s="28"/>
      <c r="Q147" s="28"/>
      <c r="R147" s="41"/>
      <c r="S147" s="39"/>
      <c r="T147" s="41"/>
      <c r="U147" s="39"/>
      <c r="V147" s="41"/>
      <c r="W147" s="43" t="s">
        <v>711</v>
      </c>
      <c r="X147" s="33"/>
      <c r="Y147" s="27"/>
      <c r="Z147" s="29"/>
      <c r="AB147" s="73" t="str">
        <f t="shared" si="4"/>
        <v>ブレーキRR引き摺りトルク(経験圧3Mpa＠60kph)－</v>
      </c>
      <c r="AC147" s="74" t="e">
        <f>VLOOKUP($AB147,変換表貼り付け用シート!$A$3:$AN$1133,3,FALSE)</f>
        <v>#N/A</v>
      </c>
      <c r="AD147" s="74" t="e">
        <f t="shared" si="5"/>
        <v>#N/A</v>
      </c>
      <c r="AE147" s="79" t="e">
        <f>IF(VLOOKUP($AB147,変換表貼り付け用シート!$A$3:$AN$3000,12,FALSE)="","",(VLOOKUP($AB147,変換表貼り付け用シート!$A$3:$AN$3000,12,FALSE)))</f>
        <v>#N/A</v>
      </c>
      <c r="AF147" s="80" t="e">
        <f>IF(VLOOKUP($AB147,変換表貼り付け用シート!$A$3:$AN$3000,13,FALSE)="","",(VLOOKUP($AB147,変換表貼り付け用シート!$A$3:$AN$3000,13,FALSE)))</f>
        <v>#N/A</v>
      </c>
      <c r="AG147" s="80" t="e">
        <f>IF(VLOOKUP($AB147,変換表貼り付け用シート!$A$3:$AN$3000,14,FALSE)="","",(VLOOKUP($AB147,変換表貼り付け用シート!$A$3:$AN$3000,14,FALSE)))</f>
        <v>#N/A</v>
      </c>
      <c r="AH147" s="85" t="e">
        <f>IF(VLOOKUP($AB147,変換表貼り付け用シート!$A$3:$AN$3000,15,FALSE)="","",(VLOOKUP($AB147,変換表貼り付け用シート!$A$3:$AN$3000,15,FALSE)))</f>
        <v>#N/A</v>
      </c>
      <c r="AI147" s="79" t="e">
        <f>IF(VLOOKUP($AB147,変換表貼り付け用シート!$A$3:$AN$3000,16,FALSE)="","",(VLOOKUP($AB147,変換表貼り付け用シート!$A$3:$AN$3000,16,FALSE)))</f>
        <v>#N/A</v>
      </c>
      <c r="AJ147" s="81" t="e">
        <f>IF(VLOOKUP($AB147,変換表貼り付け用シート!$A$3:$AN$3000,17,FALSE)="","",(VLOOKUP($AB147,変換表貼り付け用シート!$A$3:$AN$3000,17,FALSE)))</f>
        <v>#N/A</v>
      </c>
      <c r="AK147" s="88" t="e">
        <f>IF(VLOOKUP($AB147,変換表貼り付け用シート!$A$3:$AN$3000,18,FALSE)="","",(VLOOKUP($AB147,変換表貼り付け用シート!$A$3:$AN$3000,18,FALSE)))</f>
        <v>#N/A</v>
      </c>
      <c r="AL147" s="81" t="e">
        <f>IF(VLOOKUP($AB147,変換表貼り付け用シート!$A$3:$AN$3000,19,FALSE)="","",(VLOOKUP($AB147,変換表貼り付け用シート!$A$3:$AN$3000,19,FALSE)))</f>
        <v>#N/A</v>
      </c>
      <c r="AM147" s="75" t="e">
        <f>IF(VLOOKUP($AB147,変換表貼り付け用シート!$A$3:$AN$3000,20,FALSE)="","",(VLOOKUP($AB147,変換表貼り付け用シート!$A$3:$AN$3000,20,FALSE)))</f>
        <v>#N/A</v>
      </c>
    </row>
    <row r="148" spans="2:39" ht="21" customHeight="1" x14ac:dyDescent="0.35">
      <c r="B148" s="39"/>
      <c r="C148" s="117" t="s">
        <v>852</v>
      </c>
      <c r="D148" s="96" t="s">
        <v>349</v>
      </c>
      <c r="E148" s="27" t="s">
        <v>44</v>
      </c>
      <c r="F148" s="37" t="s">
        <v>45</v>
      </c>
      <c r="G148" s="33" t="s">
        <v>206</v>
      </c>
      <c r="H148" s="27" t="s">
        <v>314</v>
      </c>
      <c r="I148" s="27" t="s">
        <v>206</v>
      </c>
      <c r="J148" s="37" t="s">
        <v>314</v>
      </c>
      <c r="K148" s="39" t="s">
        <v>96</v>
      </c>
      <c r="L148" s="28" t="s">
        <v>100</v>
      </c>
      <c r="M148" s="28" t="s">
        <v>48</v>
      </c>
      <c r="N148" s="41" t="s">
        <v>78</v>
      </c>
      <c r="O148" s="39">
        <v>0</v>
      </c>
      <c r="P148" s="28"/>
      <c r="Q148" s="28"/>
      <c r="R148" s="41"/>
      <c r="S148" s="39"/>
      <c r="T148" s="41"/>
      <c r="U148" s="39"/>
      <c r="V148" s="41"/>
      <c r="W148" s="43" t="s">
        <v>711</v>
      </c>
      <c r="X148" s="33"/>
      <c r="Y148" s="27"/>
      <c r="Z148" s="29"/>
      <c r="AB148" s="73" t="str">
        <f t="shared" si="4"/>
        <v>ブレーキFRイナーシャ－</v>
      </c>
      <c r="AC148" s="74" t="e">
        <f>VLOOKUP($AB148,変換表貼り付け用シート!$A$3:$AN$1133,3,FALSE)</f>
        <v>#N/A</v>
      </c>
      <c r="AD148" s="74" t="e">
        <f t="shared" si="5"/>
        <v>#N/A</v>
      </c>
      <c r="AE148" s="79" t="e">
        <f>IF(VLOOKUP($AB148,変換表貼り付け用シート!$A$3:$AN$3000,12,FALSE)="","",(VLOOKUP($AB148,変換表貼り付け用シート!$A$3:$AN$3000,12,FALSE)))</f>
        <v>#N/A</v>
      </c>
      <c r="AF148" s="80" t="e">
        <f>IF(VLOOKUP($AB148,変換表貼り付け用シート!$A$3:$AN$3000,13,FALSE)="","",(VLOOKUP($AB148,変換表貼り付け用シート!$A$3:$AN$3000,13,FALSE)))</f>
        <v>#N/A</v>
      </c>
      <c r="AG148" s="80" t="e">
        <f>IF(VLOOKUP($AB148,変換表貼り付け用シート!$A$3:$AN$3000,14,FALSE)="","",(VLOOKUP($AB148,変換表貼り付け用シート!$A$3:$AN$3000,14,FALSE)))</f>
        <v>#N/A</v>
      </c>
      <c r="AH148" s="85" t="e">
        <f>IF(VLOOKUP($AB148,変換表貼り付け用シート!$A$3:$AN$3000,15,FALSE)="","",(VLOOKUP($AB148,変換表貼り付け用シート!$A$3:$AN$3000,15,FALSE)))</f>
        <v>#N/A</v>
      </c>
      <c r="AI148" s="79" t="e">
        <f>IF(VLOOKUP($AB148,変換表貼り付け用シート!$A$3:$AN$3000,16,FALSE)="","",(VLOOKUP($AB148,変換表貼り付け用シート!$A$3:$AN$3000,16,FALSE)))</f>
        <v>#N/A</v>
      </c>
      <c r="AJ148" s="81" t="e">
        <f>IF(VLOOKUP($AB148,変換表貼り付け用シート!$A$3:$AN$3000,17,FALSE)="","",(VLOOKUP($AB148,変換表貼り付け用シート!$A$3:$AN$3000,17,FALSE)))</f>
        <v>#N/A</v>
      </c>
      <c r="AK148" s="88" t="e">
        <f>IF(VLOOKUP($AB148,変換表貼り付け用シート!$A$3:$AN$3000,18,FALSE)="","",(VLOOKUP($AB148,変換表貼り付け用シート!$A$3:$AN$3000,18,FALSE)))</f>
        <v>#N/A</v>
      </c>
      <c r="AL148" s="81" t="e">
        <f>IF(VLOOKUP($AB148,変換表貼り付け用シート!$A$3:$AN$3000,19,FALSE)="","",(VLOOKUP($AB148,変換表貼り付け用シート!$A$3:$AN$3000,19,FALSE)))</f>
        <v>#N/A</v>
      </c>
      <c r="AM148" s="75" t="e">
        <f>IF(VLOOKUP($AB148,変換表貼り付け用シート!$A$3:$AN$3000,20,FALSE)="","",(VLOOKUP($AB148,変換表貼り付け用シート!$A$3:$AN$3000,20,FALSE)))</f>
        <v>#N/A</v>
      </c>
    </row>
    <row r="149" spans="2:39" ht="21" customHeight="1" x14ac:dyDescent="0.35">
      <c r="B149" s="39"/>
      <c r="C149" s="117" t="s">
        <v>853</v>
      </c>
      <c r="D149" s="96" t="s">
        <v>350</v>
      </c>
      <c r="E149" s="27" t="s">
        <v>44</v>
      </c>
      <c r="F149" s="37" t="s">
        <v>45</v>
      </c>
      <c r="G149" s="33" t="s">
        <v>206</v>
      </c>
      <c r="H149" s="27" t="s">
        <v>314</v>
      </c>
      <c r="I149" s="27" t="s">
        <v>206</v>
      </c>
      <c r="J149" s="37" t="s">
        <v>314</v>
      </c>
      <c r="K149" s="39" t="s">
        <v>96</v>
      </c>
      <c r="L149" s="28" t="s">
        <v>101</v>
      </c>
      <c r="M149" s="28" t="s">
        <v>48</v>
      </c>
      <c r="N149" s="41" t="s">
        <v>78</v>
      </c>
      <c r="O149" s="39">
        <v>0</v>
      </c>
      <c r="P149" s="28"/>
      <c r="Q149" s="28"/>
      <c r="R149" s="41"/>
      <c r="S149" s="39"/>
      <c r="T149" s="41"/>
      <c r="U149" s="39"/>
      <c r="V149" s="41"/>
      <c r="W149" s="43" t="s">
        <v>711</v>
      </c>
      <c r="X149" s="33"/>
      <c r="Y149" s="27"/>
      <c r="Z149" s="29"/>
      <c r="AB149" s="73" t="str">
        <f t="shared" si="4"/>
        <v>ブレーキRRイナーシャ－</v>
      </c>
      <c r="AC149" s="74" t="e">
        <f>VLOOKUP($AB149,変換表貼り付け用シート!$A$3:$AN$1133,3,FALSE)</f>
        <v>#N/A</v>
      </c>
      <c r="AD149" s="74" t="e">
        <f t="shared" si="5"/>
        <v>#N/A</v>
      </c>
      <c r="AE149" s="79" t="e">
        <f>IF(VLOOKUP($AB149,変換表貼り付け用シート!$A$3:$AN$3000,12,FALSE)="","",(VLOOKUP($AB149,変換表貼り付け用シート!$A$3:$AN$3000,12,FALSE)))</f>
        <v>#N/A</v>
      </c>
      <c r="AF149" s="80" t="e">
        <f>IF(VLOOKUP($AB149,変換表貼り付け用シート!$A$3:$AN$3000,13,FALSE)="","",(VLOOKUP($AB149,変換表貼り付け用シート!$A$3:$AN$3000,13,FALSE)))</f>
        <v>#N/A</v>
      </c>
      <c r="AG149" s="80" t="e">
        <f>IF(VLOOKUP($AB149,変換表貼り付け用シート!$A$3:$AN$3000,14,FALSE)="","",(VLOOKUP($AB149,変換表貼り付け用シート!$A$3:$AN$3000,14,FALSE)))</f>
        <v>#N/A</v>
      </c>
      <c r="AH149" s="85" t="e">
        <f>IF(VLOOKUP($AB149,変換表貼り付け用シート!$A$3:$AN$3000,15,FALSE)="","",(VLOOKUP($AB149,変換表貼り付け用シート!$A$3:$AN$3000,15,FALSE)))</f>
        <v>#N/A</v>
      </c>
      <c r="AI149" s="79" t="e">
        <f>IF(VLOOKUP($AB149,変換表貼り付け用シート!$A$3:$AN$3000,16,FALSE)="","",(VLOOKUP($AB149,変換表貼り付け用シート!$A$3:$AN$3000,16,FALSE)))</f>
        <v>#N/A</v>
      </c>
      <c r="AJ149" s="81" t="e">
        <f>IF(VLOOKUP($AB149,変換表貼り付け用シート!$A$3:$AN$3000,17,FALSE)="","",(VLOOKUP($AB149,変換表貼り付け用シート!$A$3:$AN$3000,17,FALSE)))</f>
        <v>#N/A</v>
      </c>
      <c r="AK149" s="88" t="e">
        <f>IF(VLOOKUP($AB149,変換表貼り付け用シート!$A$3:$AN$3000,18,FALSE)="","",(VLOOKUP($AB149,変換表貼り付け用シート!$A$3:$AN$3000,18,FALSE)))</f>
        <v>#N/A</v>
      </c>
      <c r="AL149" s="81" t="e">
        <f>IF(VLOOKUP($AB149,変換表貼り付け用シート!$A$3:$AN$3000,19,FALSE)="","",(VLOOKUP($AB149,変換表貼り付け用シート!$A$3:$AN$3000,19,FALSE)))</f>
        <v>#N/A</v>
      </c>
      <c r="AM149" s="75" t="e">
        <f>IF(VLOOKUP($AB149,変換表貼り付け用シート!$A$3:$AN$3000,20,FALSE)="","",(VLOOKUP($AB149,変換表貼り付け用シート!$A$3:$AN$3000,20,FALSE)))</f>
        <v>#N/A</v>
      </c>
    </row>
    <row r="150" spans="2:39" ht="21" customHeight="1" x14ac:dyDescent="0.35">
      <c r="B150" s="39"/>
      <c r="C150" s="117" t="s">
        <v>854</v>
      </c>
      <c r="D150" s="96" t="s">
        <v>351</v>
      </c>
      <c r="E150" s="27" t="s">
        <v>44</v>
      </c>
      <c r="F150" s="37" t="s">
        <v>45</v>
      </c>
      <c r="G150" s="33" t="s">
        <v>206</v>
      </c>
      <c r="H150" s="27" t="s">
        <v>314</v>
      </c>
      <c r="I150" s="27" t="s">
        <v>206</v>
      </c>
      <c r="J150" s="37" t="s">
        <v>314</v>
      </c>
      <c r="K150" s="39" t="s">
        <v>102</v>
      </c>
      <c r="L150" s="28" t="s">
        <v>103</v>
      </c>
      <c r="M150" s="28" t="s">
        <v>48</v>
      </c>
      <c r="N150" s="41" t="s">
        <v>104</v>
      </c>
      <c r="O150" s="39" t="s">
        <v>57</v>
      </c>
      <c r="P150" s="28"/>
      <c r="Q150" s="28"/>
      <c r="R150" s="41"/>
      <c r="S150" s="39"/>
      <c r="T150" s="41"/>
      <c r="U150" s="39"/>
      <c r="V150" s="41"/>
      <c r="W150" s="43" t="s">
        <v>711</v>
      </c>
      <c r="X150" s="33"/>
      <c r="Y150" s="27"/>
      <c r="Z150" s="29"/>
      <c r="AB150" s="73" t="str">
        <f t="shared" si="4"/>
        <v>車両姿勢グランドクリアランスMin－</v>
      </c>
      <c r="AC150" s="74" t="e">
        <f>VLOOKUP($AB150,変換表貼り付け用シート!$A$3:$AN$1133,3,FALSE)</f>
        <v>#N/A</v>
      </c>
      <c r="AD150" s="74" t="e">
        <f t="shared" si="5"/>
        <v>#N/A</v>
      </c>
      <c r="AE150" s="79" t="e">
        <f>IF(VLOOKUP($AB150,変換表貼り付け用シート!$A$3:$AN$3000,12,FALSE)="","",(VLOOKUP($AB150,変換表貼り付け用シート!$A$3:$AN$3000,12,FALSE)))</f>
        <v>#N/A</v>
      </c>
      <c r="AF150" s="80" t="e">
        <f>IF(VLOOKUP($AB150,変換表貼り付け用シート!$A$3:$AN$3000,13,FALSE)="","",(VLOOKUP($AB150,変換表貼り付け用シート!$A$3:$AN$3000,13,FALSE)))</f>
        <v>#N/A</v>
      </c>
      <c r="AG150" s="80" t="e">
        <f>IF(VLOOKUP($AB150,変換表貼り付け用シート!$A$3:$AN$3000,14,FALSE)="","",(VLOOKUP($AB150,変換表貼り付け用シート!$A$3:$AN$3000,14,FALSE)))</f>
        <v>#N/A</v>
      </c>
      <c r="AH150" s="85" t="e">
        <f>IF(VLOOKUP($AB150,変換表貼り付け用シート!$A$3:$AN$3000,15,FALSE)="","",(VLOOKUP($AB150,変換表貼り付け用シート!$A$3:$AN$3000,15,FALSE)))</f>
        <v>#N/A</v>
      </c>
      <c r="AI150" s="79" t="e">
        <f>IF(VLOOKUP($AB150,変換表貼り付け用シート!$A$3:$AN$3000,16,FALSE)="","",(VLOOKUP($AB150,変換表貼り付け用シート!$A$3:$AN$3000,16,FALSE)))</f>
        <v>#N/A</v>
      </c>
      <c r="AJ150" s="81" t="e">
        <f>IF(VLOOKUP($AB150,変換表貼り付け用シート!$A$3:$AN$3000,17,FALSE)="","",(VLOOKUP($AB150,変換表貼り付け用シート!$A$3:$AN$3000,17,FALSE)))</f>
        <v>#N/A</v>
      </c>
      <c r="AK150" s="88" t="e">
        <f>IF(VLOOKUP($AB150,変換表貼り付け用シート!$A$3:$AN$3000,18,FALSE)="","",(VLOOKUP($AB150,変換表貼り付け用シート!$A$3:$AN$3000,18,FALSE)))</f>
        <v>#N/A</v>
      </c>
      <c r="AL150" s="81" t="e">
        <f>IF(VLOOKUP($AB150,変換表貼り付け用シート!$A$3:$AN$3000,19,FALSE)="","",(VLOOKUP($AB150,変換表貼り付け用シート!$A$3:$AN$3000,19,FALSE)))</f>
        <v>#N/A</v>
      </c>
      <c r="AM150" s="75" t="e">
        <f>IF(VLOOKUP($AB150,変換表貼り付け用シート!$A$3:$AN$3000,20,FALSE)="","",(VLOOKUP($AB150,変換表貼り付け用シート!$A$3:$AN$3000,20,FALSE)))</f>
        <v>#N/A</v>
      </c>
    </row>
    <row r="151" spans="2:39" ht="21" customHeight="1" x14ac:dyDescent="0.35">
      <c r="B151" s="39"/>
      <c r="C151" s="117" t="s">
        <v>855</v>
      </c>
      <c r="D151" s="96" t="s">
        <v>352</v>
      </c>
      <c r="E151" s="27" t="s">
        <v>44</v>
      </c>
      <c r="F151" s="37" t="s">
        <v>45</v>
      </c>
      <c r="G151" s="33" t="s">
        <v>206</v>
      </c>
      <c r="H151" s="27" t="s">
        <v>314</v>
      </c>
      <c r="I151" s="27" t="s">
        <v>206</v>
      </c>
      <c r="J151" s="37" t="s">
        <v>314</v>
      </c>
      <c r="K151" s="39" t="s">
        <v>105</v>
      </c>
      <c r="L151" s="28" t="s">
        <v>106</v>
      </c>
      <c r="M151" s="28" t="s">
        <v>48</v>
      </c>
      <c r="N151" s="41" t="s">
        <v>49</v>
      </c>
      <c r="O151" s="39">
        <v>1237</v>
      </c>
      <c r="P151" s="28"/>
      <c r="Q151" s="28"/>
      <c r="R151" s="41"/>
      <c r="S151" s="39"/>
      <c r="T151" s="41"/>
      <c r="U151" s="39"/>
      <c r="V151" s="41"/>
      <c r="W151" s="43" t="s">
        <v>711</v>
      </c>
      <c r="X151" s="33"/>
      <c r="Y151" s="27"/>
      <c r="Z151" s="29"/>
      <c r="AB151" s="73" t="str">
        <f t="shared" si="4"/>
        <v>Test Weight航続距離試験(ETW)Total－</v>
      </c>
      <c r="AC151" s="74" t="e">
        <f>VLOOKUP($AB151,変換表貼り付け用シート!$A$3:$AN$1133,3,FALSE)</f>
        <v>#N/A</v>
      </c>
      <c r="AD151" s="74" t="e">
        <f t="shared" si="5"/>
        <v>#N/A</v>
      </c>
      <c r="AE151" s="79" t="e">
        <f>IF(VLOOKUP($AB151,変換表貼り付け用シート!$A$3:$AN$3000,12,FALSE)="","",(VLOOKUP($AB151,変換表貼り付け用シート!$A$3:$AN$3000,12,FALSE)))</f>
        <v>#N/A</v>
      </c>
      <c r="AF151" s="80" t="e">
        <f>IF(VLOOKUP($AB151,変換表貼り付け用シート!$A$3:$AN$3000,13,FALSE)="","",(VLOOKUP($AB151,変換表貼り付け用シート!$A$3:$AN$3000,13,FALSE)))</f>
        <v>#N/A</v>
      </c>
      <c r="AG151" s="80" t="e">
        <f>IF(VLOOKUP($AB151,変換表貼り付け用シート!$A$3:$AN$3000,14,FALSE)="","",(VLOOKUP($AB151,変換表貼り付け用シート!$A$3:$AN$3000,14,FALSE)))</f>
        <v>#N/A</v>
      </c>
      <c r="AH151" s="85" t="e">
        <f>IF(VLOOKUP($AB151,変換表貼り付け用シート!$A$3:$AN$3000,15,FALSE)="","",(VLOOKUP($AB151,変換表貼り付け用シート!$A$3:$AN$3000,15,FALSE)))</f>
        <v>#N/A</v>
      </c>
      <c r="AI151" s="79" t="e">
        <f>IF(VLOOKUP($AB151,変換表貼り付け用シート!$A$3:$AN$3000,16,FALSE)="","",(VLOOKUP($AB151,変換表貼り付け用シート!$A$3:$AN$3000,16,FALSE)))</f>
        <v>#N/A</v>
      </c>
      <c r="AJ151" s="81" t="e">
        <f>IF(VLOOKUP($AB151,変換表貼り付け用シート!$A$3:$AN$3000,17,FALSE)="","",(VLOOKUP($AB151,変換表貼り付け用シート!$A$3:$AN$3000,17,FALSE)))</f>
        <v>#N/A</v>
      </c>
      <c r="AK151" s="88" t="e">
        <f>IF(VLOOKUP($AB151,変換表貼り付け用シート!$A$3:$AN$3000,18,FALSE)="","",(VLOOKUP($AB151,変換表貼り付け用シート!$A$3:$AN$3000,18,FALSE)))</f>
        <v>#N/A</v>
      </c>
      <c r="AL151" s="81" t="e">
        <f>IF(VLOOKUP($AB151,変換表貼り付け用シート!$A$3:$AN$3000,19,FALSE)="","",(VLOOKUP($AB151,変換表貼り付け用シート!$A$3:$AN$3000,19,FALSE)))</f>
        <v>#N/A</v>
      </c>
      <c r="AM151" s="75" t="e">
        <f>IF(VLOOKUP($AB151,変換表貼り付け用シート!$A$3:$AN$3000,20,FALSE)="","",(VLOOKUP($AB151,変換表貼り付け用シート!$A$3:$AN$3000,20,FALSE)))</f>
        <v>#N/A</v>
      </c>
    </row>
    <row r="152" spans="2:39" ht="21" customHeight="1" x14ac:dyDescent="0.35">
      <c r="B152" s="39"/>
      <c r="C152" s="117" t="s">
        <v>856</v>
      </c>
      <c r="D152" s="96" t="s">
        <v>353</v>
      </c>
      <c r="E152" s="27" t="s">
        <v>44</v>
      </c>
      <c r="F152" s="37" t="s">
        <v>45</v>
      </c>
      <c r="G152" s="33" t="s">
        <v>206</v>
      </c>
      <c r="H152" s="27" t="s">
        <v>314</v>
      </c>
      <c r="I152" s="27" t="s">
        <v>206</v>
      </c>
      <c r="J152" s="37" t="s">
        <v>314</v>
      </c>
      <c r="K152" s="39" t="s">
        <v>105</v>
      </c>
      <c r="L152" s="28" t="s">
        <v>107</v>
      </c>
      <c r="M152" s="28" t="s">
        <v>48</v>
      </c>
      <c r="N152" s="41" t="s">
        <v>49</v>
      </c>
      <c r="O152" s="39" t="s">
        <v>108</v>
      </c>
      <c r="P152" s="28"/>
      <c r="Q152" s="28"/>
      <c r="R152" s="41"/>
      <c r="S152" s="39"/>
      <c r="T152" s="41"/>
      <c r="U152" s="39"/>
      <c r="V152" s="41"/>
      <c r="W152" s="43" t="s">
        <v>711</v>
      </c>
      <c r="X152" s="33"/>
      <c r="Y152" s="27"/>
      <c r="Z152" s="29"/>
      <c r="AB152" s="73" t="str">
        <f t="shared" si="4"/>
        <v>Test Weight航続距離試験(ETW)FR－</v>
      </c>
      <c r="AC152" s="74" t="e">
        <f>VLOOKUP($AB152,変換表貼り付け用シート!$A$3:$AN$1133,3,FALSE)</f>
        <v>#N/A</v>
      </c>
      <c r="AD152" s="74" t="e">
        <f t="shared" si="5"/>
        <v>#N/A</v>
      </c>
      <c r="AE152" s="79" t="e">
        <f>IF(VLOOKUP($AB152,変換表貼り付け用シート!$A$3:$AN$3000,12,FALSE)="","",(VLOOKUP($AB152,変換表貼り付け用シート!$A$3:$AN$3000,12,FALSE)))</f>
        <v>#N/A</v>
      </c>
      <c r="AF152" s="80" t="e">
        <f>IF(VLOOKUP($AB152,変換表貼り付け用シート!$A$3:$AN$3000,13,FALSE)="","",(VLOOKUP($AB152,変換表貼り付け用シート!$A$3:$AN$3000,13,FALSE)))</f>
        <v>#N/A</v>
      </c>
      <c r="AG152" s="80" t="e">
        <f>IF(VLOOKUP($AB152,変換表貼り付け用シート!$A$3:$AN$3000,14,FALSE)="","",(VLOOKUP($AB152,変換表貼り付け用シート!$A$3:$AN$3000,14,FALSE)))</f>
        <v>#N/A</v>
      </c>
      <c r="AH152" s="85" t="e">
        <f>IF(VLOOKUP($AB152,変換表貼り付け用シート!$A$3:$AN$3000,15,FALSE)="","",(VLOOKUP($AB152,変換表貼り付け用シート!$A$3:$AN$3000,15,FALSE)))</f>
        <v>#N/A</v>
      </c>
      <c r="AI152" s="79" t="e">
        <f>IF(VLOOKUP($AB152,変換表貼り付け用シート!$A$3:$AN$3000,16,FALSE)="","",(VLOOKUP($AB152,変換表貼り付け用シート!$A$3:$AN$3000,16,FALSE)))</f>
        <v>#N/A</v>
      </c>
      <c r="AJ152" s="81" t="e">
        <f>IF(VLOOKUP($AB152,変換表貼り付け用シート!$A$3:$AN$3000,17,FALSE)="","",(VLOOKUP($AB152,変換表貼り付け用シート!$A$3:$AN$3000,17,FALSE)))</f>
        <v>#N/A</v>
      </c>
      <c r="AK152" s="88" t="e">
        <f>IF(VLOOKUP($AB152,変換表貼り付け用シート!$A$3:$AN$3000,18,FALSE)="","",(VLOOKUP($AB152,変換表貼り付け用シート!$A$3:$AN$3000,18,FALSE)))</f>
        <v>#N/A</v>
      </c>
      <c r="AL152" s="81" t="e">
        <f>IF(VLOOKUP($AB152,変換表貼り付け用シート!$A$3:$AN$3000,19,FALSE)="","",(VLOOKUP($AB152,変換表貼り付け用シート!$A$3:$AN$3000,19,FALSE)))</f>
        <v>#N/A</v>
      </c>
      <c r="AM152" s="75" t="e">
        <f>IF(VLOOKUP($AB152,変換表貼り付け用シート!$A$3:$AN$3000,20,FALSE)="","",(VLOOKUP($AB152,変換表貼り付け用シート!$A$3:$AN$3000,20,FALSE)))</f>
        <v>#N/A</v>
      </c>
    </row>
    <row r="153" spans="2:39" ht="21" customHeight="1" x14ac:dyDescent="0.35">
      <c r="B153" s="39"/>
      <c r="C153" s="117" t="s">
        <v>857</v>
      </c>
      <c r="D153" s="96" t="s">
        <v>354</v>
      </c>
      <c r="E153" s="27" t="s">
        <v>44</v>
      </c>
      <c r="F153" s="37" t="s">
        <v>45</v>
      </c>
      <c r="G153" s="33" t="s">
        <v>206</v>
      </c>
      <c r="H153" s="27" t="s">
        <v>314</v>
      </c>
      <c r="I153" s="27" t="s">
        <v>206</v>
      </c>
      <c r="J153" s="37" t="s">
        <v>314</v>
      </c>
      <c r="K153" s="39" t="s">
        <v>105</v>
      </c>
      <c r="L153" s="28" t="s">
        <v>109</v>
      </c>
      <c r="M153" s="28" t="s">
        <v>48</v>
      </c>
      <c r="N153" s="41" t="s">
        <v>49</v>
      </c>
      <c r="O153" s="39" t="s">
        <v>108</v>
      </c>
      <c r="P153" s="28"/>
      <c r="Q153" s="28"/>
      <c r="R153" s="41"/>
      <c r="S153" s="39"/>
      <c r="T153" s="41"/>
      <c r="U153" s="39"/>
      <c r="V153" s="41"/>
      <c r="W153" s="43" t="s">
        <v>711</v>
      </c>
      <c r="X153" s="33"/>
      <c r="Y153" s="27"/>
      <c r="Z153" s="29"/>
      <c r="AB153" s="73" t="str">
        <f t="shared" si="4"/>
        <v>Test Weight航続距離試験(ETW)RR－</v>
      </c>
      <c r="AC153" s="74" t="e">
        <f>VLOOKUP($AB153,変換表貼り付け用シート!$A$3:$AN$1133,3,FALSE)</f>
        <v>#N/A</v>
      </c>
      <c r="AD153" s="74" t="e">
        <f t="shared" si="5"/>
        <v>#N/A</v>
      </c>
      <c r="AE153" s="79" t="e">
        <f>IF(VLOOKUP($AB153,変換表貼り付け用シート!$A$3:$AN$3000,12,FALSE)="","",(VLOOKUP($AB153,変換表貼り付け用シート!$A$3:$AN$3000,12,FALSE)))</f>
        <v>#N/A</v>
      </c>
      <c r="AF153" s="80" t="e">
        <f>IF(VLOOKUP($AB153,変換表貼り付け用シート!$A$3:$AN$3000,13,FALSE)="","",(VLOOKUP($AB153,変換表貼り付け用シート!$A$3:$AN$3000,13,FALSE)))</f>
        <v>#N/A</v>
      </c>
      <c r="AG153" s="80" t="e">
        <f>IF(VLOOKUP($AB153,変換表貼り付け用シート!$A$3:$AN$3000,14,FALSE)="","",(VLOOKUP($AB153,変換表貼り付け用シート!$A$3:$AN$3000,14,FALSE)))</f>
        <v>#N/A</v>
      </c>
      <c r="AH153" s="85" t="e">
        <f>IF(VLOOKUP($AB153,変換表貼り付け用シート!$A$3:$AN$3000,15,FALSE)="","",(VLOOKUP($AB153,変換表貼り付け用シート!$A$3:$AN$3000,15,FALSE)))</f>
        <v>#N/A</v>
      </c>
      <c r="AI153" s="79" t="e">
        <f>IF(VLOOKUP($AB153,変換表貼り付け用シート!$A$3:$AN$3000,16,FALSE)="","",(VLOOKUP($AB153,変換表貼り付け用シート!$A$3:$AN$3000,16,FALSE)))</f>
        <v>#N/A</v>
      </c>
      <c r="AJ153" s="81" t="e">
        <f>IF(VLOOKUP($AB153,変換表貼り付け用シート!$A$3:$AN$3000,17,FALSE)="","",(VLOOKUP($AB153,変換表貼り付け用シート!$A$3:$AN$3000,17,FALSE)))</f>
        <v>#N/A</v>
      </c>
      <c r="AK153" s="88" t="e">
        <f>IF(VLOOKUP($AB153,変換表貼り付け用シート!$A$3:$AN$3000,18,FALSE)="","",(VLOOKUP($AB153,変換表貼り付け用シート!$A$3:$AN$3000,18,FALSE)))</f>
        <v>#N/A</v>
      </c>
      <c r="AL153" s="81" t="e">
        <f>IF(VLOOKUP($AB153,変換表貼り付け用シート!$A$3:$AN$3000,19,FALSE)="","",(VLOOKUP($AB153,変換表貼り付け用シート!$A$3:$AN$3000,19,FALSE)))</f>
        <v>#N/A</v>
      </c>
      <c r="AM153" s="75" t="e">
        <f>IF(VLOOKUP($AB153,変換表貼り付け用シート!$A$3:$AN$3000,20,FALSE)="","",(VLOOKUP($AB153,変換表貼り付け用シート!$A$3:$AN$3000,20,FALSE)))</f>
        <v>#N/A</v>
      </c>
    </row>
    <row r="154" spans="2:39" ht="21" customHeight="1" x14ac:dyDescent="0.35">
      <c r="B154" s="39"/>
      <c r="C154" s="117" t="s">
        <v>858</v>
      </c>
      <c r="D154" s="96" t="s">
        <v>355</v>
      </c>
      <c r="E154" s="27" t="s">
        <v>44</v>
      </c>
      <c r="F154" s="37" t="s">
        <v>45</v>
      </c>
      <c r="G154" s="33" t="s">
        <v>206</v>
      </c>
      <c r="H154" s="27" t="s">
        <v>314</v>
      </c>
      <c r="I154" s="27" t="s">
        <v>206</v>
      </c>
      <c r="J154" s="37" t="s">
        <v>314</v>
      </c>
      <c r="K154" s="39" t="s">
        <v>105</v>
      </c>
      <c r="L154" s="28" t="s">
        <v>110</v>
      </c>
      <c r="M154" s="28" t="s">
        <v>48</v>
      </c>
      <c r="N154" s="41" t="s">
        <v>49</v>
      </c>
      <c r="O154" s="39">
        <v>1322</v>
      </c>
      <c r="P154" s="28"/>
      <c r="Q154" s="28"/>
      <c r="R154" s="41"/>
      <c r="S154" s="39"/>
      <c r="T154" s="41"/>
      <c r="U154" s="39"/>
      <c r="V154" s="41"/>
      <c r="W154" s="43" t="s">
        <v>711</v>
      </c>
      <c r="X154" s="33"/>
      <c r="Y154" s="27"/>
      <c r="Z154" s="29"/>
      <c r="AB154" s="73" t="str">
        <f t="shared" si="4"/>
        <v>Test Weight動力当り前性能 －</v>
      </c>
      <c r="AC154" s="74" t="e">
        <f>VLOOKUP($AB154,変換表貼り付け用シート!$A$3:$AN$1133,3,FALSE)</f>
        <v>#N/A</v>
      </c>
      <c r="AD154" s="74" t="e">
        <f t="shared" si="5"/>
        <v>#N/A</v>
      </c>
      <c r="AE154" s="79" t="e">
        <f>IF(VLOOKUP($AB154,変換表貼り付け用シート!$A$3:$AN$3000,12,FALSE)="","",(VLOOKUP($AB154,変換表貼り付け用シート!$A$3:$AN$3000,12,FALSE)))</f>
        <v>#N/A</v>
      </c>
      <c r="AF154" s="80" t="e">
        <f>IF(VLOOKUP($AB154,変換表貼り付け用シート!$A$3:$AN$3000,13,FALSE)="","",(VLOOKUP($AB154,変換表貼り付け用シート!$A$3:$AN$3000,13,FALSE)))</f>
        <v>#N/A</v>
      </c>
      <c r="AG154" s="80" t="e">
        <f>IF(VLOOKUP($AB154,変換表貼り付け用シート!$A$3:$AN$3000,14,FALSE)="","",(VLOOKUP($AB154,変換表貼り付け用シート!$A$3:$AN$3000,14,FALSE)))</f>
        <v>#N/A</v>
      </c>
      <c r="AH154" s="85" t="e">
        <f>IF(VLOOKUP($AB154,変換表貼り付け用シート!$A$3:$AN$3000,15,FALSE)="","",(VLOOKUP($AB154,変換表貼り付け用シート!$A$3:$AN$3000,15,FALSE)))</f>
        <v>#N/A</v>
      </c>
      <c r="AI154" s="79" t="e">
        <f>IF(VLOOKUP($AB154,変換表貼り付け用シート!$A$3:$AN$3000,16,FALSE)="","",(VLOOKUP($AB154,変換表貼り付け用シート!$A$3:$AN$3000,16,FALSE)))</f>
        <v>#N/A</v>
      </c>
      <c r="AJ154" s="81" t="e">
        <f>IF(VLOOKUP($AB154,変換表貼り付け用シート!$A$3:$AN$3000,17,FALSE)="","",(VLOOKUP($AB154,変換表貼り付け用シート!$A$3:$AN$3000,17,FALSE)))</f>
        <v>#N/A</v>
      </c>
      <c r="AK154" s="88" t="e">
        <f>IF(VLOOKUP($AB154,変換表貼り付け用シート!$A$3:$AN$3000,18,FALSE)="","",(VLOOKUP($AB154,変換表貼り付け用シート!$A$3:$AN$3000,18,FALSE)))</f>
        <v>#N/A</v>
      </c>
      <c r="AL154" s="81" t="e">
        <f>IF(VLOOKUP($AB154,変換表貼り付け用シート!$A$3:$AN$3000,19,FALSE)="","",(VLOOKUP($AB154,変換表貼り付け用シート!$A$3:$AN$3000,19,FALSE)))</f>
        <v>#N/A</v>
      </c>
      <c r="AM154" s="75" t="e">
        <f>IF(VLOOKUP($AB154,変換表貼り付け用シート!$A$3:$AN$3000,20,FALSE)="","",(VLOOKUP($AB154,変換表貼り付け用シート!$A$3:$AN$3000,20,FALSE)))</f>
        <v>#N/A</v>
      </c>
    </row>
    <row r="155" spans="2:39" ht="21" customHeight="1" x14ac:dyDescent="0.35">
      <c r="B155" s="39"/>
      <c r="C155" s="117" t="s">
        <v>859</v>
      </c>
      <c r="D155" s="96" t="s">
        <v>356</v>
      </c>
      <c r="E155" s="27" t="s">
        <v>44</v>
      </c>
      <c r="F155" s="37" t="s">
        <v>45</v>
      </c>
      <c r="G155" s="33" t="s">
        <v>206</v>
      </c>
      <c r="H155" s="27" t="s">
        <v>314</v>
      </c>
      <c r="I155" s="27" t="s">
        <v>206</v>
      </c>
      <c r="J155" s="37" t="s">
        <v>314</v>
      </c>
      <c r="K155" s="39" t="s">
        <v>105</v>
      </c>
      <c r="L155" s="28" t="s">
        <v>111</v>
      </c>
      <c r="M155" s="28" t="s">
        <v>48</v>
      </c>
      <c r="N155" s="41" t="s">
        <v>49</v>
      </c>
      <c r="O155" s="39">
        <v>1247</v>
      </c>
      <c r="P155" s="28"/>
      <c r="Q155" s="28"/>
      <c r="R155" s="41"/>
      <c r="S155" s="39"/>
      <c r="T155" s="41"/>
      <c r="U155" s="39"/>
      <c r="V155" s="41"/>
      <c r="W155" s="43" t="s">
        <v>711</v>
      </c>
      <c r="X155" s="33"/>
      <c r="Y155" s="27"/>
      <c r="Z155" s="29"/>
      <c r="AB155" s="73" t="str">
        <f t="shared" si="4"/>
        <v>Test Weight動力Accerelation－</v>
      </c>
      <c r="AC155" s="74" t="e">
        <f>VLOOKUP($AB155,変換表貼り付け用シート!$A$3:$AN$1133,3,FALSE)</f>
        <v>#N/A</v>
      </c>
      <c r="AD155" s="74" t="e">
        <f t="shared" si="5"/>
        <v>#N/A</v>
      </c>
      <c r="AE155" s="79" t="e">
        <f>IF(VLOOKUP($AB155,変換表貼り付け用シート!$A$3:$AN$3000,12,FALSE)="","",(VLOOKUP($AB155,変換表貼り付け用シート!$A$3:$AN$3000,12,FALSE)))</f>
        <v>#N/A</v>
      </c>
      <c r="AF155" s="80" t="e">
        <f>IF(VLOOKUP($AB155,変換表貼り付け用シート!$A$3:$AN$3000,13,FALSE)="","",(VLOOKUP($AB155,変換表貼り付け用シート!$A$3:$AN$3000,13,FALSE)))</f>
        <v>#N/A</v>
      </c>
      <c r="AG155" s="80" t="e">
        <f>IF(VLOOKUP($AB155,変換表貼り付け用シート!$A$3:$AN$3000,14,FALSE)="","",(VLOOKUP($AB155,変換表貼り付け用シート!$A$3:$AN$3000,14,FALSE)))</f>
        <v>#N/A</v>
      </c>
      <c r="AH155" s="85" t="e">
        <f>IF(VLOOKUP($AB155,変換表貼り付け用シート!$A$3:$AN$3000,15,FALSE)="","",(VLOOKUP($AB155,変換表貼り付け用シート!$A$3:$AN$3000,15,FALSE)))</f>
        <v>#N/A</v>
      </c>
      <c r="AI155" s="79" t="e">
        <f>IF(VLOOKUP($AB155,変換表貼り付け用シート!$A$3:$AN$3000,16,FALSE)="","",(VLOOKUP($AB155,変換表貼り付け用シート!$A$3:$AN$3000,16,FALSE)))</f>
        <v>#N/A</v>
      </c>
      <c r="AJ155" s="81" t="e">
        <f>IF(VLOOKUP($AB155,変換表貼り付け用シート!$A$3:$AN$3000,17,FALSE)="","",(VLOOKUP($AB155,変換表貼り付け用シート!$A$3:$AN$3000,17,FALSE)))</f>
        <v>#N/A</v>
      </c>
      <c r="AK155" s="88" t="e">
        <f>IF(VLOOKUP($AB155,変換表貼り付け用シート!$A$3:$AN$3000,18,FALSE)="","",(VLOOKUP($AB155,変換表貼り付け用シート!$A$3:$AN$3000,18,FALSE)))</f>
        <v>#N/A</v>
      </c>
      <c r="AL155" s="81" t="e">
        <f>IF(VLOOKUP($AB155,変換表貼り付け用シート!$A$3:$AN$3000,19,FALSE)="","",(VLOOKUP($AB155,変換表貼り付け用シート!$A$3:$AN$3000,19,FALSE)))</f>
        <v>#N/A</v>
      </c>
      <c r="AM155" s="75" t="e">
        <f>IF(VLOOKUP($AB155,変換表貼り付け用シート!$A$3:$AN$3000,20,FALSE)="","",(VLOOKUP($AB155,変換表貼り付け用シート!$A$3:$AN$3000,20,FALSE)))</f>
        <v>#N/A</v>
      </c>
    </row>
    <row r="156" spans="2:39" ht="21" customHeight="1" x14ac:dyDescent="0.35">
      <c r="B156" s="39"/>
      <c r="C156" s="117" t="s">
        <v>860</v>
      </c>
      <c r="D156" s="96" t="s">
        <v>357</v>
      </c>
      <c r="E156" s="27" t="s">
        <v>44</v>
      </c>
      <c r="F156" s="37" t="s">
        <v>45</v>
      </c>
      <c r="G156" s="33" t="s">
        <v>206</v>
      </c>
      <c r="H156" s="27" t="s">
        <v>314</v>
      </c>
      <c r="I156" s="27" t="s">
        <v>206</v>
      </c>
      <c r="J156" s="37" t="s">
        <v>314</v>
      </c>
      <c r="K156" s="39" t="s">
        <v>105</v>
      </c>
      <c r="L156" s="28" t="s">
        <v>112</v>
      </c>
      <c r="M156" s="28" t="s">
        <v>48</v>
      </c>
      <c r="N156" s="41" t="s">
        <v>49</v>
      </c>
      <c r="O156" s="39">
        <v>1247</v>
      </c>
      <c r="P156" s="28"/>
      <c r="Q156" s="28"/>
      <c r="R156" s="41"/>
      <c r="S156" s="39"/>
      <c r="T156" s="41"/>
      <c r="U156" s="39"/>
      <c r="V156" s="41"/>
      <c r="W156" s="43" t="s">
        <v>711</v>
      </c>
      <c r="X156" s="33"/>
      <c r="Y156" s="27"/>
      <c r="Z156" s="29"/>
      <c r="AB156" s="73" t="str">
        <f t="shared" si="4"/>
        <v>Test Weight動力Vmax－</v>
      </c>
      <c r="AC156" s="74" t="e">
        <f>VLOOKUP($AB156,変換表貼り付け用シート!$A$3:$AN$1133,3,FALSE)</f>
        <v>#N/A</v>
      </c>
      <c r="AD156" s="74" t="e">
        <f t="shared" si="5"/>
        <v>#N/A</v>
      </c>
      <c r="AE156" s="79" t="e">
        <f>IF(VLOOKUP($AB156,変換表貼り付け用シート!$A$3:$AN$3000,12,FALSE)="","",(VLOOKUP($AB156,変換表貼り付け用シート!$A$3:$AN$3000,12,FALSE)))</f>
        <v>#N/A</v>
      </c>
      <c r="AF156" s="80" t="e">
        <f>IF(VLOOKUP($AB156,変換表貼り付け用シート!$A$3:$AN$3000,13,FALSE)="","",(VLOOKUP($AB156,変換表貼り付け用シート!$A$3:$AN$3000,13,FALSE)))</f>
        <v>#N/A</v>
      </c>
      <c r="AG156" s="80" t="e">
        <f>IF(VLOOKUP($AB156,変換表貼り付け用シート!$A$3:$AN$3000,14,FALSE)="","",(VLOOKUP($AB156,変換表貼り付け用シート!$A$3:$AN$3000,14,FALSE)))</f>
        <v>#N/A</v>
      </c>
      <c r="AH156" s="85" t="e">
        <f>IF(VLOOKUP($AB156,変換表貼り付け用シート!$A$3:$AN$3000,15,FALSE)="","",(VLOOKUP($AB156,変換表貼り付け用シート!$A$3:$AN$3000,15,FALSE)))</f>
        <v>#N/A</v>
      </c>
      <c r="AI156" s="79" t="e">
        <f>IF(VLOOKUP($AB156,変換表貼り付け用シート!$A$3:$AN$3000,16,FALSE)="","",(VLOOKUP($AB156,変換表貼り付け用シート!$A$3:$AN$3000,16,FALSE)))</f>
        <v>#N/A</v>
      </c>
      <c r="AJ156" s="81" t="e">
        <f>IF(VLOOKUP($AB156,変換表貼り付け用シート!$A$3:$AN$3000,17,FALSE)="","",(VLOOKUP($AB156,変換表貼り付け用シート!$A$3:$AN$3000,17,FALSE)))</f>
        <v>#N/A</v>
      </c>
      <c r="AK156" s="88" t="e">
        <f>IF(VLOOKUP($AB156,変換表貼り付け用シート!$A$3:$AN$3000,18,FALSE)="","",(VLOOKUP($AB156,変換表貼り付け用シート!$A$3:$AN$3000,18,FALSE)))</f>
        <v>#N/A</v>
      </c>
      <c r="AL156" s="81" t="e">
        <f>IF(VLOOKUP($AB156,変換表貼り付け用シート!$A$3:$AN$3000,19,FALSE)="","",(VLOOKUP($AB156,変換表貼り付け用シート!$A$3:$AN$3000,19,FALSE)))</f>
        <v>#N/A</v>
      </c>
      <c r="AM156" s="75" t="e">
        <f>IF(VLOOKUP($AB156,変換表貼り付け用シート!$A$3:$AN$3000,20,FALSE)="","",(VLOOKUP($AB156,変換表貼り付け用シート!$A$3:$AN$3000,20,FALSE)))</f>
        <v>#N/A</v>
      </c>
    </row>
    <row r="157" spans="2:39" ht="21" customHeight="1" x14ac:dyDescent="0.35">
      <c r="B157" s="39"/>
      <c r="C157" s="117" t="s">
        <v>861</v>
      </c>
      <c r="D157" s="96" t="s">
        <v>358</v>
      </c>
      <c r="E157" s="27" t="s">
        <v>44</v>
      </c>
      <c r="F157" s="37" t="s">
        <v>45</v>
      </c>
      <c r="G157" s="33" t="s">
        <v>206</v>
      </c>
      <c r="H157" s="27" t="s">
        <v>314</v>
      </c>
      <c r="I157" s="27" t="s">
        <v>206</v>
      </c>
      <c r="J157" s="37" t="s">
        <v>314</v>
      </c>
      <c r="K157" s="39" t="s">
        <v>105</v>
      </c>
      <c r="L157" s="28" t="s">
        <v>113</v>
      </c>
      <c r="M157" s="28" t="s">
        <v>48</v>
      </c>
      <c r="N157" s="41" t="s">
        <v>49</v>
      </c>
      <c r="O157" s="39">
        <v>1380</v>
      </c>
      <c r="P157" s="28"/>
      <c r="Q157" s="28"/>
      <c r="R157" s="41"/>
      <c r="S157" s="39"/>
      <c r="T157" s="41"/>
      <c r="U157" s="39"/>
      <c r="V157" s="41"/>
      <c r="W157" s="43" t="s">
        <v>711</v>
      </c>
      <c r="X157" s="33"/>
      <c r="Y157" s="27"/>
      <c r="Z157" s="29"/>
      <c r="AB157" s="73" t="str">
        <f t="shared" si="4"/>
        <v>Test Weight熱NEMシビアシーン－</v>
      </c>
      <c r="AC157" s="74" t="e">
        <f>VLOOKUP($AB157,変換表貼り付け用シート!$A$3:$AN$1133,3,FALSE)</f>
        <v>#N/A</v>
      </c>
      <c r="AD157" s="74" t="e">
        <f t="shared" si="5"/>
        <v>#N/A</v>
      </c>
      <c r="AE157" s="79" t="e">
        <f>IF(VLOOKUP($AB157,変換表貼り付け用シート!$A$3:$AN$3000,12,FALSE)="","",(VLOOKUP($AB157,変換表貼り付け用シート!$A$3:$AN$3000,12,FALSE)))</f>
        <v>#N/A</v>
      </c>
      <c r="AF157" s="80" t="e">
        <f>IF(VLOOKUP($AB157,変換表貼り付け用シート!$A$3:$AN$3000,13,FALSE)="","",(VLOOKUP($AB157,変換表貼り付け用シート!$A$3:$AN$3000,13,FALSE)))</f>
        <v>#N/A</v>
      </c>
      <c r="AG157" s="80" t="e">
        <f>IF(VLOOKUP($AB157,変換表貼り付け用シート!$A$3:$AN$3000,14,FALSE)="","",(VLOOKUP($AB157,変換表貼り付け用シート!$A$3:$AN$3000,14,FALSE)))</f>
        <v>#N/A</v>
      </c>
      <c r="AH157" s="85" t="e">
        <f>IF(VLOOKUP($AB157,変換表貼り付け用シート!$A$3:$AN$3000,15,FALSE)="","",(VLOOKUP($AB157,変換表貼り付け用シート!$A$3:$AN$3000,15,FALSE)))</f>
        <v>#N/A</v>
      </c>
      <c r="AI157" s="79" t="e">
        <f>IF(VLOOKUP($AB157,変換表貼り付け用シート!$A$3:$AN$3000,16,FALSE)="","",(VLOOKUP($AB157,変換表貼り付け用シート!$A$3:$AN$3000,16,FALSE)))</f>
        <v>#N/A</v>
      </c>
      <c r="AJ157" s="81" t="e">
        <f>IF(VLOOKUP($AB157,変換表貼り付け用シート!$A$3:$AN$3000,17,FALSE)="","",(VLOOKUP($AB157,変換表貼り付け用シート!$A$3:$AN$3000,17,FALSE)))</f>
        <v>#N/A</v>
      </c>
      <c r="AK157" s="88" t="e">
        <f>IF(VLOOKUP($AB157,変換表貼り付け用シート!$A$3:$AN$3000,18,FALSE)="","",(VLOOKUP($AB157,変換表貼り付け用シート!$A$3:$AN$3000,18,FALSE)))</f>
        <v>#N/A</v>
      </c>
      <c r="AL157" s="81" t="e">
        <f>IF(VLOOKUP($AB157,変換表貼り付け用シート!$A$3:$AN$3000,19,FALSE)="","",(VLOOKUP($AB157,変換表貼り付け用シート!$A$3:$AN$3000,19,FALSE)))</f>
        <v>#N/A</v>
      </c>
      <c r="AM157" s="75" t="e">
        <f>IF(VLOOKUP($AB157,変換表貼り付け用シート!$A$3:$AN$3000,20,FALSE)="","",(VLOOKUP($AB157,変換表貼り付け用シート!$A$3:$AN$3000,20,FALSE)))</f>
        <v>#N/A</v>
      </c>
    </row>
    <row r="158" spans="2:39" ht="21" customHeight="1" x14ac:dyDescent="0.35">
      <c r="B158" s="39"/>
      <c r="C158" s="117" t="s">
        <v>862</v>
      </c>
      <c r="D158" s="96" t="s">
        <v>359</v>
      </c>
      <c r="E158" s="27" t="s">
        <v>44</v>
      </c>
      <c r="F158" s="37" t="s">
        <v>45</v>
      </c>
      <c r="G158" s="33" t="s">
        <v>206</v>
      </c>
      <c r="H158" s="27" t="s">
        <v>314</v>
      </c>
      <c r="I158" s="27" t="s">
        <v>206</v>
      </c>
      <c r="J158" s="37" t="s">
        <v>314</v>
      </c>
      <c r="K158" s="39" t="s">
        <v>105</v>
      </c>
      <c r="L158" s="28" t="s">
        <v>114</v>
      </c>
      <c r="M158" s="28" t="s">
        <v>48</v>
      </c>
      <c r="N158" s="41" t="s">
        <v>49</v>
      </c>
      <c r="O158" s="39">
        <v>1380</v>
      </c>
      <c r="P158" s="28"/>
      <c r="Q158" s="28"/>
      <c r="R158" s="41"/>
      <c r="S158" s="39"/>
      <c r="T158" s="41"/>
      <c r="U158" s="39"/>
      <c r="V158" s="41"/>
      <c r="W158" s="43" t="s">
        <v>711</v>
      </c>
      <c r="X158" s="33"/>
      <c r="Y158" s="27"/>
      <c r="Z158" s="29"/>
      <c r="AB158" s="73" t="str">
        <f t="shared" si="4"/>
        <v>Test Weight熱加減速繰り返し走行－</v>
      </c>
      <c r="AC158" s="74" t="e">
        <f>VLOOKUP($AB158,変換表貼り付け用シート!$A$3:$AN$1133,3,FALSE)</f>
        <v>#N/A</v>
      </c>
      <c r="AD158" s="74" t="e">
        <f t="shared" si="5"/>
        <v>#N/A</v>
      </c>
      <c r="AE158" s="79" t="e">
        <f>IF(VLOOKUP($AB158,変換表貼り付け用シート!$A$3:$AN$3000,12,FALSE)="","",(VLOOKUP($AB158,変換表貼り付け用シート!$A$3:$AN$3000,12,FALSE)))</f>
        <v>#N/A</v>
      </c>
      <c r="AF158" s="80" t="e">
        <f>IF(VLOOKUP($AB158,変換表貼り付け用シート!$A$3:$AN$3000,13,FALSE)="","",(VLOOKUP($AB158,変換表貼り付け用シート!$A$3:$AN$3000,13,FALSE)))</f>
        <v>#N/A</v>
      </c>
      <c r="AG158" s="80" t="e">
        <f>IF(VLOOKUP($AB158,変換表貼り付け用シート!$A$3:$AN$3000,14,FALSE)="","",(VLOOKUP($AB158,変換表貼り付け用シート!$A$3:$AN$3000,14,FALSE)))</f>
        <v>#N/A</v>
      </c>
      <c r="AH158" s="85" t="e">
        <f>IF(VLOOKUP($AB158,変換表貼り付け用シート!$A$3:$AN$3000,15,FALSE)="","",(VLOOKUP($AB158,変換表貼り付け用シート!$A$3:$AN$3000,15,FALSE)))</f>
        <v>#N/A</v>
      </c>
      <c r="AI158" s="79" t="e">
        <f>IF(VLOOKUP($AB158,変換表貼り付け用シート!$A$3:$AN$3000,16,FALSE)="","",(VLOOKUP($AB158,変換表貼り付け用シート!$A$3:$AN$3000,16,FALSE)))</f>
        <v>#N/A</v>
      </c>
      <c r="AJ158" s="81" t="e">
        <f>IF(VLOOKUP($AB158,変換表貼り付け用シート!$A$3:$AN$3000,17,FALSE)="","",(VLOOKUP($AB158,変換表貼り付け用シート!$A$3:$AN$3000,17,FALSE)))</f>
        <v>#N/A</v>
      </c>
      <c r="AK158" s="88" t="e">
        <f>IF(VLOOKUP($AB158,変換表貼り付け用シート!$A$3:$AN$3000,18,FALSE)="","",(VLOOKUP($AB158,変換表貼り付け用シート!$A$3:$AN$3000,18,FALSE)))</f>
        <v>#N/A</v>
      </c>
      <c r="AL158" s="81" t="e">
        <f>IF(VLOOKUP($AB158,変換表貼り付け用シート!$A$3:$AN$3000,19,FALSE)="","",(VLOOKUP($AB158,変換表貼り付け用シート!$A$3:$AN$3000,19,FALSE)))</f>
        <v>#N/A</v>
      </c>
      <c r="AM158" s="75" t="e">
        <f>IF(VLOOKUP($AB158,変換表貼り付け用シート!$A$3:$AN$3000,20,FALSE)="","",(VLOOKUP($AB158,変換表貼り付け用シート!$A$3:$AN$3000,20,FALSE)))</f>
        <v>#N/A</v>
      </c>
    </row>
    <row r="159" spans="2:39" ht="21" customHeight="1" x14ac:dyDescent="0.35">
      <c r="B159" s="39"/>
      <c r="C159" s="117" t="s">
        <v>863</v>
      </c>
      <c r="D159" s="96" t="s">
        <v>360</v>
      </c>
      <c r="E159" s="27" t="s">
        <v>44</v>
      </c>
      <c r="F159" s="37" t="s">
        <v>45</v>
      </c>
      <c r="G159" s="33" t="s">
        <v>206</v>
      </c>
      <c r="H159" s="27" t="s">
        <v>314</v>
      </c>
      <c r="I159" s="27" t="s">
        <v>206</v>
      </c>
      <c r="J159" s="37" t="s">
        <v>314</v>
      </c>
      <c r="K159" s="39" t="s">
        <v>105</v>
      </c>
      <c r="L159" s="28" t="s">
        <v>115</v>
      </c>
      <c r="M159" s="28" t="s">
        <v>48</v>
      </c>
      <c r="N159" s="41" t="s">
        <v>49</v>
      </c>
      <c r="O159" s="39" t="s">
        <v>116</v>
      </c>
      <c r="P159" s="28"/>
      <c r="Q159" s="28"/>
      <c r="R159" s="41"/>
      <c r="S159" s="39"/>
      <c r="T159" s="41"/>
      <c r="U159" s="39"/>
      <c r="V159" s="41"/>
      <c r="W159" s="43" t="s">
        <v>711</v>
      </c>
      <c r="X159" s="33"/>
      <c r="Y159" s="27"/>
      <c r="Z159" s="29"/>
      <c r="AB159" s="73" t="str">
        <f t="shared" si="4"/>
        <v>Test Weight熱Towing－</v>
      </c>
      <c r="AC159" s="74" t="e">
        <f>VLOOKUP($AB159,変換表貼り付け用シート!$A$3:$AN$1133,3,FALSE)</f>
        <v>#N/A</v>
      </c>
      <c r="AD159" s="74" t="e">
        <f t="shared" si="5"/>
        <v>#N/A</v>
      </c>
      <c r="AE159" s="79" t="e">
        <f>IF(VLOOKUP($AB159,変換表貼り付け用シート!$A$3:$AN$3000,12,FALSE)="","",(VLOOKUP($AB159,変換表貼り付け用シート!$A$3:$AN$3000,12,FALSE)))</f>
        <v>#N/A</v>
      </c>
      <c r="AF159" s="80" t="e">
        <f>IF(VLOOKUP($AB159,変換表貼り付け用シート!$A$3:$AN$3000,13,FALSE)="","",(VLOOKUP($AB159,変換表貼り付け用シート!$A$3:$AN$3000,13,FALSE)))</f>
        <v>#N/A</v>
      </c>
      <c r="AG159" s="80" t="e">
        <f>IF(VLOOKUP($AB159,変換表貼り付け用シート!$A$3:$AN$3000,14,FALSE)="","",(VLOOKUP($AB159,変換表貼り付け用シート!$A$3:$AN$3000,14,FALSE)))</f>
        <v>#N/A</v>
      </c>
      <c r="AH159" s="85" t="e">
        <f>IF(VLOOKUP($AB159,変換表貼り付け用シート!$A$3:$AN$3000,15,FALSE)="","",(VLOOKUP($AB159,変換表貼り付け用シート!$A$3:$AN$3000,15,FALSE)))</f>
        <v>#N/A</v>
      </c>
      <c r="AI159" s="79" t="e">
        <f>IF(VLOOKUP($AB159,変換表貼り付け用シート!$A$3:$AN$3000,16,FALSE)="","",(VLOOKUP($AB159,変換表貼り付け用シート!$A$3:$AN$3000,16,FALSE)))</f>
        <v>#N/A</v>
      </c>
      <c r="AJ159" s="81" t="e">
        <f>IF(VLOOKUP($AB159,変換表貼り付け用シート!$A$3:$AN$3000,17,FALSE)="","",(VLOOKUP($AB159,変換表貼り付け用シート!$A$3:$AN$3000,17,FALSE)))</f>
        <v>#N/A</v>
      </c>
      <c r="AK159" s="88" t="e">
        <f>IF(VLOOKUP($AB159,変換表貼り付け用シート!$A$3:$AN$3000,18,FALSE)="","",(VLOOKUP($AB159,変換表貼り付け用シート!$A$3:$AN$3000,18,FALSE)))</f>
        <v>#N/A</v>
      </c>
      <c r="AL159" s="81" t="e">
        <f>IF(VLOOKUP($AB159,変換表貼り付け用シート!$A$3:$AN$3000,19,FALSE)="","",(VLOOKUP($AB159,変換表貼り付け用シート!$A$3:$AN$3000,19,FALSE)))</f>
        <v>#N/A</v>
      </c>
      <c r="AM159" s="75" t="e">
        <f>IF(VLOOKUP($AB159,変換表貼り付け用シート!$A$3:$AN$3000,20,FALSE)="","",(VLOOKUP($AB159,変換表貼り付け用シート!$A$3:$AN$3000,20,FALSE)))</f>
        <v>#N/A</v>
      </c>
    </row>
    <row r="160" spans="2:39" ht="21" customHeight="1" x14ac:dyDescent="0.35">
      <c r="B160" s="39"/>
      <c r="C160" s="117" t="s">
        <v>864</v>
      </c>
      <c r="D160" s="96" t="s">
        <v>361</v>
      </c>
      <c r="E160" s="27" t="s">
        <v>44</v>
      </c>
      <c r="F160" s="37" t="s">
        <v>45</v>
      </c>
      <c r="G160" s="33" t="s">
        <v>206</v>
      </c>
      <c r="H160" s="27" t="s">
        <v>314</v>
      </c>
      <c r="I160" s="27" t="s">
        <v>206</v>
      </c>
      <c r="J160" s="37" t="s">
        <v>314</v>
      </c>
      <c r="K160" s="39" t="s">
        <v>105</v>
      </c>
      <c r="L160" s="28" t="s">
        <v>117</v>
      </c>
      <c r="M160" s="28" t="s">
        <v>48</v>
      </c>
      <c r="N160" s="41" t="s">
        <v>49</v>
      </c>
      <c r="O160" s="39">
        <v>1380</v>
      </c>
      <c r="P160" s="28"/>
      <c r="Q160" s="28"/>
      <c r="R160" s="41"/>
      <c r="S160" s="39"/>
      <c r="T160" s="41"/>
      <c r="U160" s="39"/>
      <c r="V160" s="41"/>
      <c r="W160" s="43" t="s">
        <v>711</v>
      </c>
      <c r="X160" s="33"/>
      <c r="Y160" s="27"/>
      <c r="Z160" s="29"/>
      <c r="AB160" s="73" t="str">
        <f t="shared" si="4"/>
        <v>Test Weight熱低温性能－</v>
      </c>
      <c r="AC160" s="74" t="e">
        <f>VLOOKUP($AB160,変換表貼り付け用シート!$A$3:$AN$1133,3,FALSE)</f>
        <v>#N/A</v>
      </c>
      <c r="AD160" s="74" t="e">
        <f t="shared" si="5"/>
        <v>#N/A</v>
      </c>
      <c r="AE160" s="79" t="e">
        <f>IF(VLOOKUP($AB160,変換表貼り付け用シート!$A$3:$AN$3000,12,FALSE)="","",(VLOOKUP($AB160,変換表貼り付け用シート!$A$3:$AN$3000,12,FALSE)))</f>
        <v>#N/A</v>
      </c>
      <c r="AF160" s="80" t="e">
        <f>IF(VLOOKUP($AB160,変換表貼り付け用シート!$A$3:$AN$3000,13,FALSE)="","",(VLOOKUP($AB160,変換表貼り付け用シート!$A$3:$AN$3000,13,FALSE)))</f>
        <v>#N/A</v>
      </c>
      <c r="AG160" s="80" t="e">
        <f>IF(VLOOKUP($AB160,変換表貼り付け用シート!$A$3:$AN$3000,14,FALSE)="","",(VLOOKUP($AB160,変換表貼り付け用シート!$A$3:$AN$3000,14,FALSE)))</f>
        <v>#N/A</v>
      </c>
      <c r="AH160" s="85" t="e">
        <f>IF(VLOOKUP($AB160,変換表貼り付け用シート!$A$3:$AN$3000,15,FALSE)="","",(VLOOKUP($AB160,変換表貼り付け用シート!$A$3:$AN$3000,15,FALSE)))</f>
        <v>#N/A</v>
      </c>
      <c r="AI160" s="79" t="e">
        <f>IF(VLOOKUP($AB160,変換表貼り付け用シート!$A$3:$AN$3000,16,FALSE)="","",(VLOOKUP($AB160,変換表貼り付け用シート!$A$3:$AN$3000,16,FALSE)))</f>
        <v>#N/A</v>
      </c>
      <c r="AJ160" s="81" t="e">
        <f>IF(VLOOKUP($AB160,変換表貼り付け用シート!$A$3:$AN$3000,17,FALSE)="","",(VLOOKUP($AB160,変換表貼り付け用シート!$A$3:$AN$3000,17,FALSE)))</f>
        <v>#N/A</v>
      </c>
      <c r="AK160" s="88" t="e">
        <f>IF(VLOOKUP($AB160,変換表貼り付け用シート!$A$3:$AN$3000,18,FALSE)="","",(VLOOKUP($AB160,変換表貼り付け用シート!$A$3:$AN$3000,18,FALSE)))</f>
        <v>#N/A</v>
      </c>
      <c r="AL160" s="81" t="e">
        <f>IF(VLOOKUP($AB160,変換表貼り付け用シート!$A$3:$AN$3000,19,FALSE)="","",(VLOOKUP($AB160,変換表貼り付け用シート!$A$3:$AN$3000,19,FALSE)))</f>
        <v>#N/A</v>
      </c>
      <c r="AM160" s="75" t="e">
        <f>IF(VLOOKUP($AB160,変換表貼り付け用シート!$A$3:$AN$3000,20,FALSE)="","",(VLOOKUP($AB160,変換表貼り付け用シート!$A$3:$AN$3000,20,FALSE)))</f>
        <v>#N/A</v>
      </c>
    </row>
    <row r="161" spans="2:39" ht="21" customHeight="1" x14ac:dyDescent="0.35">
      <c r="B161" s="39"/>
      <c r="C161" s="117" t="s">
        <v>865</v>
      </c>
      <c r="D161" s="96" t="s">
        <v>362</v>
      </c>
      <c r="E161" s="27" t="s">
        <v>44</v>
      </c>
      <c r="F161" s="37" t="s">
        <v>45</v>
      </c>
      <c r="G161" s="33" t="s">
        <v>206</v>
      </c>
      <c r="H161" s="27" t="s">
        <v>314</v>
      </c>
      <c r="I161" s="27" t="s">
        <v>206</v>
      </c>
      <c r="J161" s="37" t="s">
        <v>314</v>
      </c>
      <c r="K161" s="39" t="s">
        <v>118</v>
      </c>
      <c r="L161" s="28" t="s">
        <v>119</v>
      </c>
      <c r="M161" s="28" t="s">
        <v>48</v>
      </c>
      <c r="N161" s="41" t="s">
        <v>120</v>
      </c>
      <c r="O161" s="39">
        <v>83.536000000000001</v>
      </c>
      <c r="P161" s="28"/>
      <c r="Q161" s="28"/>
      <c r="R161" s="41"/>
      <c r="S161" s="39"/>
      <c r="T161" s="41"/>
      <c r="U161" s="39"/>
      <c r="V161" s="41"/>
      <c r="W161" s="43" t="s">
        <v>711</v>
      </c>
      <c r="X161" s="33"/>
      <c r="Y161" s="27"/>
      <c r="Z161" s="29"/>
      <c r="AB161" s="73" t="str">
        <f t="shared" si="4"/>
        <v>走行抵抗届出(Target Lset式) A0－</v>
      </c>
      <c r="AC161" s="74" t="e">
        <f>VLOOKUP($AB161,変換表貼り付け用シート!$A$3:$AN$1133,3,FALSE)</f>
        <v>#N/A</v>
      </c>
      <c r="AD161" s="74" t="e">
        <f t="shared" si="5"/>
        <v>#N/A</v>
      </c>
      <c r="AE161" s="79" t="e">
        <f>IF(VLOOKUP($AB161,変換表貼り付け用シート!$A$3:$AN$3000,12,FALSE)="","",(VLOOKUP($AB161,変換表貼り付け用シート!$A$3:$AN$3000,12,FALSE)))</f>
        <v>#N/A</v>
      </c>
      <c r="AF161" s="80" t="e">
        <f>IF(VLOOKUP($AB161,変換表貼り付け用シート!$A$3:$AN$3000,13,FALSE)="","",(VLOOKUP($AB161,変換表貼り付け用シート!$A$3:$AN$3000,13,FALSE)))</f>
        <v>#N/A</v>
      </c>
      <c r="AG161" s="80" t="e">
        <f>IF(VLOOKUP($AB161,変換表貼り付け用シート!$A$3:$AN$3000,14,FALSE)="","",(VLOOKUP($AB161,変換表貼り付け用シート!$A$3:$AN$3000,14,FALSE)))</f>
        <v>#N/A</v>
      </c>
      <c r="AH161" s="85" t="e">
        <f>IF(VLOOKUP($AB161,変換表貼り付け用シート!$A$3:$AN$3000,15,FALSE)="","",(VLOOKUP($AB161,変換表貼り付け用シート!$A$3:$AN$3000,15,FALSE)))</f>
        <v>#N/A</v>
      </c>
      <c r="AI161" s="79" t="e">
        <f>IF(VLOOKUP($AB161,変換表貼り付け用シート!$A$3:$AN$3000,16,FALSE)="","",(VLOOKUP($AB161,変換表貼り付け用シート!$A$3:$AN$3000,16,FALSE)))</f>
        <v>#N/A</v>
      </c>
      <c r="AJ161" s="81" t="e">
        <f>IF(VLOOKUP($AB161,変換表貼り付け用シート!$A$3:$AN$3000,17,FALSE)="","",(VLOOKUP($AB161,変換表貼り付け用シート!$A$3:$AN$3000,17,FALSE)))</f>
        <v>#N/A</v>
      </c>
      <c r="AK161" s="88" t="e">
        <f>IF(VLOOKUP($AB161,変換表貼り付け用シート!$A$3:$AN$3000,18,FALSE)="","",(VLOOKUP($AB161,変換表貼り付け用シート!$A$3:$AN$3000,18,FALSE)))</f>
        <v>#N/A</v>
      </c>
      <c r="AL161" s="81" t="e">
        <f>IF(VLOOKUP($AB161,変換表貼り付け用シート!$A$3:$AN$3000,19,FALSE)="","",(VLOOKUP($AB161,変換表貼り付け用シート!$A$3:$AN$3000,19,FALSE)))</f>
        <v>#N/A</v>
      </c>
      <c r="AM161" s="75" t="e">
        <f>IF(VLOOKUP($AB161,変換表貼り付け用シート!$A$3:$AN$3000,20,FALSE)="","",(VLOOKUP($AB161,変換表貼り付け用シート!$A$3:$AN$3000,20,FALSE)))</f>
        <v>#N/A</v>
      </c>
    </row>
    <row r="162" spans="2:39" ht="21" customHeight="1" x14ac:dyDescent="0.35">
      <c r="B162" s="39"/>
      <c r="C162" s="117" t="s">
        <v>866</v>
      </c>
      <c r="D162" s="96" t="s">
        <v>363</v>
      </c>
      <c r="E162" s="27" t="s">
        <v>44</v>
      </c>
      <c r="F162" s="37" t="s">
        <v>45</v>
      </c>
      <c r="G162" s="33" t="s">
        <v>206</v>
      </c>
      <c r="H162" s="27" t="s">
        <v>314</v>
      </c>
      <c r="I162" s="27" t="s">
        <v>206</v>
      </c>
      <c r="J162" s="37" t="s">
        <v>314</v>
      </c>
      <c r="K162" s="39" t="s">
        <v>118</v>
      </c>
      <c r="L162" s="28" t="s">
        <v>121</v>
      </c>
      <c r="M162" s="28" t="s">
        <v>48</v>
      </c>
      <c r="N162" s="41" t="s">
        <v>122</v>
      </c>
      <c r="O162" s="39">
        <v>-0.13070000000000001</v>
      </c>
      <c r="P162" s="28"/>
      <c r="Q162" s="28"/>
      <c r="R162" s="41"/>
      <c r="S162" s="39"/>
      <c r="T162" s="41"/>
      <c r="U162" s="39"/>
      <c r="V162" s="41"/>
      <c r="W162" s="43" t="s">
        <v>711</v>
      </c>
      <c r="X162" s="33"/>
      <c r="Y162" s="27"/>
      <c r="Z162" s="29"/>
      <c r="AB162" s="73" t="str">
        <f t="shared" si="4"/>
        <v>走行抵抗届出(Target Lset式) A1－</v>
      </c>
      <c r="AC162" s="74" t="e">
        <f>VLOOKUP($AB162,変換表貼り付け用シート!$A$3:$AN$1133,3,FALSE)</f>
        <v>#N/A</v>
      </c>
      <c r="AD162" s="74" t="e">
        <f t="shared" si="5"/>
        <v>#N/A</v>
      </c>
      <c r="AE162" s="79" t="e">
        <f>IF(VLOOKUP($AB162,変換表貼り付け用シート!$A$3:$AN$3000,12,FALSE)="","",(VLOOKUP($AB162,変換表貼り付け用シート!$A$3:$AN$3000,12,FALSE)))</f>
        <v>#N/A</v>
      </c>
      <c r="AF162" s="80" t="e">
        <f>IF(VLOOKUP($AB162,変換表貼り付け用シート!$A$3:$AN$3000,13,FALSE)="","",(VLOOKUP($AB162,変換表貼り付け用シート!$A$3:$AN$3000,13,FALSE)))</f>
        <v>#N/A</v>
      </c>
      <c r="AG162" s="80" t="e">
        <f>IF(VLOOKUP($AB162,変換表貼り付け用シート!$A$3:$AN$3000,14,FALSE)="","",(VLOOKUP($AB162,変換表貼り付け用シート!$A$3:$AN$3000,14,FALSE)))</f>
        <v>#N/A</v>
      </c>
      <c r="AH162" s="85" t="e">
        <f>IF(VLOOKUP($AB162,変換表貼り付け用シート!$A$3:$AN$3000,15,FALSE)="","",(VLOOKUP($AB162,変換表貼り付け用シート!$A$3:$AN$3000,15,FALSE)))</f>
        <v>#N/A</v>
      </c>
      <c r="AI162" s="79" t="e">
        <f>IF(VLOOKUP($AB162,変換表貼り付け用シート!$A$3:$AN$3000,16,FALSE)="","",(VLOOKUP($AB162,変換表貼り付け用シート!$A$3:$AN$3000,16,FALSE)))</f>
        <v>#N/A</v>
      </c>
      <c r="AJ162" s="81" t="e">
        <f>IF(VLOOKUP($AB162,変換表貼り付け用シート!$A$3:$AN$3000,17,FALSE)="","",(VLOOKUP($AB162,変換表貼り付け用シート!$A$3:$AN$3000,17,FALSE)))</f>
        <v>#N/A</v>
      </c>
      <c r="AK162" s="88" t="e">
        <f>IF(VLOOKUP($AB162,変換表貼り付け用シート!$A$3:$AN$3000,18,FALSE)="","",(VLOOKUP($AB162,変換表貼り付け用シート!$A$3:$AN$3000,18,FALSE)))</f>
        <v>#N/A</v>
      </c>
      <c r="AL162" s="81" t="e">
        <f>IF(VLOOKUP($AB162,変換表貼り付け用シート!$A$3:$AN$3000,19,FALSE)="","",(VLOOKUP($AB162,変換表貼り付け用シート!$A$3:$AN$3000,19,FALSE)))</f>
        <v>#N/A</v>
      </c>
      <c r="AM162" s="75" t="e">
        <f>IF(VLOOKUP($AB162,変換表貼り付け用シート!$A$3:$AN$3000,20,FALSE)="","",(VLOOKUP($AB162,変換表貼り付け用シート!$A$3:$AN$3000,20,FALSE)))</f>
        <v>#N/A</v>
      </c>
    </row>
    <row r="163" spans="2:39" ht="21" customHeight="1" x14ac:dyDescent="0.35">
      <c r="B163" s="39"/>
      <c r="C163" s="117" t="s">
        <v>867</v>
      </c>
      <c r="D163" s="96" t="s">
        <v>364</v>
      </c>
      <c r="E163" s="27" t="s">
        <v>44</v>
      </c>
      <c r="F163" s="37" t="s">
        <v>45</v>
      </c>
      <c r="G163" s="33" t="s">
        <v>206</v>
      </c>
      <c r="H163" s="27" t="s">
        <v>314</v>
      </c>
      <c r="I163" s="27" t="s">
        <v>206</v>
      </c>
      <c r="J163" s="37" t="s">
        <v>314</v>
      </c>
      <c r="K163" s="39" t="s">
        <v>118</v>
      </c>
      <c r="L163" s="28" t="s">
        <v>123</v>
      </c>
      <c r="M163" s="28" t="s">
        <v>48</v>
      </c>
      <c r="N163" s="41" t="s">
        <v>124</v>
      </c>
      <c r="O163" s="39">
        <v>4.3650000000000001E-2</v>
      </c>
      <c r="P163" s="28"/>
      <c r="Q163" s="28"/>
      <c r="R163" s="41"/>
      <c r="S163" s="39"/>
      <c r="T163" s="41"/>
      <c r="U163" s="39"/>
      <c r="V163" s="41"/>
      <c r="W163" s="43" t="s">
        <v>711</v>
      </c>
      <c r="X163" s="33"/>
      <c r="Y163" s="27"/>
      <c r="Z163" s="29"/>
      <c r="AB163" s="73" t="str">
        <f t="shared" si="4"/>
        <v>走行抵抗届出(Target Lset式) A2－</v>
      </c>
      <c r="AC163" s="74" t="e">
        <f>VLOOKUP($AB163,変換表貼り付け用シート!$A$3:$AN$1133,3,FALSE)</f>
        <v>#N/A</v>
      </c>
      <c r="AD163" s="74" t="e">
        <f t="shared" si="5"/>
        <v>#N/A</v>
      </c>
      <c r="AE163" s="79" t="e">
        <f>IF(VLOOKUP($AB163,変換表貼り付け用シート!$A$3:$AN$3000,12,FALSE)="","",(VLOOKUP($AB163,変換表貼り付け用シート!$A$3:$AN$3000,12,FALSE)))</f>
        <v>#N/A</v>
      </c>
      <c r="AF163" s="80" t="e">
        <f>IF(VLOOKUP($AB163,変換表貼り付け用シート!$A$3:$AN$3000,13,FALSE)="","",(VLOOKUP($AB163,変換表貼り付け用シート!$A$3:$AN$3000,13,FALSE)))</f>
        <v>#N/A</v>
      </c>
      <c r="AG163" s="80" t="e">
        <f>IF(VLOOKUP($AB163,変換表貼り付け用シート!$A$3:$AN$3000,14,FALSE)="","",(VLOOKUP($AB163,変換表貼り付け用シート!$A$3:$AN$3000,14,FALSE)))</f>
        <v>#N/A</v>
      </c>
      <c r="AH163" s="85" t="e">
        <f>IF(VLOOKUP($AB163,変換表貼り付け用シート!$A$3:$AN$3000,15,FALSE)="","",(VLOOKUP($AB163,変換表貼り付け用シート!$A$3:$AN$3000,15,FALSE)))</f>
        <v>#N/A</v>
      </c>
      <c r="AI163" s="79" t="e">
        <f>IF(VLOOKUP($AB163,変換表貼り付け用シート!$A$3:$AN$3000,16,FALSE)="","",(VLOOKUP($AB163,変換表貼り付け用シート!$A$3:$AN$3000,16,FALSE)))</f>
        <v>#N/A</v>
      </c>
      <c r="AJ163" s="81" t="e">
        <f>IF(VLOOKUP($AB163,変換表貼り付け用シート!$A$3:$AN$3000,17,FALSE)="","",(VLOOKUP($AB163,変換表貼り付け用シート!$A$3:$AN$3000,17,FALSE)))</f>
        <v>#N/A</v>
      </c>
      <c r="AK163" s="88" t="e">
        <f>IF(VLOOKUP($AB163,変換表貼り付け用シート!$A$3:$AN$3000,18,FALSE)="","",(VLOOKUP($AB163,変換表貼り付け用シート!$A$3:$AN$3000,18,FALSE)))</f>
        <v>#N/A</v>
      </c>
      <c r="AL163" s="81" t="e">
        <f>IF(VLOOKUP($AB163,変換表貼り付け用シート!$A$3:$AN$3000,19,FALSE)="","",(VLOOKUP($AB163,変換表貼り付け用シート!$A$3:$AN$3000,19,FALSE)))</f>
        <v>#N/A</v>
      </c>
      <c r="AM163" s="75" t="e">
        <f>IF(VLOOKUP($AB163,変換表貼り付け用シート!$A$3:$AN$3000,20,FALSE)="","",(VLOOKUP($AB163,変換表貼り付け用シート!$A$3:$AN$3000,20,FALSE)))</f>
        <v>#N/A</v>
      </c>
    </row>
    <row r="164" spans="2:39" ht="21" customHeight="1" x14ac:dyDescent="0.35">
      <c r="B164" s="39"/>
      <c r="C164" s="117" t="s">
        <v>868</v>
      </c>
      <c r="D164" s="96" t="s">
        <v>365</v>
      </c>
      <c r="E164" s="27" t="s">
        <v>44</v>
      </c>
      <c r="F164" s="37" t="s">
        <v>45</v>
      </c>
      <c r="G164" s="33" t="s">
        <v>206</v>
      </c>
      <c r="H164" s="27" t="s">
        <v>314</v>
      </c>
      <c r="I164" s="27" t="s">
        <v>206</v>
      </c>
      <c r="J164" s="37" t="s">
        <v>314</v>
      </c>
      <c r="K164" s="39" t="s">
        <v>118</v>
      </c>
      <c r="L164" s="28" t="s">
        <v>125</v>
      </c>
      <c r="M164" s="28" t="s">
        <v>48</v>
      </c>
      <c r="N164" s="41" t="s">
        <v>126</v>
      </c>
      <c r="O164" s="39">
        <v>1237</v>
      </c>
      <c r="P164" s="28"/>
      <c r="Q164" s="28"/>
      <c r="R164" s="41"/>
      <c r="S164" s="39"/>
      <c r="T164" s="41"/>
      <c r="U164" s="39"/>
      <c r="V164" s="41"/>
      <c r="W164" s="43" t="s">
        <v>711</v>
      </c>
      <c r="X164" s="33"/>
      <c r="Y164" s="27"/>
      <c r="Z164" s="29"/>
      <c r="AB164" s="73" t="str">
        <f t="shared" si="4"/>
        <v>走行抵抗届出(Target Lset式) IP－</v>
      </c>
      <c r="AC164" s="74" t="e">
        <f>VLOOKUP($AB164,変換表貼り付け用シート!$A$3:$AN$1133,3,FALSE)</f>
        <v>#N/A</v>
      </c>
      <c r="AD164" s="74" t="e">
        <f t="shared" si="5"/>
        <v>#N/A</v>
      </c>
      <c r="AE164" s="79" t="e">
        <f>IF(VLOOKUP($AB164,変換表貼り付け用シート!$A$3:$AN$3000,12,FALSE)="","",(VLOOKUP($AB164,変換表貼り付け用シート!$A$3:$AN$3000,12,FALSE)))</f>
        <v>#N/A</v>
      </c>
      <c r="AF164" s="80" t="e">
        <f>IF(VLOOKUP($AB164,変換表貼り付け用シート!$A$3:$AN$3000,13,FALSE)="","",(VLOOKUP($AB164,変換表貼り付け用シート!$A$3:$AN$3000,13,FALSE)))</f>
        <v>#N/A</v>
      </c>
      <c r="AG164" s="80" t="e">
        <f>IF(VLOOKUP($AB164,変換表貼り付け用シート!$A$3:$AN$3000,14,FALSE)="","",(VLOOKUP($AB164,変換表貼り付け用シート!$A$3:$AN$3000,14,FALSE)))</f>
        <v>#N/A</v>
      </c>
      <c r="AH164" s="85" t="e">
        <f>IF(VLOOKUP($AB164,変換表貼り付け用シート!$A$3:$AN$3000,15,FALSE)="","",(VLOOKUP($AB164,変換表貼り付け用シート!$A$3:$AN$3000,15,FALSE)))</f>
        <v>#N/A</v>
      </c>
      <c r="AI164" s="79" t="e">
        <f>IF(VLOOKUP($AB164,変換表貼り付け用シート!$A$3:$AN$3000,16,FALSE)="","",(VLOOKUP($AB164,変換表貼り付け用シート!$A$3:$AN$3000,16,FALSE)))</f>
        <v>#N/A</v>
      </c>
      <c r="AJ164" s="81" t="e">
        <f>IF(VLOOKUP($AB164,変換表貼り付け用シート!$A$3:$AN$3000,17,FALSE)="","",(VLOOKUP($AB164,変換表貼り付け用シート!$A$3:$AN$3000,17,FALSE)))</f>
        <v>#N/A</v>
      </c>
      <c r="AK164" s="88" t="e">
        <f>IF(VLOOKUP($AB164,変換表貼り付け用シート!$A$3:$AN$3000,18,FALSE)="","",(VLOOKUP($AB164,変換表貼り付け用シート!$A$3:$AN$3000,18,FALSE)))</f>
        <v>#N/A</v>
      </c>
      <c r="AL164" s="81" t="e">
        <f>IF(VLOOKUP($AB164,変換表貼り付け用シート!$A$3:$AN$3000,19,FALSE)="","",(VLOOKUP($AB164,変換表貼り付け用シート!$A$3:$AN$3000,19,FALSE)))</f>
        <v>#N/A</v>
      </c>
      <c r="AM164" s="75" t="e">
        <f>IF(VLOOKUP($AB164,変換表貼り付け用シート!$A$3:$AN$3000,20,FALSE)="","",(VLOOKUP($AB164,変換表貼り付け用シート!$A$3:$AN$3000,20,FALSE)))</f>
        <v>#N/A</v>
      </c>
    </row>
    <row r="165" spans="2:39" ht="21" customHeight="1" x14ac:dyDescent="0.35">
      <c r="B165" s="39"/>
      <c r="C165" s="117" t="s">
        <v>869</v>
      </c>
      <c r="D165" s="96" t="s">
        <v>366</v>
      </c>
      <c r="E165" s="27" t="s">
        <v>44</v>
      </c>
      <c r="F165" s="37" t="s">
        <v>45</v>
      </c>
      <c r="G165" s="33" t="s">
        <v>206</v>
      </c>
      <c r="H165" s="27" t="s">
        <v>314</v>
      </c>
      <c r="I165" s="27" t="s">
        <v>206</v>
      </c>
      <c r="J165" s="37" t="s">
        <v>314</v>
      </c>
      <c r="K165" s="39" t="s">
        <v>127</v>
      </c>
      <c r="L165" s="28" t="s">
        <v>128</v>
      </c>
      <c r="M165" s="28" t="s">
        <v>48</v>
      </c>
      <c r="N165" s="41" t="s">
        <v>120</v>
      </c>
      <c r="O165" s="39">
        <v>83.536000000000001</v>
      </c>
      <c r="P165" s="28"/>
      <c r="Q165" s="28"/>
      <c r="R165" s="41"/>
      <c r="S165" s="39"/>
      <c r="T165" s="41"/>
      <c r="U165" s="39"/>
      <c r="V165" s="41"/>
      <c r="W165" s="43" t="s">
        <v>711</v>
      </c>
      <c r="X165" s="33"/>
      <c r="Y165" s="27"/>
      <c r="Z165" s="29"/>
      <c r="AB165" s="73" t="str">
        <f t="shared" si="4"/>
        <v>性能検討用走行抵抗式(ePT連れ回り排除)航続距離(C/D車載状態)A0－</v>
      </c>
      <c r="AC165" s="74" t="e">
        <f>VLOOKUP($AB165,変換表貼り付け用シート!$A$3:$AN$1133,3,FALSE)</f>
        <v>#N/A</v>
      </c>
      <c r="AD165" s="74" t="e">
        <f t="shared" si="5"/>
        <v>#N/A</v>
      </c>
      <c r="AE165" s="79" t="e">
        <f>IF(VLOOKUP($AB165,変換表貼り付け用シート!$A$3:$AN$3000,12,FALSE)="","",(VLOOKUP($AB165,変換表貼り付け用シート!$A$3:$AN$3000,12,FALSE)))</f>
        <v>#N/A</v>
      </c>
      <c r="AF165" s="80" t="e">
        <f>IF(VLOOKUP($AB165,変換表貼り付け用シート!$A$3:$AN$3000,13,FALSE)="","",(VLOOKUP($AB165,変換表貼り付け用シート!$A$3:$AN$3000,13,FALSE)))</f>
        <v>#N/A</v>
      </c>
      <c r="AG165" s="80" t="e">
        <f>IF(VLOOKUP($AB165,変換表貼り付け用シート!$A$3:$AN$3000,14,FALSE)="","",(VLOOKUP($AB165,変換表貼り付け用シート!$A$3:$AN$3000,14,FALSE)))</f>
        <v>#N/A</v>
      </c>
      <c r="AH165" s="85" t="e">
        <f>IF(VLOOKUP($AB165,変換表貼り付け用シート!$A$3:$AN$3000,15,FALSE)="","",(VLOOKUP($AB165,変換表貼り付け用シート!$A$3:$AN$3000,15,FALSE)))</f>
        <v>#N/A</v>
      </c>
      <c r="AI165" s="79" t="e">
        <f>IF(VLOOKUP($AB165,変換表貼り付け用シート!$A$3:$AN$3000,16,FALSE)="","",(VLOOKUP($AB165,変換表貼り付け用シート!$A$3:$AN$3000,16,FALSE)))</f>
        <v>#N/A</v>
      </c>
      <c r="AJ165" s="81" t="e">
        <f>IF(VLOOKUP($AB165,変換表貼り付け用シート!$A$3:$AN$3000,17,FALSE)="","",(VLOOKUP($AB165,変換表貼り付け用シート!$A$3:$AN$3000,17,FALSE)))</f>
        <v>#N/A</v>
      </c>
      <c r="AK165" s="88" t="e">
        <f>IF(VLOOKUP($AB165,変換表貼り付け用シート!$A$3:$AN$3000,18,FALSE)="","",(VLOOKUP($AB165,変換表貼り付け用シート!$A$3:$AN$3000,18,FALSE)))</f>
        <v>#N/A</v>
      </c>
      <c r="AL165" s="81" t="e">
        <f>IF(VLOOKUP($AB165,変換表貼り付け用シート!$A$3:$AN$3000,19,FALSE)="","",(VLOOKUP($AB165,変換表貼り付け用シート!$A$3:$AN$3000,19,FALSE)))</f>
        <v>#N/A</v>
      </c>
      <c r="AM165" s="75" t="e">
        <f>IF(VLOOKUP($AB165,変換表貼り付け用シート!$A$3:$AN$3000,20,FALSE)="","",(VLOOKUP($AB165,変換表貼り付け用シート!$A$3:$AN$3000,20,FALSE)))</f>
        <v>#N/A</v>
      </c>
    </row>
    <row r="166" spans="2:39" ht="21" customHeight="1" x14ac:dyDescent="0.35">
      <c r="B166" s="39"/>
      <c r="C166" s="117" t="s">
        <v>870</v>
      </c>
      <c r="D166" s="96" t="s">
        <v>367</v>
      </c>
      <c r="E166" s="27" t="s">
        <v>44</v>
      </c>
      <c r="F166" s="37" t="s">
        <v>45</v>
      </c>
      <c r="G166" s="33" t="s">
        <v>206</v>
      </c>
      <c r="H166" s="27" t="s">
        <v>314</v>
      </c>
      <c r="I166" s="27" t="s">
        <v>206</v>
      </c>
      <c r="J166" s="37" t="s">
        <v>314</v>
      </c>
      <c r="K166" s="39" t="s">
        <v>127</v>
      </c>
      <c r="L166" s="28" t="s">
        <v>129</v>
      </c>
      <c r="M166" s="28" t="s">
        <v>48</v>
      </c>
      <c r="N166" s="41" t="s">
        <v>122</v>
      </c>
      <c r="O166" s="39">
        <v>-0.13070000000000001</v>
      </c>
      <c r="P166" s="28"/>
      <c r="Q166" s="28"/>
      <c r="R166" s="41"/>
      <c r="S166" s="39"/>
      <c r="T166" s="41"/>
      <c r="U166" s="39"/>
      <c r="V166" s="41"/>
      <c r="W166" s="43" t="s">
        <v>711</v>
      </c>
      <c r="X166" s="33"/>
      <c r="Y166" s="27"/>
      <c r="Z166" s="29"/>
      <c r="AB166" s="73" t="str">
        <f t="shared" si="4"/>
        <v>性能検討用走行抵抗式(ePT連れ回り排除)航続距離(C/D車載状態)A1－</v>
      </c>
      <c r="AC166" s="74" t="e">
        <f>VLOOKUP($AB166,変換表貼り付け用シート!$A$3:$AN$1133,3,FALSE)</f>
        <v>#N/A</v>
      </c>
      <c r="AD166" s="74" t="e">
        <f t="shared" si="5"/>
        <v>#N/A</v>
      </c>
      <c r="AE166" s="79" t="e">
        <f>IF(VLOOKUP($AB166,変換表貼り付け用シート!$A$3:$AN$3000,12,FALSE)="","",(VLOOKUP($AB166,変換表貼り付け用シート!$A$3:$AN$3000,12,FALSE)))</f>
        <v>#N/A</v>
      </c>
      <c r="AF166" s="80" t="e">
        <f>IF(VLOOKUP($AB166,変換表貼り付け用シート!$A$3:$AN$3000,13,FALSE)="","",(VLOOKUP($AB166,変換表貼り付け用シート!$A$3:$AN$3000,13,FALSE)))</f>
        <v>#N/A</v>
      </c>
      <c r="AG166" s="80" t="e">
        <f>IF(VLOOKUP($AB166,変換表貼り付け用シート!$A$3:$AN$3000,14,FALSE)="","",(VLOOKUP($AB166,変換表貼り付け用シート!$A$3:$AN$3000,14,FALSE)))</f>
        <v>#N/A</v>
      </c>
      <c r="AH166" s="85" t="e">
        <f>IF(VLOOKUP($AB166,変換表貼り付け用シート!$A$3:$AN$3000,15,FALSE)="","",(VLOOKUP($AB166,変換表貼り付け用シート!$A$3:$AN$3000,15,FALSE)))</f>
        <v>#N/A</v>
      </c>
      <c r="AI166" s="79" t="e">
        <f>IF(VLOOKUP($AB166,変換表貼り付け用シート!$A$3:$AN$3000,16,FALSE)="","",(VLOOKUP($AB166,変換表貼り付け用シート!$A$3:$AN$3000,16,FALSE)))</f>
        <v>#N/A</v>
      </c>
      <c r="AJ166" s="81" t="e">
        <f>IF(VLOOKUP($AB166,変換表貼り付け用シート!$A$3:$AN$3000,17,FALSE)="","",(VLOOKUP($AB166,変換表貼り付け用シート!$A$3:$AN$3000,17,FALSE)))</f>
        <v>#N/A</v>
      </c>
      <c r="AK166" s="88" t="e">
        <f>IF(VLOOKUP($AB166,変換表貼り付け用シート!$A$3:$AN$3000,18,FALSE)="","",(VLOOKUP($AB166,変換表貼り付け用シート!$A$3:$AN$3000,18,FALSE)))</f>
        <v>#N/A</v>
      </c>
      <c r="AL166" s="81" t="e">
        <f>IF(VLOOKUP($AB166,変換表貼り付け用シート!$A$3:$AN$3000,19,FALSE)="","",(VLOOKUP($AB166,変換表貼り付け用シート!$A$3:$AN$3000,19,FALSE)))</f>
        <v>#N/A</v>
      </c>
      <c r="AM166" s="75" t="e">
        <f>IF(VLOOKUP($AB166,変換表貼り付け用シート!$A$3:$AN$3000,20,FALSE)="","",(VLOOKUP($AB166,変換表貼り付け用シート!$A$3:$AN$3000,20,FALSE)))</f>
        <v>#N/A</v>
      </c>
    </row>
    <row r="167" spans="2:39" ht="21" customHeight="1" x14ac:dyDescent="0.35">
      <c r="B167" s="39"/>
      <c r="C167" s="117" t="s">
        <v>871</v>
      </c>
      <c r="D167" s="96" t="s">
        <v>368</v>
      </c>
      <c r="E167" s="27" t="s">
        <v>44</v>
      </c>
      <c r="F167" s="37" t="s">
        <v>45</v>
      </c>
      <c r="G167" s="33" t="s">
        <v>206</v>
      </c>
      <c r="H167" s="27" t="s">
        <v>314</v>
      </c>
      <c r="I167" s="27" t="s">
        <v>206</v>
      </c>
      <c r="J167" s="37" t="s">
        <v>314</v>
      </c>
      <c r="K167" s="39" t="s">
        <v>127</v>
      </c>
      <c r="L167" s="28" t="s">
        <v>130</v>
      </c>
      <c r="M167" s="28" t="s">
        <v>48</v>
      </c>
      <c r="N167" s="41" t="s">
        <v>124</v>
      </c>
      <c r="O167" s="39">
        <v>4.3650000000000001E-2</v>
      </c>
      <c r="P167" s="28"/>
      <c r="Q167" s="28"/>
      <c r="R167" s="41"/>
      <c r="S167" s="39"/>
      <c r="T167" s="41"/>
      <c r="U167" s="39"/>
      <c r="V167" s="41"/>
      <c r="W167" s="43" t="s">
        <v>711</v>
      </c>
      <c r="X167" s="33"/>
      <c r="Y167" s="27"/>
      <c r="Z167" s="29"/>
      <c r="AB167" s="73" t="str">
        <f t="shared" si="4"/>
        <v>性能検討用走行抵抗式(ePT連れ回り排除)航続距離(C/D車載状態)A2－</v>
      </c>
      <c r="AC167" s="74" t="e">
        <f>VLOOKUP($AB167,変換表貼り付け用シート!$A$3:$AN$1133,3,FALSE)</f>
        <v>#N/A</v>
      </c>
      <c r="AD167" s="74" t="e">
        <f t="shared" si="5"/>
        <v>#N/A</v>
      </c>
      <c r="AE167" s="79" t="e">
        <f>IF(VLOOKUP($AB167,変換表貼り付け用シート!$A$3:$AN$3000,12,FALSE)="","",(VLOOKUP($AB167,変換表貼り付け用シート!$A$3:$AN$3000,12,FALSE)))</f>
        <v>#N/A</v>
      </c>
      <c r="AF167" s="80" t="e">
        <f>IF(VLOOKUP($AB167,変換表貼り付け用シート!$A$3:$AN$3000,13,FALSE)="","",(VLOOKUP($AB167,変換表貼り付け用シート!$A$3:$AN$3000,13,FALSE)))</f>
        <v>#N/A</v>
      </c>
      <c r="AG167" s="80" t="e">
        <f>IF(VLOOKUP($AB167,変換表貼り付け用シート!$A$3:$AN$3000,14,FALSE)="","",(VLOOKUP($AB167,変換表貼り付け用シート!$A$3:$AN$3000,14,FALSE)))</f>
        <v>#N/A</v>
      </c>
      <c r="AH167" s="85" t="e">
        <f>IF(VLOOKUP($AB167,変換表貼り付け用シート!$A$3:$AN$3000,15,FALSE)="","",(VLOOKUP($AB167,変換表貼り付け用シート!$A$3:$AN$3000,15,FALSE)))</f>
        <v>#N/A</v>
      </c>
      <c r="AI167" s="79" t="e">
        <f>IF(VLOOKUP($AB167,変換表貼り付け用シート!$A$3:$AN$3000,16,FALSE)="","",(VLOOKUP($AB167,変換表貼り付け用シート!$A$3:$AN$3000,16,FALSE)))</f>
        <v>#N/A</v>
      </c>
      <c r="AJ167" s="81" t="e">
        <f>IF(VLOOKUP($AB167,変換表貼り付け用シート!$A$3:$AN$3000,17,FALSE)="","",(VLOOKUP($AB167,変換表貼り付け用シート!$A$3:$AN$3000,17,FALSE)))</f>
        <v>#N/A</v>
      </c>
      <c r="AK167" s="88" t="e">
        <f>IF(VLOOKUP($AB167,変換表貼り付け用シート!$A$3:$AN$3000,18,FALSE)="","",(VLOOKUP($AB167,変換表貼り付け用シート!$A$3:$AN$3000,18,FALSE)))</f>
        <v>#N/A</v>
      </c>
      <c r="AL167" s="81" t="e">
        <f>IF(VLOOKUP($AB167,変換表貼り付け用シート!$A$3:$AN$3000,19,FALSE)="","",(VLOOKUP($AB167,変換表貼り付け用シート!$A$3:$AN$3000,19,FALSE)))</f>
        <v>#N/A</v>
      </c>
      <c r="AM167" s="75" t="e">
        <f>IF(VLOOKUP($AB167,変換表貼り付け用シート!$A$3:$AN$3000,20,FALSE)="","",(VLOOKUP($AB167,変換表貼り付け用シート!$A$3:$AN$3000,20,FALSE)))</f>
        <v>#N/A</v>
      </c>
    </row>
    <row r="168" spans="2:39" ht="21" customHeight="1" x14ac:dyDescent="0.35">
      <c r="B168" s="39"/>
      <c r="C168" s="117" t="s">
        <v>872</v>
      </c>
      <c r="D168" s="96" t="s">
        <v>369</v>
      </c>
      <c r="E168" s="27" t="s">
        <v>44</v>
      </c>
      <c r="F168" s="37" t="s">
        <v>45</v>
      </c>
      <c r="G168" s="33" t="s">
        <v>206</v>
      </c>
      <c r="H168" s="27" t="s">
        <v>314</v>
      </c>
      <c r="I168" s="27" t="s">
        <v>206</v>
      </c>
      <c r="J168" s="37" t="s">
        <v>314</v>
      </c>
      <c r="K168" s="39" t="s">
        <v>127</v>
      </c>
      <c r="L168" s="28" t="s">
        <v>131</v>
      </c>
      <c r="M168" s="28" t="s">
        <v>48</v>
      </c>
      <c r="N168" s="41" t="s">
        <v>126</v>
      </c>
      <c r="O168" s="39">
        <v>1237</v>
      </c>
      <c r="P168" s="28"/>
      <c r="Q168" s="28"/>
      <c r="R168" s="41"/>
      <c r="S168" s="39"/>
      <c r="T168" s="41"/>
      <c r="U168" s="39"/>
      <c r="V168" s="41"/>
      <c r="W168" s="43" t="s">
        <v>711</v>
      </c>
      <c r="X168" s="33"/>
      <c r="Y168" s="27"/>
      <c r="Z168" s="29"/>
      <c r="AB168" s="73" t="str">
        <f t="shared" si="4"/>
        <v>性能検討用走行抵抗式(ePT連れ回り排除)航続距離(C/D車載状態)IP－</v>
      </c>
      <c r="AC168" s="74" t="e">
        <f>VLOOKUP($AB168,変換表貼り付け用シート!$A$3:$AN$1133,3,FALSE)</f>
        <v>#N/A</v>
      </c>
      <c r="AD168" s="74" t="e">
        <f t="shared" si="5"/>
        <v>#N/A</v>
      </c>
      <c r="AE168" s="79" t="e">
        <f>IF(VLOOKUP($AB168,変換表貼り付け用シート!$A$3:$AN$3000,12,FALSE)="","",(VLOOKUP($AB168,変換表貼り付け用シート!$A$3:$AN$3000,12,FALSE)))</f>
        <v>#N/A</v>
      </c>
      <c r="AF168" s="80" t="e">
        <f>IF(VLOOKUP($AB168,変換表貼り付け用シート!$A$3:$AN$3000,13,FALSE)="","",(VLOOKUP($AB168,変換表貼り付け用シート!$A$3:$AN$3000,13,FALSE)))</f>
        <v>#N/A</v>
      </c>
      <c r="AG168" s="80" t="e">
        <f>IF(VLOOKUP($AB168,変換表貼り付け用シート!$A$3:$AN$3000,14,FALSE)="","",(VLOOKUP($AB168,変換表貼り付け用シート!$A$3:$AN$3000,14,FALSE)))</f>
        <v>#N/A</v>
      </c>
      <c r="AH168" s="85" t="e">
        <f>IF(VLOOKUP($AB168,変換表貼り付け用シート!$A$3:$AN$3000,15,FALSE)="","",(VLOOKUP($AB168,変換表貼り付け用シート!$A$3:$AN$3000,15,FALSE)))</f>
        <v>#N/A</v>
      </c>
      <c r="AI168" s="79" t="e">
        <f>IF(VLOOKUP($AB168,変換表貼り付け用シート!$A$3:$AN$3000,16,FALSE)="","",(VLOOKUP($AB168,変換表貼り付け用シート!$A$3:$AN$3000,16,FALSE)))</f>
        <v>#N/A</v>
      </c>
      <c r="AJ168" s="81" t="e">
        <f>IF(VLOOKUP($AB168,変換表貼り付け用シート!$A$3:$AN$3000,17,FALSE)="","",(VLOOKUP($AB168,変換表貼り付け用シート!$A$3:$AN$3000,17,FALSE)))</f>
        <v>#N/A</v>
      </c>
      <c r="AK168" s="88" t="e">
        <f>IF(VLOOKUP($AB168,変換表貼り付け用シート!$A$3:$AN$3000,18,FALSE)="","",(VLOOKUP($AB168,変換表貼り付け用シート!$A$3:$AN$3000,18,FALSE)))</f>
        <v>#N/A</v>
      </c>
      <c r="AL168" s="81" t="e">
        <f>IF(VLOOKUP($AB168,変換表貼り付け用シート!$A$3:$AN$3000,19,FALSE)="","",(VLOOKUP($AB168,変換表貼り付け用シート!$A$3:$AN$3000,19,FALSE)))</f>
        <v>#N/A</v>
      </c>
      <c r="AM168" s="75" t="e">
        <f>IF(VLOOKUP($AB168,変換表貼り付け用シート!$A$3:$AN$3000,20,FALSE)="","",(VLOOKUP($AB168,変換表貼り付け用シート!$A$3:$AN$3000,20,FALSE)))</f>
        <v>#N/A</v>
      </c>
    </row>
    <row r="169" spans="2:39" ht="21" customHeight="1" x14ac:dyDescent="0.35">
      <c r="B169" s="39"/>
      <c r="C169" s="117" t="s">
        <v>873</v>
      </c>
      <c r="D169" s="96" t="s">
        <v>370</v>
      </c>
      <c r="E169" s="27" t="s">
        <v>44</v>
      </c>
      <c r="F169" s="37" t="s">
        <v>45</v>
      </c>
      <c r="G169" s="33" t="s">
        <v>206</v>
      </c>
      <c r="H169" s="27" t="s">
        <v>314</v>
      </c>
      <c r="I169" s="27" t="s">
        <v>206</v>
      </c>
      <c r="J169" s="37" t="s">
        <v>314</v>
      </c>
      <c r="K169" s="39" t="s">
        <v>127</v>
      </c>
      <c r="L169" s="28" t="s">
        <v>132</v>
      </c>
      <c r="M169" s="28" t="s">
        <v>48</v>
      </c>
      <c r="N169" s="41" t="s">
        <v>120</v>
      </c>
      <c r="O169" s="39">
        <v>95.656999999999996</v>
      </c>
      <c r="P169" s="28"/>
      <c r="Q169" s="28"/>
      <c r="R169" s="41"/>
      <c r="S169" s="39"/>
      <c r="T169" s="41"/>
      <c r="U169" s="39"/>
      <c r="V169" s="41"/>
      <c r="W169" s="43" t="s">
        <v>711</v>
      </c>
      <c r="X169" s="33"/>
      <c r="Y169" s="27"/>
      <c r="Z169" s="29"/>
      <c r="AB169" s="73" t="str">
        <f t="shared" si="4"/>
        <v>性能検討用走行抵抗式(ePT連れ回り排除)動力当り前性能A0－</v>
      </c>
      <c r="AC169" s="74" t="e">
        <f>VLOOKUP($AB169,変換表貼り付け用シート!$A$3:$AN$1133,3,FALSE)</f>
        <v>#N/A</v>
      </c>
      <c r="AD169" s="74" t="e">
        <f t="shared" si="5"/>
        <v>#N/A</v>
      </c>
      <c r="AE169" s="79" t="e">
        <f>IF(VLOOKUP($AB169,変換表貼り付け用シート!$A$3:$AN$3000,12,FALSE)="","",(VLOOKUP($AB169,変換表貼り付け用シート!$A$3:$AN$3000,12,FALSE)))</f>
        <v>#N/A</v>
      </c>
      <c r="AF169" s="80" t="e">
        <f>IF(VLOOKUP($AB169,変換表貼り付け用シート!$A$3:$AN$3000,13,FALSE)="","",(VLOOKUP($AB169,変換表貼り付け用シート!$A$3:$AN$3000,13,FALSE)))</f>
        <v>#N/A</v>
      </c>
      <c r="AG169" s="80" t="e">
        <f>IF(VLOOKUP($AB169,変換表貼り付け用シート!$A$3:$AN$3000,14,FALSE)="","",(VLOOKUP($AB169,変換表貼り付け用シート!$A$3:$AN$3000,14,FALSE)))</f>
        <v>#N/A</v>
      </c>
      <c r="AH169" s="85" t="e">
        <f>IF(VLOOKUP($AB169,変換表貼り付け用シート!$A$3:$AN$3000,15,FALSE)="","",(VLOOKUP($AB169,変換表貼り付け用シート!$A$3:$AN$3000,15,FALSE)))</f>
        <v>#N/A</v>
      </c>
      <c r="AI169" s="79" t="e">
        <f>IF(VLOOKUP($AB169,変換表貼り付け用シート!$A$3:$AN$3000,16,FALSE)="","",(VLOOKUP($AB169,変換表貼り付け用シート!$A$3:$AN$3000,16,FALSE)))</f>
        <v>#N/A</v>
      </c>
      <c r="AJ169" s="81" t="e">
        <f>IF(VLOOKUP($AB169,変換表貼り付け用シート!$A$3:$AN$3000,17,FALSE)="","",(VLOOKUP($AB169,変換表貼り付け用シート!$A$3:$AN$3000,17,FALSE)))</f>
        <v>#N/A</v>
      </c>
      <c r="AK169" s="88" t="e">
        <f>IF(VLOOKUP($AB169,変換表貼り付け用シート!$A$3:$AN$3000,18,FALSE)="","",(VLOOKUP($AB169,変換表貼り付け用シート!$A$3:$AN$3000,18,FALSE)))</f>
        <v>#N/A</v>
      </c>
      <c r="AL169" s="81" t="e">
        <f>IF(VLOOKUP($AB169,変換表貼り付け用シート!$A$3:$AN$3000,19,FALSE)="","",(VLOOKUP($AB169,変換表貼り付け用シート!$A$3:$AN$3000,19,FALSE)))</f>
        <v>#N/A</v>
      </c>
      <c r="AM169" s="75" t="e">
        <f>IF(VLOOKUP($AB169,変換表貼り付け用シート!$A$3:$AN$3000,20,FALSE)="","",(VLOOKUP($AB169,変換表貼り付け用シート!$A$3:$AN$3000,20,FALSE)))</f>
        <v>#N/A</v>
      </c>
    </row>
    <row r="170" spans="2:39" ht="21" customHeight="1" x14ac:dyDescent="0.35">
      <c r="B170" s="39"/>
      <c r="C170" s="117" t="s">
        <v>874</v>
      </c>
      <c r="D170" s="96" t="s">
        <v>371</v>
      </c>
      <c r="E170" s="27" t="s">
        <v>44</v>
      </c>
      <c r="F170" s="37" t="s">
        <v>45</v>
      </c>
      <c r="G170" s="33" t="s">
        <v>206</v>
      </c>
      <c r="H170" s="27" t="s">
        <v>314</v>
      </c>
      <c r="I170" s="27" t="s">
        <v>206</v>
      </c>
      <c r="J170" s="37" t="s">
        <v>314</v>
      </c>
      <c r="K170" s="39" t="s">
        <v>127</v>
      </c>
      <c r="L170" s="28" t="s">
        <v>133</v>
      </c>
      <c r="M170" s="28" t="s">
        <v>48</v>
      </c>
      <c r="N170" s="41" t="s">
        <v>122</v>
      </c>
      <c r="O170" s="39" t="s">
        <v>48</v>
      </c>
      <c r="P170" s="28"/>
      <c r="Q170" s="28"/>
      <c r="R170" s="41"/>
      <c r="S170" s="39"/>
      <c r="T170" s="41"/>
      <c r="U170" s="39"/>
      <c r="V170" s="41"/>
      <c r="W170" s="43" t="s">
        <v>711</v>
      </c>
      <c r="X170" s="33"/>
      <c r="Y170" s="27"/>
      <c r="Z170" s="29"/>
      <c r="AB170" s="73" t="str">
        <f t="shared" si="4"/>
        <v>性能検討用走行抵抗式(ePT連れ回り排除)動力当り前性能A1－</v>
      </c>
      <c r="AC170" s="74" t="e">
        <f>VLOOKUP($AB170,変換表貼り付け用シート!$A$3:$AN$1133,3,FALSE)</f>
        <v>#N/A</v>
      </c>
      <c r="AD170" s="74" t="e">
        <f t="shared" si="5"/>
        <v>#N/A</v>
      </c>
      <c r="AE170" s="79" t="e">
        <f>IF(VLOOKUP($AB170,変換表貼り付け用シート!$A$3:$AN$3000,12,FALSE)="","",(VLOOKUP($AB170,変換表貼り付け用シート!$A$3:$AN$3000,12,FALSE)))</f>
        <v>#N/A</v>
      </c>
      <c r="AF170" s="80" t="e">
        <f>IF(VLOOKUP($AB170,変換表貼り付け用シート!$A$3:$AN$3000,13,FALSE)="","",(VLOOKUP($AB170,変換表貼り付け用シート!$A$3:$AN$3000,13,FALSE)))</f>
        <v>#N/A</v>
      </c>
      <c r="AG170" s="80" t="e">
        <f>IF(VLOOKUP($AB170,変換表貼り付け用シート!$A$3:$AN$3000,14,FALSE)="","",(VLOOKUP($AB170,変換表貼り付け用シート!$A$3:$AN$3000,14,FALSE)))</f>
        <v>#N/A</v>
      </c>
      <c r="AH170" s="85" t="e">
        <f>IF(VLOOKUP($AB170,変換表貼り付け用シート!$A$3:$AN$3000,15,FALSE)="","",(VLOOKUP($AB170,変換表貼り付け用シート!$A$3:$AN$3000,15,FALSE)))</f>
        <v>#N/A</v>
      </c>
      <c r="AI170" s="79" t="e">
        <f>IF(VLOOKUP($AB170,変換表貼り付け用シート!$A$3:$AN$3000,16,FALSE)="","",(VLOOKUP($AB170,変換表貼り付け用シート!$A$3:$AN$3000,16,FALSE)))</f>
        <v>#N/A</v>
      </c>
      <c r="AJ170" s="81" t="e">
        <f>IF(VLOOKUP($AB170,変換表貼り付け用シート!$A$3:$AN$3000,17,FALSE)="","",(VLOOKUP($AB170,変換表貼り付け用シート!$A$3:$AN$3000,17,FALSE)))</f>
        <v>#N/A</v>
      </c>
      <c r="AK170" s="88" t="e">
        <f>IF(VLOOKUP($AB170,変換表貼り付け用シート!$A$3:$AN$3000,18,FALSE)="","",(VLOOKUP($AB170,変換表貼り付け用シート!$A$3:$AN$3000,18,FALSE)))</f>
        <v>#N/A</v>
      </c>
      <c r="AL170" s="81" t="e">
        <f>IF(VLOOKUP($AB170,変換表貼り付け用シート!$A$3:$AN$3000,19,FALSE)="","",(VLOOKUP($AB170,変換表貼り付け用シート!$A$3:$AN$3000,19,FALSE)))</f>
        <v>#N/A</v>
      </c>
      <c r="AM170" s="75" t="e">
        <f>IF(VLOOKUP($AB170,変換表貼り付け用シート!$A$3:$AN$3000,20,FALSE)="","",(VLOOKUP($AB170,変換表貼り付け用シート!$A$3:$AN$3000,20,FALSE)))</f>
        <v>#N/A</v>
      </c>
    </row>
    <row r="171" spans="2:39" ht="21" customHeight="1" x14ac:dyDescent="0.35">
      <c r="B171" s="39"/>
      <c r="C171" s="117" t="s">
        <v>875</v>
      </c>
      <c r="D171" s="96" t="s">
        <v>372</v>
      </c>
      <c r="E171" s="27" t="s">
        <v>44</v>
      </c>
      <c r="F171" s="37" t="s">
        <v>45</v>
      </c>
      <c r="G171" s="33" t="s">
        <v>206</v>
      </c>
      <c r="H171" s="27" t="s">
        <v>314</v>
      </c>
      <c r="I171" s="27" t="s">
        <v>206</v>
      </c>
      <c r="J171" s="37" t="s">
        <v>314</v>
      </c>
      <c r="K171" s="39" t="s">
        <v>127</v>
      </c>
      <c r="L171" s="28" t="s">
        <v>134</v>
      </c>
      <c r="M171" s="28" t="s">
        <v>48</v>
      </c>
      <c r="N171" s="41" t="s">
        <v>124</v>
      </c>
      <c r="O171" s="39">
        <v>4.1500000000000002E-2</v>
      </c>
      <c r="P171" s="28"/>
      <c r="Q171" s="28"/>
      <c r="R171" s="41"/>
      <c r="S171" s="39"/>
      <c r="T171" s="41"/>
      <c r="U171" s="39"/>
      <c r="V171" s="41"/>
      <c r="W171" s="43" t="s">
        <v>711</v>
      </c>
      <c r="X171" s="33"/>
      <c r="Y171" s="27"/>
      <c r="Z171" s="29"/>
      <c r="AB171" s="73" t="str">
        <f t="shared" si="4"/>
        <v>性能検討用走行抵抗式(ePT連れ回り排除)動力当り前性能A2－</v>
      </c>
      <c r="AC171" s="74" t="e">
        <f>VLOOKUP($AB171,変換表貼り付け用シート!$A$3:$AN$1133,3,FALSE)</f>
        <v>#N/A</v>
      </c>
      <c r="AD171" s="74" t="e">
        <f t="shared" si="5"/>
        <v>#N/A</v>
      </c>
      <c r="AE171" s="79" t="e">
        <f>IF(VLOOKUP($AB171,変換表貼り付け用シート!$A$3:$AN$3000,12,FALSE)="","",(VLOOKUP($AB171,変換表貼り付け用シート!$A$3:$AN$3000,12,FALSE)))</f>
        <v>#N/A</v>
      </c>
      <c r="AF171" s="80" t="e">
        <f>IF(VLOOKUP($AB171,変換表貼り付け用シート!$A$3:$AN$3000,13,FALSE)="","",(VLOOKUP($AB171,変換表貼り付け用シート!$A$3:$AN$3000,13,FALSE)))</f>
        <v>#N/A</v>
      </c>
      <c r="AG171" s="80" t="e">
        <f>IF(VLOOKUP($AB171,変換表貼り付け用シート!$A$3:$AN$3000,14,FALSE)="","",(VLOOKUP($AB171,変換表貼り付け用シート!$A$3:$AN$3000,14,FALSE)))</f>
        <v>#N/A</v>
      </c>
      <c r="AH171" s="85" t="e">
        <f>IF(VLOOKUP($AB171,変換表貼り付け用シート!$A$3:$AN$3000,15,FALSE)="","",(VLOOKUP($AB171,変換表貼り付け用シート!$A$3:$AN$3000,15,FALSE)))</f>
        <v>#N/A</v>
      </c>
      <c r="AI171" s="79" t="e">
        <f>IF(VLOOKUP($AB171,変換表貼り付け用シート!$A$3:$AN$3000,16,FALSE)="","",(VLOOKUP($AB171,変換表貼り付け用シート!$A$3:$AN$3000,16,FALSE)))</f>
        <v>#N/A</v>
      </c>
      <c r="AJ171" s="81" t="e">
        <f>IF(VLOOKUP($AB171,変換表貼り付け用シート!$A$3:$AN$3000,17,FALSE)="","",(VLOOKUP($AB171,変換表貼り付け用シート!$A$3:$AN$3000,17,FALSE)))</f>
        <v>#N/A</v>
      </c>
      <c r="AK171" s="88" t="e">
        <f>IF(VLOOKUP($AB171,変換表貼り付け用シート!$A$3:$AN$3000,18,FALSE)="","",(VLOOKUP($AB171,変換表貼り付け用シート!$A$3:$AN$3000,18,FALSE)))</f>
        <v>#N/A</v>
      </c>
      <c r="AL171" s="81" t="e">
        <f>IF(VLOOKUP($AB171,変換表貼り付け用シート!$A$3:$AN$3000,19,FALSE)="","",(VLOOKUP($AB171,変換表貼り付け用シート!$A$3:$AN$3000,19,FALSE)))</f>
        <v>#N/A</v>
      </c>
      <c r="AM171" s="75" t="e">
        <f>IF(VLOOKUP($AB171,変換表貼り付け用シート!$A$3:$AN$3000,20,FALSE)="","",(VLOOKUP($AB171,変換表貼り付け用シート!$A$3:$AN$3000,20,FALSE)))</f>
        <v>#N/A</v>
      </c>
    </row>
    <row r="172" spans="2:39" ht="21" customHeight="1" x14ac:dyDescent="0.35">
      <c r="B172" s="39"/>
      <c r="C172" s="117" t="s">
        <v>876</v>
      </c>
      <c r="D172" s="96" t="s">
        <v>373</v>
      </c>
      <c r="E172" s="27" t="s">
        <v>44</v>
      </c>
      <c r="F172" s="37" t="s">
        <v>45</v>
      </c>
      <c r="G172" s="33" t="s">
        <v>206</v>
      </c>
      <c r="H172" s="27" t="s">
        <v>314</v>
      </c>
      <c r="I172" s="27" t="s">
        <v>206</v>
      </c>
      <c r="J172" s="37" t="s">
        <v>314</v>
      </c>
      <c r="K172" s="39" t="s">
        <v>127</v>
      </c>
      <c r="L172" s="28" t="s">
        <v>135</v>
      </c>
      <c r="M172" s="28" t="s">
        <v>48</v>
      </c>
      <c r="N172" s="41" t="s">
        <v>49</v>
      </c>
      <c r="O172" s="39">
        <v>1322</v>
      </c>
      <c r="P172" s="28"/>
      <c r="Q172" s="28"/>
      <c r="R172" s="41"/>
      <c r="S172" s="39"/>
      <c r="T172" s="41"/>
      <c r="U172" s="39"/>
      <c r="V172" s="41"/>
      <c r="W172" s="43" t="s">
        <v>711</v>
      </c>
      <c r="X172" s="33"/>
      <c r="Y172" s="27"/>
      <c r="Z172" s="29"/>
      <c r="AB172" s="73" t="str">
        <f t="shared" si="4"/>
        <v>性能検討用走行抵抗式(ePT連れ回り排除)動力当り前性能IP－</v>
      </c>
      <c r="AC172" s="74" t="e">
        <f>VLOOKUP($AB172,変換表貼り付け用シート!$A$3:$AN$1133,3,FALSE)</f>
        <v>#N/A</v>
      </c>
      <c r="AD172" s="74" t="e">
        <f t="shared" si="5"/>
        <v>#N/A</v>
      </c>
      <c r="AE172" s="79" t="e">
        <f>IF(VLOOKUP($AB172,変換表貼り付け用シート!$A$3:$AN$3000,12,FALSE)="","",(VLOOKUP($AB172,変換表貼り付け用シート!$A$3:$AN$3000,12,FALSE)))</f>
        <v>#N/A</v>
      </c>
      <c r="AF172" s="80" t="e">
        <f>IF(VLOOKUP($AB172,変換表貼り付け用シート!$A$3:$AN$3000,13,FALSE)="","",(VLOOKUP($AB172,変換表貼り付け用シート!$A$3:$AN$3000,13,FALSE)))</f>
        <v>#N/A</v>
      </c>
      <c r="AG172" s="80" t="e">
        <f>IF(VLOOKUP($AB172,変換表貼り付け用シート!$A$3:$AN$3000,14,FALSE)="","",(VLOOKUP($AB172,変換表貼り付け用シート!$A$3:$AN$3000,14,FALSE)))</f>
        <v>#N/A</v>
      </c>
      <c r="AH172" s="85" t="e">
        <f>IF(VLOOKUP($AB172,変換表貼り付け用シート!$A$3:$AN$3000,15,FALSE)="","",(VLOOKUP($AB172,変換表貼り付け用シート!$A$3:$AN$3000,15,FALSE)))</f>
        <v>#N/A</v>
      </c>
      <c r="AI172" s="79" t="e">
        <f>IF(VLOOKUP($AB172,変換表貼り付け用シート!$A$3:$AN$3000,16,FALSE)="","",(VLOOKUP($AB172,変換表貼り付け用シート!$A$3:$AN$3000,16,FALSE)))</f>
        <v>#N/A</v>
      </c>
      <c r="AJ172" s="81" t="e">
        <f>IF(VLOOKUP($AB172,変換表貼り付け用シート!$A$3:$AN$3000,17,FALSE)="","",(VLOOKUP($AB172,変換表貼り付け用シート!$A$3:$AN$3000,17,FALSE)))</f>
        <v>#N/A</v>
      </c>
      <c r="AK172" s="88" t="e">
        <f>IF(VLOOKUP($AB172,変換表貼り付け用シート!$A$3:$AN$3000,18,FALSE)="","",(VLOOKUP($AB172,変換表貼り付け用シート!$A$3:$AN$3000,18,FALSE)))</f>
        <v>#N/A</v>
      </c>
      <c r="AL172" s="81" t="e">
        <f>IF(VLOOKUP($AB172,変換表貼り付け用シート!$A$3:$AN$3000,19,FALSE)="","",(VLOOKUP($AB172,変換表貼り付け用シート!$A$3:$AN$3000,19,FALSE)))</f>
        <v>#N/A</v>
      </c>
      <c r="AM172" s="75" t="e">
        <f>IF(VLOOKUP($AB172,変換表貼り付け用シート!$A$3:$AN$3000,20,FALSE)="","",(VLOOKUP($AB172,変換表貼り付け用シート!$A$3:$AN$3000,20,FALSE)))</f>
        <v>#N/A</v>
      </c>
    </row>
    <row r="173" spans="2:39" ht="21" customHeight="1" x14ac:dyDescent="0.35">
      <c r="B173" s="39"/>
      <c r="C173" s="117" t="s">
        <v>877</v>
      </c>
      <c r="D173" s="96" t="s">
        <v>374</v>
      </c>
      <c r="E173" s="27" t="s">
        <v>44</v>
      </c>
      <c r="F173" s="37" t="s">
        <v>45</v>
      </c>
      <c r="G173" s="33" t="s">
        <v>206</v>
      </c>
      <c r="H173" s="27" t="s">
        <v>314</v>
      </c>
      <c r="I173" s="27" t="s">
        <v>206</v>
      </c>
      <c r="J173" s="37" t="s">
        <v>314</v>
      </c>
      <c r="K173" s="39" t="s">
        <v>127</v>
      </c>
      <c r="L173" s="28" t="s">
        <v>136</v>
      </c>
      <c r="M173" s="28" t="s">
        <v>48</v>
      </c>
      <c r="N173" s="41" t="s">
        <v>120</v>
      </c>
      <c r="O173" s="39">
        <v>92.17</v>
      </c>
      <c r="P173" s="28"/>
      <c r="Q173" s="28"/>
      <c r="R173" s="41"/>
      <c r="S173" s="39"/>
      <c r="T173" s="41"/>
      <c r="U173" s="39"/>
      <c r="V173" s="41"/>
      <c r="W173" s="43" t="s">
        <v>711</v>
      </c>
      <c r="X173" s="33"/>
      <c r="Y173" s="27"/>
      <c r="Z173" s="29"/>
      <c r="AB173" s="73" t="str">
        <f t="shared" si="4"/>
        <v>性能検討用走行抵抗式(ePT連れ回り排除)動力AccerelationA0－</v>
      </c>
      <c r="AC173" s="74" t="e">
        <f>VLOOKUP($AB173,変換表貼り付け用シート!$A$3:$AN$1133,3,FALSE)</f>
        <v>#N/A</v>
      </c>
      <c r="AD173" s="74" t="e">
        <f t="shared" si="5"/>
        <v>#N/A</v>
      </c>
      <c r="AE173" s="79" t="e">
        <f>IF(VLOOKUP($AB173,変換表貼り付け用シート!$A$3:$AN$3000,12,FALSE)="","",(VLOOKUP($AB173,変換表貼り付け用シート!$A$3:$AN$3000,12,FALSE)))</f>
        <v>#N/A</v>
      </c>
      <c r="AF173" s="80" t="e">
        <f>IF(VLOOKUP($AB173,変換表貼り付け用シート!$A$3:$AN$3000,13,FALSE)="","",(VLOOKUP($AB173,変換表貼り付け用シート!$A$3:$AN$3000,13,FALSE)))</f>
        <v>#N/A</v>
      </c>
      <c r="AG173" s="80" t="e">
        <f>IF(VLOOKUP($AB173,変換表貼り付け用シート!$A$3:$AN$3000,14,FALSE)="","",(VLOOKUP($AB173,変換表貼り付け用シート!$A$3:$AN$3000,14,FALSE)))</f>
        <v>#N/A</v>
      </c>
      <c r="AH173" s="85" t="e">
        <f>IF(VLOOKUP($AB173,変換表貼り付け用シート!$A$3:$AN$3000,15,FALSE)="","",(VLOOKUP($AB173,変換表貼り付け用シート!$A$3:$AN$3000,15,FALSE)))</f>
        <v>#N/A</v>
      </c>
      <c r="AI173" s="79" t="e">
        <f>IF(VLOOKUP($AB173,変換表貼り付け用シート!$A$3:$AN$3000,16,FALSE)="","",(VLOOKUP($AB173,変換表貼り付け用シート!$A$3:$AN$3000,16,FALSE)))</f>
        <v>#N/A</v>
      </c>
      <c r="AJ173" s="81" t="e">
        <f>IF(VLOOKUP($AB173,変換表貼り付け用シート!$A$3:$AN$3000,17,FALSE)="","",(VLOOKUP($AB173,変換表貼り付け用シート!$A$3:$AN$3000,17,FALSE)))</f>
        <v>#N/A</v>
      </c>
      <c r="AK173" s="88" t="e">
        <f>IF(VLOOKUP($AB173,変換表貼り付け用シート!$A$3:$AN$3000,18,FALSE)="","",(VLOOKUP($AB173,変換表貼り付け用シート!$A$3:$AN$3000,18,FALSE)))</f>
        <v>#N/A</v>
      </c>
      <c r="AL173" s="81" t="e">
        <f>IF(VLOOKUP($AB173,変換表貼り付け用シート!$A$3:$AN$3000,19,FALSE)="","",(VLOOKUP($AB173,変換表貼り付け用シート!$A$3:$AN$3000,19,FALSE)))</f>
        <v>#N/A</v>
      </c>
      <c r="AM173" s="75" t="e">
        <f>IF(VLOOKUP($AB173,変換表貼り付け用シート!$A$3:$AN$3000,20,FALSE)="","",(VLOOKUP($AB173,変換表貼り付け用シート!$A$3:$AN$3000,20,FALSE)))</f>
        <v>#N/A</v>
      </c>
    </row>
    <row r="174" spans="2:39" ht="21" customHeight="1" x14ac:dyDescent="0.35">
      <c r="B174" s="39"/>
      <c r="C174" s="117" t="s">
        <v>878</v>
      </c>
      <c r="D174" s="96" t="s">
        <v>375</v>
      </c>
      <c r="E174" s="27" t="s">
        <v>376</v>
      </c>
      <c r="F174" s="37" t="s">
        <v>45</v>
      </c>
      <c r="G174" s="33" t="s">
        <v>206</v>
      </c>
      <c r="H174" s="27" t="s">
        <v>314</v>
      </c>
      <c r="I174" s="27" t="s">
        <v>206</v>
      </c>
      <c r="J174" s="37" t="s">
        <v>314</v>
      </c>
      <c r="K174" s="39" t="s">
        <v>127</v>
      </c>
      <c r="L174" s="28" t="s">
        <v>137</v>
      </c>
      <c r="M174" s="28" t="s">
        <v>48</v>
      </c>
      <c r="N174" s="41" t="s">
        <v>122</v>
      </c>
      <c r="O174" s="39" t="s">
        <v>48</v>
      </c>
      <c r="P174" s="28"/>
      <c r="Q174" s="28"/>
      <c r="R174" s="41"/>
      <c r="S174" s="39"/>
      <c r="T174" s="41"/>
      <c r="U174" s="39"/>
      <c r="V174" s="41"/>
      <c r="W174" s="43" t="s">
        <v>711</v>
      </c>
      <c r="X174" s="33"/>
      <c r="Y174" s="27"/>
      <c r="Z174" s="29"/>
      <c r="AB174" s="73" t="str">
        <f t="shared" si="4"/>
        <v>性能検討用走行抵抗式(ePT連れ回り排除)動力AccerelationA1－</v>
      </c>
      <c r="AC174" s="74" t="e">
        <f>VLOOKUP($AB174,変換表貼り付け用シート!$A$3:$AN$1133,3,FALSE)</f>
        <v>#N/A</v>
      </c>
      <c r="AD174" s="74" t="e">
        <f t="shared" si="5"/>
        <v>#N/A</v>
      </c>
      <c r="AE174" s="79" t="e">
        <f>IF(VLOOKUP($AB174,変換表貼り付け用シート!$A$3:$AN$3000,12,FALSE)="","",(VLOOKUP($AB174,変換表貼り付け用シート!$A$3:$AN$3000,12,FALSE)))</f>
        <v>#N/A</v>
      </c>
      <c r="AF174" s="80" t="e">
        <f>IF(VLOOKUP($AB174,変換表貼り付け用シート!$A$3:$AN$3000,13,FALSE)="","",(VLOOKUP($AB174,変換表貼り付け用シート!$A$3:$AN$3000,13,FALSE)))</f>
        <v>#N/A</v>
      </c>
      <c r="AG174" s="80" t="e">
        <f>IF(VLOOKUP($AB174,変換表貼り付け用シート!$A$3:$AN$3000,14,FALSE)="","",(VLOOKUP($AB174,変換表貼り付け用シート!$A$3:$AN$3000,14,FALSE)))</f>
        <v>#N/A</v>
      </c>
      <c r="AH174" s="85" t="e">
        <f>IF(VLOOKUP($AB174,変換表貼り付け用シート!$A$3:$AN$3000,15,FALSE)="","",(VLOOKUP($AB174,変換表貼り付け用シート!$A$3:$AN$3000,15,FALSE)))</f>
        <v>#N/A</v>
      </c>
      <c r="AI174" s="79" t="e">
        <f>IF(VLOOKUP($AB174,変換表貼り付け用シート!$A$3:$AN$3000,16,FALSE)="","",(VLOOKUP($AB174,変換表貼り付け用シート!$A$3:$AN$3000,16,FALSE)))</f>
        <v>#N/A</v>
      </c>
      <c r="AJ174" s="81" t="e">
        <f>IF(VLOOKUP($AB174,変換表貼り付け用シート!$A$3:$AN$3000,17,FALSE)="","",(VLOOKUP($AB174,変換表貼り付け用シート!$A$3:$AN$3000,17,FALSE)))</f>
        <v>#N/A</v>
      </c>
      <c r="AK174" s="88" t="e">
        <f>IF(VLOOKUP($AB174,変換表貼り付け用シート!$A$3:$AN$3000,18,FALSE)="","",(VLOOKUP($AB174,変換表貼り付け用シート!$A$3:$AN$3000,18,FALSE)))</f>
        <v>#N/A</v>
      </c>
      <c r="AL174" s="81" t="e">
        <f>IF(VLOOKUP($AB174,変換表貼り付け用シート!$A$3:$AN$3000,19,FALSE)="","",(VLOOKUP($AB174,変換表貼り付け用シート!$A$3:$AN$3000,19,FALSE)))</f>
        <v>#N/A</v>
      </c>
      <c r="AM174" s="75" t="e">
        <f>IF(VLOOKUP($AB174,変換表貼り付け用シート!$A$3:$AN$3000,20,FALSE)="","",(VLOOKUP($AB174,変換表貼り付け用シート!$A$3:$AN$3000,20,FALSE)))</f>
        <v>#N/A</v>
      </c>
    </row>
    <row r="175" spans="2:39" ht="21" customHeight="1" x14ac:dyDescent="0.35">
      <c r="B175" s="39"/>
      <c r="C175" s="117" t="s">
        <v>879</v>
      </c>
      <c r="D175" s="96" t="s">
        <v>377</v>
      </c>
      <c r="E175" s="27" t="s">
        <v>44</v>
      </c>
      <c r="F175" s="37" t="s">
        <v>45</v>
      </c>
      <c r="G175" s="33" t="s">
        <v>206</v>
      </c>
      <c r="H175" s="27" t="s">
        <v>314</v>
      </c>
      <c r="I175" s="27" t="s">
        <v>206</v>
      </c>
      <c r="J175" s="37" t="s">
        <v>314</v>
      </c>
      <c r="K175" s="39" t="s">
        <v>127</v>
      </c>
      <c r="L175" s="28" t="s">
        <v>138</v>
      </c>
      <c r="M175" s="28" t="s">
        <v>48</v>
      </c>
      <c r="N175" s="41" t="s">
        <v>124</v>
      </c>
      <c r="O175" s="39">
        <v>4.3650000000000001E-2</v>
      </c>
      <c r="P175" s="28"/>
      <c r="Q175" s="28"/>
      <c r="R175" s="41"/>
      <c r="S175" s="39"/>
      <c r="T175" s="41"/>
      <c r="U175" s="39"/>
      <c r="V175" s="41"/>
      <c r="W175" s="43" t="s">
        <v>711</v>
      </c>
      <c r="X175" s="33"/>
      <c r="Y175" s="27"/>
      <c r="Z175" s="29"/>
      <c r="AB175" s="73" t="str">
        <f t="shared" si="4"/>
        <v>性能検討用走行抵抗式(ePT連れ回り排除)動力AccerelationA2－</v>
      </c>
      <c r="AC175" s="74" t="e">
        <f>VLOOKUP($AB175,変換表貼り付け用シート!$A$3:$AN$1133,3,FALSE)</f>
        <v>#N/A</v>
      </c>
      <c r="AD175" s="74" t="e">
        <f t="shared" si="5"/>
        <v>#N/A</v>
      </c>
      <c r="AE175" s="79" t="e">
        <f>IF(VLOOKUP($AB175,変換表貼り付け用シート!$A$3:$AN$3000,12,FALSE)="","",(VLOOKUP($AB175,変換表貼り付け用シート!$A$3:$AN$3000,12,FALSE)))</f>
        <v>#N/A</v>
      </c>
      <c r="AF175" s="80" t="e">
        <f>IF(VLOOKUP($AB175,変換表貼り付け用シート!$A$3:$AN$3000,13,FALSE)="","",(VLOOKUP($AB175,変換表貼り付け用シート!$A$3:$AN$3000,13,FALSE)))</f>
        <v>#N/A</v>
      </c>
      <c r="AG175" s="80" t="e">
        <f>IF(VLOOKUP($AB175,変換表貼り付け用シート!$A$3:$AN$3000,14,FALSE)="","",(VLOOKUP($AB175,変換表貼り付け用シート!$A$3:$AN$3000,14,FALSE)))</f>
        <v>#N/A</v>
      </c>
      <c r="AH175" s="85" t="e">
        <f>IF(VLOOKUP($AB175,変換表貼り付け用シート!$A$3:$AN$3000,15,FALSE)="","",(VLOOKUP($AB175,変換表貼り付け用シート!$A$3:$AN$3000,15,FALSE)))</f>
        <v>#N/A</v>
      </c>
      <c r="AI175" s="79" t="e">
        <f>IF(VLOOKUP($AB175,変換表貼り付け用シート!$A$3:$AN$3000,16,FALSE)="","",(VLOOKUP($AB175,変換表貼り付け用シート!$A$3:$AN$3000,16,FALSE)))</f>
        <v>#N/A</v>
      </c>
      <c r="AJ175" s="81" t="e">
        <f>IF(VLOOKUP($AB175,変換表貼り付け用シート!$A$3:$AN$3000,17,FALSE)="","",(VLOOKUP($AB175,変換表貼り付け用シート!$A$3:$AN$3000,17,FALSE)))</f>
        <v>#N/A</v>
      </c>
      <c r="AK175" s="88" t="e">
        <f>IF(VLOOKUP($AB175,変換表貼り付け用シート!$A$3:$AN$3000,18,FALSE)="","",(VLOOKUP($AB175,変換表貼り付け用シート!$A$3:$AN$3000,18,FALSE)))</f>
        <v>#N/A</v>
      </c>
      <c r="AL175" s="81" t="e">
        <f>IF(VLOOKUP($AB175,変換表貼り付け用シート!$A$3:$AN$3000,19,FALSE)="","",(VLOOKUP($AB175,変換表貼り付け用シート!$A$3:$AN$3000,19,FALSE)))</f>
        <v>#N/A</v>
      </c>
      <c r="AM175" s="75" t="e">
        <f>IF(VLOOKUP($AB175,変換表貼り付け用シート!$A$3:$AN$3000,20,FALSE)="","",(VLOOKUP($AB175,変換表貼り付け用シート!$A$3:$AN$3000,20,FALSE)))</f>
        <v>#N/A</v>
      </c>
    </row>
    <row r="176" spans="2:39" ht="21" customHeight="1" x14ac:dyDescent="0.35">
      <c r="B176" s="39"/>
      <c r="C176" s="117" t="s">
        <v>880</v>
      </c>
      <c r="D176" s="96" t="s">
        <v>378</v>
      </c>
      <c r="E176" s="27" t="s">
        <v>44</v>
      </c>
      <c r="F176" s="37" t="s">
        <v>45</v>
      </c>
      <c r="G176" s="33" t="s">
        <v>206</v>
      </c>
      <c r="H176" s="27" t="s">
        <v>314</v>
      </c>
      <c r="I176" s="27" t="s">
        <v>206</v>
      </c>
      <c r="J176" s="37" t="s">
        <v>314</v>
      </c>
      <c r="K176" s="39" t="s">
        <v>127</v>
      </c>
      <c r="L176" s="28" t="s">
        <v>139</v>
      </c>
      <c r="M176" s="28" t="s">
        <v>48</v>
      </c>
      <c r="N176" s="41" t="s">
        <v>49</v>
      </c>
      <c r="O176" s="39">
        <v>1261</v>
      </c>
      <c r="P176" s="28"/>
      <c r="Q176" s="28"/>
      <c r="R176" s="41"/>
      <c r="S176" s="39"/>
      <c r="T176" s="41"/>
      <c r="U176" s="39"/>
      <c r="V176" s="41"/>
      <c r="W176" s="43" t="s">
        <v>711</v>
      </c>
      <c r="X176" s="33"/>
      <c r="Y176" s="27"/>
      <c r="Z176" s="29"/>
      <c r="AB176" s="73" t="str">
        <f t="shared" si="4"/>
        <v>性能検討用走行抵抗式(ePT連れ回り排除)動力AccerelationIP－</v>
      </c>
      <c r="AC176" s="74" t="e">
        <f>VLOOKUP($AB176,変換表貼り付け用シート!$A$3:$AN$1133,3,FALSE)</f>
        <v>#N/A</v>
      </c>
      <c r="AD176" s="74" t="e">
        <f t="shared" si="5"/>
        <v>#N/A</v>
      </c>
      <c r="AE176" s="79" t="e">
        <f>IF(VLOOKUP($AB176,変換表貼り付け用シート!$A$3:$AN$3000,12,FALSE)="","",(VLOOKUP($AB176,変換表貼り付け用シート!$A$3:$AN$3000,12,FALSE)))</f>
        <v>#N/A</v>
      </c>
      <c r="AF176" s="80" t="e">
        <f>IF(VLOOKUP($AB176,変換表貼り付け用シート!$A$3:$AN$3000,13,FALSE)="","",(VLOOKUP($AB176,変換表貼り付け用シート!$A$3:$AN$3000,13,FALSE)))</f>
        <v>#N/A</v>
      </c>
      <c r="AG176" s="80" t="e">
        <f>IF(VLOOKUP($AB176,変換表貼り付け用シート!$A$3:$AN$3000,14,FALSE)="","",(VLOOKUP($AB176,変換表貼り付け用シート!$A$3:$AN$3000,14,FALSE)))</f>
        <v>#N/A</v>
      </c>
      <c r="AH176" s="85" t="e">
        <f>IF(VLOOKUP($AB176,変換表貼り付け用シート!$A$3:$AN$3000,15,FALSE)="","",(VLOOKUP($AB176,変換表貼り付け用シート!$A$3:$AN$3000,15,FALSE)))</f>
        <v>#N/A</v>
      </c>
      <c r="AI176" s="79" t="e">
        <f>IF(VLOOKUP($AB176,変換表貼り付け用シート!$A$3:$AN$3000,16,FALSE)="","",(VLOOKUP($AB176,変換表貼り付け用シート!$A$3:$AN$3000,16,FALSE)))</f>
        <v>#N/A</v>
      </c>
      <c r="AJ176" s="81" t="e">
        <f>IF(VLOOKUP($AB176,変換表貼り付け用シート!$A$3:$AN$3000,17,FALSE)="","",(VLOOKUP($AB176,変換表貼り付け用シート!$A$3:$AN$3000,17,FALSE)))</f>
        <v>#N/A</v>
      </c>
      <c r="AK176" s="88" t="e">
        <f>IF(VLOOKUP($AB176,変換表貼り付け用シート!$A$3:$AN$3000,18,FALSE)="","",(VLOOKUP($AB176,変換表貼り付け用シート!$A$3:$AN$3000,18,FALSE)))</f>
        <v>#N/A</v>
      </c>
      <c r="AL176" s="81" t="e">
        <f>IF(VLOOKUP($AB176,変換表貼り付け用シート!$A$3:$AN$3000,19,FALSE)="","",(VLOOKUP($AB176,変換表貼り付け用シート!$A$3:$AN$3000,19,FALSE)))</f>
        <v>#N/A</v>
      </c>
      <c r="AM176" s="75" t="e">
        <f>IF(VLOOKUP($AB176,変換表貼り付け用シート!$A$3:$AN$3000,20,FALSE)="","",(VLOOKUP($AB176,変換表貼り付け用シート!$A$3:$AN$3000,20,FALSE)))</f>
        <v>#N/A</v>
      </c>
    </row>
    <row r="177" spans="2:39" ht="21" customHeight="1" x14ac:dyDescent="0.35">
      <c r="B177" s="39"/>
      <c r="C177" s="117" t="s">
        <v>881</v>
      </c>
      <c r="D177" s="96" t="s">
        <v>379</v>
      </c>
      <c r="E177" s="27" t="s">
        <v>44</v>
      </c>
      <c r="F177" s="37" t="s">
        <v>45</v>
      </c>
      <c r="G177" s="33" t="s">
        <v>206</v>
      </c>
      <c r="H177" s="27" t="s">
        <v>314</v>
      </c>
      <c r="I177" s="27" t="s">
        <v>206</v>
      </c>
      <c r="J177" s="37" t="s">
        <v>314</v>
      </c>
      <c r="K177" s="39" t="s">
        <v>127</v>
      </c>
      <c r="L177" s="28" t="s">
        <v>140</v>
      </c>
      <c r="M177" s="28" t="s">
        <v>48</v>
      </c>
      <c r="N177" s="41" t="s">
        <v>120</v>
      </c>
      <c r="O177" s="39">
        <v>92.17</v>
      </c>
      <c r="P177" s="28"/>
      <c r="Q177" s="28"/>
      <c r="R177" s="41"/>
      <c r="S177" s="39"/>
      <c r="T177" s="41"/>
      <c r="U177" s="39"/>
      <c r="V177" s="41"/>
      <c r="W177" s="43" t="s">
        <v>711</v>
      </c>
      <c r="X177" s="33"/>
      <c r="Y177" s="27"/>
      <c r="Z177" s="29"/>
      <c r="AB177" s="73" t="str">
        <f t="shared" si="4"/>
        <v>性能検討用走行抵抗式(ePT連れ回り排除)動力VmaxA0－</v>
      </c>
      <c r="AC177" s="74" t="e">
        <f>VLOOKUP($AB177,変換表貼り付け用シート!$A$3:$AN$1133,3,FALSE)</f>
        <v>#N/A</v>
      </c>
      <c r="AD177" s="74" t="e">
        <f t="shared" si="5"/>
        <v>#N/A</v>
      </c>
      <c r="AE177" s="79" t="e">
        <f>IF(VLOOKUP($AB177,変換表貼り付け用シート!$A$3:$AN$3000,12,FALSE)="","",(VLOOKUP($AB177,変換表貼り付け用シート!$A$3:$AN$3000,12,FALSE)))</f>
        <v>#N/A</v>
      </c>
      <c r="AF177" s="80" t="e">
        <f>IF(VLOOKUP($AB177,変換表貼り付け用シート!$A$3:$AN$3000,13,FALSE)="","",(VLOOKUP($AB177,変換表貼り付け用シート!$A$3:$AN$3000,13,FALSE)))</f>
        <v>#N/A</v>
      </c>
      <c r="AG177" s="80" t="e">
        <f>IF(VLOOKUP($AB177,変換表貼り付け用シート!$A$3:$AN$3000,14,FALSE)="","",(VLOOKUP($AB177,変換表貼り付け用シート!$A$3:$AN$3000,14,FALSE)))</f>
        <v>#N/A</v>
      </c>
      <c r="AH177" s="85" t="e">
        <f>IF(VLOOKUP($AB177,変換表貼り付け用シート!$A$3:$AN$3000,15,FALSE)="","",(VLOOKUP($AB177,変換表貼り付け用シート!$A$3:$AN$3000,15,FALSE)))</f>
        <v>#N/A</v>
      </c>
      <c r="AI177" s="79" t="e">
        <f>IF(VLOOKUP($AB177,変換表貼り付け用シート!$A$3:$AN$3000,16,FALSE)="","",(VLOOKUP($AB177,変換表貼り付け用シート!$A$3:$AN$3000,16,FALSE)))</f>
        <v>#N/A</v>
      </c>
      <c r="AJ177" s="81" t="e">
        <f>IF(VLOOKUP($AB177,変換表貼り付け用シート!$A$3:$AN$3000,17,FALSE)="","",(VLOOKUP($AB177,変換表貼り付け用シート!$A$3:$AN$3000,17,FALSE)))</f>
        <v>#N/A</v>
      </c>
      <c r="AK177" s="88" t="e">
        <f>IF(VLOOKUP($AB177,変換表貼り付け用シート!$A$3:$AN$3000,18,FALSE)="","",(VLOOKUP($AB177,変換表貼り付け用シート!$A$3:$AN$3000,18,FALSE)))</f>
        <v>#N/A</v>
      </c>
      <c r="AL177" s="81" t="e">
        <f>IF(VLOOKUP($AB177,変換表貼り付け用シート!$A$3:$AN$3000,19,FALSE)="","",(VLOOKUP($AB177,変換表貼り付け用シート!$A$3:$AN$3000,19,FALSE)))</f>
        <v>#N/A</v>
      </c>
      <c r="AM177" s="75" t="e">
        <f>IF(VLOOKUP($AB177,変換表貼り付け用シート!$A$3:$AN$3000,20,FALSE)="","",(VLOOKUP($AB177,変換表貼り付け用シート!$A$3:$AN$3000,20,FALSE)))</f>
        <v>#N/A</v>
      </c>
    </row>
    <row r="178" spans="2:39" ht="21" customHeight="1" x14ac:dyDescent="0.35">
      <c r="B178" s="39"/>
      <c r="C178" s="117" t="s">
        <v>882</v>
      </c>
      <c r="D178" s="96" t="s">
        <v>380</v>
      </c>
      <c r="E178" s="27" t="s">
        <v>44</v>
      </c>
      <c r="F178" s="37" t="s">
        <v>45</v>
      </c>
      <c r="G178" s="33" t="s">
        <v>206</v>
      </c>
      <c r="H178" s="27" t="s">
        <v>314</v>
      </c>
      <c r="I178" s="27" t="s">
        <v>206</v>
      </c>
      <c r="J178" s="37" t="s">
        <v>314</v>
      </c>
      <c r="K178" s="39" t="s">
        <v>127</v>
      </c>
      <c r="L178" s="28" t="s">
        <v>141</v>
      </c>
      <c r="M178" s="28" t="s">
        <v>48</v>
      </c>
      <c r="N178" s="41" t="s">
        <v>122</v>
      </c>
      <c r="O178" s="39" t="s">
        <v>48</v>
      </c>
      <c r="P178" s="28"/>
      <c r="Q178" s="28"/>
      <c r="R178" s="41"/>
      <c r="S178" s="39"/>
      <c r="T178" s="41"/>
      <c r="U178" s="39"/>
      <c r="V178" s="41"/>
      <c r="W178" s="43" t="s">
        <v>711</v>
      </c>
      <c r="X178" s="33"/>
      <c r="Y178" s="27"/>
      <c r="Z178" s="29"/>
      <c r="AB178" s="73" t="str">
        <f t="shared" si="4"/>
        <v>性能検討用走行抵抗式(ePT連れ回り排除)動力VmaxA1－</v>
      </c>
      <c r="AC178" s="74" t="e">
        <f>VLOOKUP($AB178,変換表貼り付け用シート!$A$3:$AN$1133,3,FALSE)</f>
        <v>#N/A</v>
      </c>
      <c r="AD178" s="74" t="e">
        <f t="shared" si="5"/>
        <v>#N/A</v>
      </c>
      <c r="AE178" s="79" t="e">
        <f>IF(VLOOKUP($AB178,変換表貼り付け用シート!$A$3:$AN$3000,12,FALSE)="","",(VLOOKUP($AB178,変換表貼り付け用シート!$A$3:$AN$3000,12,FALSE)))</f>
        <v>#N/A</v>
      </c>
      <c r="AF178" s="80" t="e">
        <f>IF(VLOOKUP($AB178,変換表貼り付け用シート!$A$3:$AN$3000,13,FALSE)="","",(VLOOKUP($AB178,変換表貼り付け用シート!$A$3:$AN$3000,13,FALSE)))</f>
        <v>#N/A</v>
      </c>
      <c r="AG178" s="80" t="e">
        <f>IF(VLOOKUP($AB178,変換表貼り付け用シート!$A$3:$AN$3000,14,FALSE)="","",(VLOOKUP($AB178,変換表貼り付け用シート!$A$3:$AN$3000,14,FALSE)))</f>
        <v>#N/A</v>
      </c>
      <c r="AH178" s="85" t="e">
        <f>IF(VLOOKUP($AB178,変換表貼り付け用シート!$A$3:$AN$3000,15,FALSE)="","",(VLOOKUP($AB178,変換表貼り付け用シート!$A$3:$AN$3000,15,FALSE)))</f>
        <v>#N/A</v>
      </c>
      <c r="AI178" s="79" t="e">
        <f>IF(VLOOKUP($AB178,変換表貼り付け用シート!$A$3:$AN$3000,16,FALSE)="","",(VLOOKUP($AB178,変換表貼り付け用シート!$A$3:$AN$3000,16,FALSE)))</f>
        <v>#N/A</v>
      </c>
      <c r="AJ178" s="81" t="e">
        <f>IF(VLOOKUP($AB178,変換表貼り付け用シート!$A$3:$AN$3000,17,FALSE)="","",(VLOOKUP($AB178,変換表貼り付け用シート!$A$3:$AN$3000,17,FALSE)))</f>
        <v>#N/A</v>
      </c>
      <c r="AK178" s="88" t="e">
        <f>IF(VLOOKUP($AB178,変換表貼り付け用シート!$A$3:$AN$3000,18,FALSE)="","",(VLOOKUP($AB178,変換表貼り付け用シート!$A$3:$AN$3000,18,FALSE)))</f>
        <v>#N/A</v>
      </c>
      <c r="AL178" s="81" t="e">
        <f>IF(VLOOKUP($AB178,変換表貼り付け用シート!$A$3:$AN$3000,19,FALSE)="","",(VLOOKUP($AB178,変換表貼り付け用シート!$A$3:$AN$3000,19,FALSE)))</f>
        <v>#N/A</v>
      </c>
      <c r="AM178" s="75" t="e">
        <f>IF(VLOOKUP($AB178,変換表貼り付け用シート!$A$3:$AN$3000,20,FALSE)="","",(VLOOKUP($AB178,変換表貼り付け用シート!$A$3:$AN$3000,20,FALSE)))</f>
        <v>#N/A</v>
      </c>
    </row>
    <row r="179" spans="2:39" ht="21" customHeight="1" x14ac:dyDescent="0.35">
      <c r="B179" s="39"/>
      <c r="C179" s="117" t="s">
        <v>883</v>
      </c>
      <c r="D179" s="96" t="s">
        <v>381</v>
      </c>
      <c r="E179" s="27" t="s">
        <v>44</v>
      </c>
      <c r="F179" s="37" t="s">
        <v>45</v>
      </c>
      <c r="G179" s="33" t="s">
        <v>206</v>
      </c>
      <c r="H179" s="27" t="s">
        <v>314</v>
      </c>
      <c r="I179" s="27" t="s">
        <v>206</v>
      </c>
      <c r="J179" s="37" t="s">
        <v>314</v>
      </c>
      <c r="K179" s="39" t="s">
        <v>127</v>
      </c>
      <c r="L179" s="28" t="s">
        <v>142</v>
      </c>
      <c r="M179" s="28" t="s">
        <v>48</v>
      </c>
      <c r="N179" s="41" t="s">
        <v>124</v>
      </c>
      <c r="O179" s="39">
        <v>4.3650000000000001E-2</v>
      </c>
      <c r="P179" s="28"/>
      <c r="Q179" s="28"/>
      <c r="R179" s="41"/>
      <c r="S179" s="39"/>
      <c r="T179" s="41"/>
      <c r="U179" s="39"/>
      <c r="V179" s="41"/>
      <c r="W179" s="43" t="s">
        <v>711</v>
      </c>
      <c r="X179" s="33"/>
      <c r="Y179" s="27"/>
      <c r="Z179" s="29"/>
      <c r="AB179" s="73" t="str">
        <f t="shared" si="4"/>
        <v>性能検討用走行抵抗式(ePT連れ回り排除)動力VmaxA2－</v>
      </c>
      <c r="AC179" s="74" t="e">
        <f>VLOOKUP($AB179,変換表貼り付け用シート!$A$3:$AN$1133,3,FALSE)</f>
        <v>#N/A</v>
      </c>
      <c r="AD179" s="74" t="e">
        <f t="shared" si="5"/>
        <v>#N/A</v>
      </c>
      <c r="AE179" s="79" t="e">
        <f>IF(VLOOKUP($AB179,変換表貼り付け用シート!$A$3:$AN$3000,12,FALSE)="","",(VLOOKUP($AB179,変換表貼り付け用シート!$A$3:$AN$3000,12,FALSE)))</f>
        <v>#N/A</v>
      </c>
      <c r="AF179" s="80" t="e">
        <f>IF(VLOOKUP($AB179,変換表貼り付け用シート!$A$3:$AN$3000,13,FALSE)="","",(VLOOKUP($AB179,変換表貼り付け用シート!$A$3:$AN$3000,13,FALSE)))</f>
        <v>#N/A</v>
      </c>
      <c r="AG179" s="80" t="e">
        <f>IF(VLOOKUP($AB179,変換表貼り付け用シート!$A$3:$AN$3000,14,FALSE)="","",(VLOOKUP($AB179,変換表貼り付け用シート!$A$3:$AN$3000,14,FALSE)))</f>
        <v>#N/A</v>
      </c>
      <c r="AH179" s="85" t="e">
        <f>IF(VLOOKUP($AB179,変換表貼り付け用シート!$A$3:$AN$3000,15,FALSE)="","",(VLOOKUP($AB179,変換表貼り付け用シート!$A$3:$AN$3000,15,FALSE)))</f>
        <v>#N/A</v>
      </c>
      <c r="AI179" s="79" t="e">
        <f>IF(VLOOKUP($AB179,変換表貼り付け用シート!$A$3:$AN$3000,16,FALSE)="","",(VLOOKUP($AB179,変換表貼り付け用シート!$A$3:$AN$3000,16,FALSE)))</f>
        <v>#N/A</v>
      </c>
      <c r="AJ179" s="81" t="e">
        <f>IF(VLOOKUP($AB179,変換表貼り付け用シート!$A$3:$AN$3000,17,FALSE)="","",(VLOOKUP($AB179,変換表貼り付け用シート!$A$3:$AN$3000,17,FALSE)))</f>
        <v>#N/A</v>
      </c>
      <c r="AK179" s="88" t="e">
        <f>IF(VLOOKUP($AB179,変換表貼り付け用シート!$A$3:$AN$3000,18,FALSE)="","",(VLOOKUP($AB179,変換表貼り付け用シート!$A$3:$AN$3000,18,FALSE)))</f>
        <v>#N/A</v>
      </c>
      <c r="AL179" s="81" t="e">
        <f>IF(VLOOKUP($AB179,変換表貼り付け用シート!$A$3:$AN$3000,19,FALSE)="","",(VLOOKUP($AB179,変換表貼り付け用シート!$A$3:$AN$3000,19,FALSE)))</f>
        <v>#N/A</v>
      </c>
      <c r="AM179" s="75" t="e">
        <f>IF(VLOOKUP($AB179,変換表貼り付け用シート!$A$3:$AN$3000,20,FALSE)="","",(VLOOKUP($AB179,変換表貼り付け用シート!$A$3:$AN$3000,20,FALSE)))</f>
        <v>#N/A</v>
      </c>
    </row>
    <row r="180" spans="2:39" ht="21" customHeight="1" x14ac:dyDescent="0.35">
      <c r="B180" s="39"/>
      <c r="C180" s="117" t="s">
        <v>884</v>
      </c>
      <c r="D180" s="96" t="s">
        <v>382</v>
      </c>
      <c r="E180" s="27" t="s">
        <v>44</v>
      </c>
      <c r="F180" s="37" t="s">
        <v>45</v>
      </c>
      <c r="G180" s="33" t="s">
        <v>206</v>
      </c>
      <c r="H180" s="27" t="s">
        <v>314</v>
      </c>
      <c r="I180" s="27" t="s">
        <v>206</v>
      </c>
      <c r="J180" s="37" t="s">
        <v>314</v>
      </c>
      <c r="K180" s="39" t="s">
        <v>127</v>
      </c>
      <c r="L180" s="28" t="s">
        <v>143</v>
      </c>
      <c r="M180" s="28" t="s">
        <v>48</v>
      </c>
      <c r="N180" s="41" t="s">
        <v>49</v>
      </c>
      <c r="O180" s="39">
        <v>1261</v>
      </c>
      <c r="P180" s="28"/>
      <c r="Q180" s="28"/>
      <c r="R180" s="41"/>
      <c r="S180" s="39"/>
      <c r="T180" s="41"/>
      <c r="U180" s="39"/>
      <c r="V180" s="41"/>
      <c r="W180" s="43" t="s">
        <v>711</v>
      </c>
      <c r="X180" s="33"/>
      <c r="Y180" s="27"/>
      <c r="Z180" s="29"/>
      <c r="AB180" s="73" t="str">
        <f t="shared" si="4"/>
        <v>性能検討用走行抵抗式(ePT連れ回り排除)動力VmaxIP－</v>
      </c>
      <c r="AC180" s="74" t="e">
        <f>VLOOKUP($AB180,変換表貼り付け用シート!$A$3:$AN$1133,3,FALSE)</f>
        <v>#N/A</v>
      </c>
      <c r="AD180" s="74" t="e">
        <f t="shared" si="5"/>
        <v>#N/A</v>
      </c>
      <c r="AE180" s="79" t="e">
        <f>IF(VLOOKUP($AB180,変換表貼り付け用シート!$A$3:$AN$3000,12,FALSE)="","",(VLOOKUP($AB180,変換表貼り付け用シート!$A$3:$AN$3000,12,FALSE)))</f>
        <v>#N/A</v>
      </c>
      <c r="AF180" s="80" t="e">
        <f>IF(VLOOKUP($AB180,変換表貼り付け用シート!$A$3:$AN$3000,13,FALSE)="","",(VLOOKUP($AB180,変換表貼り付け用シート!$A$3:$AN$3000,13,FALSE)))</f>
        <v>#N/A</v>
      </c>
      <c r="AG180" s="80" t="e">
        <f>IF(VLOOKUP($AB180,変換表貼り付け用シート!$A$3:$AN$3000,14,FALSE)="","",(VLOOKUP($AB180,変換表貼り付け用シート!$A$3:$AN$3000,14,FALSE)))</f>
        <v>#N/A</v>
      </c>
      <c r="AH180" s="85" t="e">
        <f>IF(VLOOKUP($AB180,変換表貼り付け用シート!$A$3:$AN$3000,15,FALSE)="","",(VLOOKUP($AB180,変換表貼り付け用シート!$A$3:$AN$3000,15,FALSE)))</f>
        <v>#N/A</v>
      </c>
      <c r="AI180" s="79" t="e">
        <f>IF(VLOOKUP($AB180,変換表貼り付け用シート!$A$3:$AN$3000,16,FALSE)="","",(VLOOKUP($AB180,変換表貼り付け用シート!$A$3:$AN$3000,16,FALSE)))</f>
        <v>#N/A</v>
      </c>
      <c r="AJ180" s="81" t="e">
        <f>IF(VLOOKUP($AB180,変換表貼り付け用シート!$A$3:$AN$3000,17,FALSE)="","",(VLOOKUP($AB180,変換表貼り付け用シート!$A$3:$AN$3000,17,FALSE)))</f>
        <v>#N/A</v>
      </c>
      <c r="AK180" s="88" t="e">
        <f>IF(VLOOKUP($AB180,変換表貼り付け用シート!$A$3:$AN$3000,18,FALSE)="","",(VLOOKUP($AB180,変換表貼り付け用シート!$A$3:$AN$3000,18,FALSE)))</f>
        <v>#N/A</v>
      </c>
      <c r="AL180" s="81" t="e">
        <f>IF(VLOOKUP($AB180,変換表貼り付け用シート!$A$3:$AN$3000,19,FALSE)="","",(VLOOKUP($AB180,変換表貼り付け用シート!$A$3:$AN$3000,19,FALSE)))</f>
        <v>#N/A</v>
      </c>
      <c r="AM180" s="75" t="e">
        <f>IF(VLOOKUP($AB180,変換表貼り付け用シート!$A$3:$AN$3000,20,FALSE)="","",(VLOOKUP($AB180,変換表貼り付け用シート!$A$3:$AN$3000,20,FALSE)))</f>
        <v>#N/A</v>
      </c>
    </row>
    <row r="181" spans="2:39" ht="21" customHeight="1" x14ac:dyDescent="0.35">
      <c r="B181" s="39"/>
      <c r="C181" s="117" t="s">
        <v>885</v>
      </c>
      <c r="D181" s="96" t="s">
        <v>383</v>
      </c>
      <c r="E181" s="27" t="s">
        <v>44</v>
      </c>
      <c r="F181" s="37" t="s">
        <v>45</v>
      </c>
      <c r="G181" s="33" t="s">
        <v>206</v>
      </c>
      <c r="H181" s="27" t="s">
        <v>314</v>
      </c>
      <c r="I181" s="27" t="s">
        <v>206</v>
      </c>
      <c r="J181" s="37" t="s">
        <v>314</v>
      </c>
      <c r="K181" s="39" t="s">
        <v>127</v>
      </c>
      <c r="L181" s="28" t="s">
        <v>144</v>
      </c>
      <c r="M181" s="28" t="s">
        <v>48</v>
      </c>
      <c r="N181" s="41" t="s">
        <v>145</v>
      </c>
      <c r="O181" s="39" t="s">
        <v>146</v>
      </c>
      <c r="P181" s="28"/>
      <c r="Q181" s="28"/>
      <c r="R181" s="41"/>
      <c r="S181" s="39"/>
      <c r="T181" s="41"/>
      <c r="U181" s="39"/>
      <c r="V181" s="41"/>
      <c r="W181" s="43" t="s">
        <v>711</v>
      </c>
      <c r="X181" s="33"/>
      <c r="Y181" s="27"/>
      <c r="Z181" s="29"/>
      <c r="AB181" s="73" t="str">
        <f t="shared" si="4"/>
        <v>性能検討用走行抵抗式(ePT連れ回り排除)熱NEMシビアシーンA0－</v>
      </c>
      <c r="AC181" s="74" t="e">
        <f>VLOOKUP($AB181,変換表貼り付け用シート!$A$3:$AN$1133,3,FALSE)</f>
        <v>#N/A</v>
      </c>
      <c r="AD181" s="74" t="e">
        <f t="shared" si="5"/>
        <v>#N/A</v>
      </c>
      <c r="AE181" s="79" t="e">
        <f>IF(VLOOKUP($AB181,変換表貼り付け用シート!$A$3:$AN$3000,12,FALSE)="","",(VLOOKUP($AB181,変換表貼り付け用シート!$A$3:$AN$3000,12,FALSE)))</f>
        <v>#N/A</v>
      </c>
      <c r="AF181" s="80" t="e">
        <f>IF(VLOOKUP($AB181,変換表貼り付け用シート!$A$3:$AN$3000,13,FALSE)="","",(VLOOKUP($AB181,変換表貼り付け用シート!$A$3:$AN$3000,13,FALSE)))</f>
        <v>#N/A</v>
      </c>
      <c r="AG181" s="80" t="e">
        <f>IF(VLOOKUP($AB181,変換表貼り付け用シート!$A$3:$AN$3000,14,FALSE)="","",(VLOOKUP($AB181,変換表貼り付け用シート!$A$3:$AN$3000,14,FALSE)))</f>
        <v>#N/A</v>
      </c>
      <c r="AH181" s="85" t="e">
        <f>IF(VLOOKUP($AB181,変換表貼り付け用シート!$A$3:$AN$3000,15,FALSE)="","",(VLOOKUP($AB181,変換表貼り付け用シート!$A$3:$AN$3000,15,FALSE)))</f>
        <v>#N/A</v>
      </c>
      <c r="AI181" s="79" t="e">
        <f>IF(VLOOKUP($AB181,変換表貼り付け用シート!$A$3:$AN$3000,16,FALSE)="","",(VLOOKUP($AB181,変換表貼り付け用シート!$A$3:$AN$3000,16,FALSE)))</f>
        <v>#N/A</v>
      </c>
      <c r="AJ181" s="81" t="e">
        <f>IF(VLOOKUP($AB181,変換表貼り付け用シート!$A$3:$AN$3000,17,FALSE)="","",(VLOOKUP($AB181,変換表貼り付け用シート!$A$3:$AN$3000,17,FALSE)))</f>
        <v>#N/A</v>
      </c>
      <c r="AK181" s="88" t="e">
        <f>IF(VLOOKUP($AB181,変換表貼り付け用シート!$A$3:$AN$3000,18,FALSE)="","",(VLOOKUP($AB181,変換表貼り付け用シート!$A$3:$AN$3000,18,FALSE)))</f>
        <v>#N/A</v>
      </c>
      <c r="AL181" s="81" t="e">
        <f>IF(VLOOKUP($AB181,変換表貼り付け用シート!$A$3:$AN$3000,19,FALSE)="","",(VLOOKUP($AB181,変換表貼り付け用シート!$A$3:$AN$3000,19,FALSE)))</f>
        <v>#N/A</v>
      </c>
      <c r="AM181" s="75" t="e">
        <f>IF(VLOOKUP($AB181,変換表貼り付け用シート!$A$3:$AN$3000,20,FALSE)="","",(VLOOKUP($AB181,変換表貼り付け用シート!$A$3:$AN$3000,20,FALSE)))</f>
        <v>#N/A</v>
      </c>
    </row>
    <row r="182" spans="2:39" ht="21" customHeight="1" x14ac:dyDescent="0.35">
      <c r="B182" s="39"/>
      <c r="C182" s="117" t="s">
        <v>886</v>
      </c>
      <c r="D182" s="96" t="s">
        <v>384</v>
      </c>
      <c r="E182" s="27" t="s">
        <v>44</v>
      </c>
      <c r="F182" s="37" t="s">
        <v>45</v>
      </c>
      <c r="G182" s="33" t="s">
        <v>206</v>
      </c>
      <c r="H182" s="27" t="s">
        <v>314</v>
      </c>
      <c r="I182" s="27" t="s">
        <v>206</v>
      </c>
      <c r="J182" s="37" t="s">
        <v>314</v>
      </c>
      <c r="K182" s="39" t="s">
        <v>127</v>
      </c>
      <c r="L182" s="28" t="s">
        <v>147</v>
      </c>
      <c r="M182" s="28" t="s">
        <v>48</v>
      </c>
      <c r="N182" s="41" t="s">
        <v>120</v>
      </c>
      <c r="O182" s="39">
        <v>90.9</v>
      </c>
      <c r="P182" s="28"/>
      <c r="Q182" s="28"/>
      <c r="R182" s="41"/>
      <c r="S182" s="39"/>
      <c r="T182" s="41"/>
      <c r="U182" s="39"/>
      <c r="V182" s="41"/>
      <c r="W182" s="43" t="s">
        <v>711</v>
      </c>
      <c r="X182" s="33"/>
      <c r="Y182" s="27"/>
      <c r="Z182" s="29"/>
      <c r="AB182" s="73" t="str">
        <f t="shared" si="4"/>
        <v>性能検討用走行抵抗式(ePT連れ回り排除)熱加減速繰り返し走行A0－</v>
      </c>
      <c r="AC182" s="74" t="e">
        <f>VLOOKUP($AB182,変換表貼り付け用シート!$A$3:$AN$1133,3,FALSE)</f>
        <v>#N/A</v>
      </c>
      <c r="AD182" s="74" t="e">
        <f t="shared" si="5"/>
        <v>#N/A</v>
      </c>
      <c r="AE182" s="79" t="e">
        <f>IF(VLOOKUP($AB182,変換表貼り付け用シート!$A$3:$AN$3000,12,FALSE)="","",(VLOOKUP($AB182,変換表貼り付け用シート!$A$3:$AN$3000,12,FALSE)))</f>
        <v>#N/A</v>
      </c>
      <c r="AF182" s="80" t="e">
        <f>IF(VLOOKUP($AB182,変換表貼り付け用シート!$A$3:$AN$3000,13,FALSE)="","",(VLOOKUP($AB182,変換表貼り付け用シート!$A$3:$AN$3000,13,FALSE)))</f>
        <v>#N/A</v>
      </c>
      <c r="AG182" s="80" t="e">
        <f>IF(VLOOKUP($AB182,変換表貼り付け用シート!$A$3:$AN$3000,14,FALSE)="","",(VLOOKUP($AB182,変換表貼り付け用シート!$A$3:$AN$3000,14,FALSE)))</f>
        <v>#N/A</v>
      </c>
      <c r="AH182" s="85" t="e">
        <f>IF(VLOOKUP($AB182,変換表貼り付け用シート!$A$3:$AN$3000,15,FALSE)="","",(VLOOKUP($AB182,変換表貼り付け用シート!$A$3:$AN$3000,15,FALSE)))</f>
        <v>#N/A</v>
      </c>
      <c r="AI182" s="79" t="e">
        <f>IF(VLOOKUP($AB182,変換表貼り付け用シート!$A$3:$AN$3000,16,FALSE)="","",(VLOOKUP($AB182,変換表貼り付け用シート!$A$3:$AN$3000,16,FALSE)))</f>
        <v>#N/A</v>
      </c>
      <c r="AJ182" s="81" t="e">
        <f>IF(VLOOKUP($AB182,変換表貼り付け用シート!$A$3:$AN$3000,17,FALSE)="","",(VLOOKUP($AB182,変換表貼り付け用シート!$A$3:$AN$3000,17,FALSE)))</f>
        <v>#N/A</v>
      </c>
      <c r="AK182" s="88" t="e">
        <f>IF(VLOOKUP($AB182,変換表貼り付け用シート!$A$3:$AN$3000,18,FALSE)="","",(VLOOKUP($AB182,変換表貼り付け用シート!$A$3:$AN$3000,18,FALSE)))</f>
        <v>#N/A</v>
      </c>
      <c r="AL182" s="81" t="e">
        <f>IF(VLOOKUP($AB182,変換表貼り付け用シート!$A$3:$AN$3000,19,FALSE)="","",(VLOOKUP($AB182,変換表貼り付け用シート!$A$3:$AN$3000,19,FALSE)))</f>
        <v>#N/A</v>
      </c>
      <c r="AM182" s="75" t="e">
        <f>IF(VLOOKUP($AB182,変換表貼り付け用シート!$A$3:$AN$3000,20,FALSE)="","",(VLOOKUP($AB182,変換表貼り付け用シート!$A$3:$AN$3000,20,FALSE)))</f>
        <v>#N/A</v>
      </c>
    </row>
    <row r="183" spans="2:39" ht="21" customHeight="1" x14ac:dyDescent="0.35">
      <c r="B183" s="39"/>
      <c r="C183" s="117" t="s">
        <v>887</v>
      </c>
      <c r="D183" s="96" t="s">
        <v>385</v>
      </c>
      <c r="E183" s="27" t="s">
        <v>44</v>
      </c>
      <c r="F183" s="37" t="s">
        <v>45</v>
      </c>
      <c r="G183" s="33" t="s">
        <v>206</v>
      </c>
      <c r="H183" s="27" t="s">
        <v>314</v>
      </c>
      <c r="I183" s="27" t="s">
        <v>206</v>
      </c>
      <c r="J183" s="37" t="s">
        <v>314</v>
      </c>
      <c r="K183" s="39" t="s">
        <v>127</v>
      </c>
      <c r="L183" s="28" t="s">
        <v>148</v>
      </c>
      <c r="M183" s="28" t="s">
        <v>48</v>
      </c>
      <c r="N183" s="41" t="s">
        <v>122</v>
      </c>
      <c r="O183" s="39">
        <v>-9.5100000000000004E-2</v>
      </c>
      <c r="P183" s="28"/>
      <c r="Q183" s="28"/>
      <c r="R183" s="41"/>
      <c r="S183" s="39"/>
      <c r="T183" s="41"/>
      <c r="U183" s="39"/>
      <c r="V183" s="41"/>
      <c r="W183" s="43" t="s">
        <v>711</v>
      </c>
      <c r="X183" s="33"/>
      <c r="Y183" s="27"/>
      <c r="Z183" s="29"/>
      <c r="AB183" s="73" t="str">
        <f t="shared" si="4"/>
        <v>性能検討用走行抵抗式(ePT連れ回り排除)熱加減速繰り返し走行A1－</v>
      </c>
      <c r="AC183" s="74" t="e">
        <f>VLOOKUP($AB183,変換表貼り付け用シート!$A$3:$AN$1133,3,FALSE)</f>
        <v>#N/A</v>
      </c>
      <c r="AD183" s="74" t="e">
        <f t="shared" si="5"/>
        <v>#N/A</v>
      </c>
      <c r="AE183" s="79" t="e">
        <f>IF(VLOOKUP($AB183,変換表貼り付け用シート!$A$3:$AN$3000,12,FALSE)="","",(VLOOKUP($AB183,変換表貼り付け用シート!$A$3:$AN$3000,12,FALSE)))</f>
        <v>#N/A</v>
      </c>
      <c r="AF183" s="80" t="e">
        <f>IF(VLOOKUP($AB183,変換表貼り付け用シート!$A$3:$AN$3000,13,FALSE)="","",(VLOOKUP($AB183,変換表貼り付け用シート!$A$3:$AN$3000,13,FALSE)))</f>
        <v>#N/A</v>
      </c>
      <c r="AG183" s="80" t="e">
        <f>IF(VLOOKUP($AB183,変換表貼り付け用シート!$A$3:$AN$3000,14,FALSE)="","",(VLOOKUP($AB183,変換表貼り付け用シート!$A$3:$AN$3000,14,FALSE)))</f>
        <v>#N/A</v>
      </c>
      <c r="AH183" s="85" t="e">
        <f>IF(VLOOKUP($AB183,変換表貼り付け用シート!$A$3:$AN$3000,15,FALSE)="","",(VLOOKUP($AB183,変換表貼り付け用シート!$A$3:$AN$3000,15,FALSE)))</f>
        <v>#N/A</v>
      </c>
      <c r="AI183" s="79" t="e">
        <f>IF(VLOOKUP($AB183,変換表貼り付け用シート!$A$3:$AN$3000,16,FALSE)="","",(VLOOKUP($AB183,変換表貼り付け用シート!$A$3:$AN$3000,16,FALSE)))</f>
        <v>#N/A</v>
      </c>
      <c r="AJ183" s="81" t="e">
        <f>IF(VLOOKUP($AB183,変換表貼り付け用シート!$A$3:$AN$3000,17,FALSE)="","",(VLOOKUP($AB183,変換表貼り付け用シート!$A$3:$AN$3000,17,FALSE)))</f>
        <v>#N/A</v>
      </c>
      <c r="AK183" s="88" t="e">
        <f>IF(VLOOKUP($AB183,変換表貼り付け用シート!$A$3:$AN$3000,18,FALSE)="","",(VLOOKUP($AB183,変換表貼り付け用シート!$A$3:$AN$3000,18,FALSE)))</f>
        <v>#N/A</v>
      </c>
      <c r="AL183" s="81" t="e">
        <f>IF(VLOOKUP($AB183,変換表貼り付け用シート!$A$3:$AN$3000,19,FALSE)="","",(VLOOKUP($AB183,変換表貼り付け用シート!$A$3:$AN$3000,19,FALSE)))</f>
        <v>#N/A</v>
      </c>
      <c r="AM183" s="75" t="e">
        <f>IF(VLOOKUP($AB183,変換表貼り付け用シート!$A$3:$AN$3000,20,FALSE)="","",(VLOOKUP($AB183,変換表貼り付け用シート!$A$3:$AN$3000,20,FALSE)))</f>
        <v>#N/A</v>
      </c>
    </row>
    <row r="184" spans="2:39" ht="21" customHeight="1" x14ac:dyDescent="0.35">
      <c r="B184" s="39"/>
      <c r="C184" s="117" t="s">
        <v>888</v>
      </c>
      <c r="D184" s="96" t="s">
        <v>386</v>
      </c>
      <c r="E184" s="27" t="s">
        <v>44</v>
      </c>
      <c r="F184" s="37" t="s">
        <v>45</v>
      </c>
      <c r="G184" s="33" t="s">
        <v>206</v>
      </c>
      <c r="H184" s="27" t="s">
        <v>314</v>
      </c>
      <c r="I184" s="27" t="s">
        <v>206</v>
      </c>
      <c r="J184" s="37" t="s">
        <v>314</v>
      </c>
      <c r="K184" s="39" t="s">
        <v>127</v>
      </c>
      <c r="L184" s="28" t="s">
        <v>149</v>
      </c>
      <c r="M184" s="28" t="s">
        <v>48</v>
      </c>
      <c r="N184" s="41" t="s">
        <v>124</v>
      </c>
      <c r="O184" s="39">
        <v>4.326E-2</v>
      </c>
      <c r="P184" s="28"/>
      <c r="Q184" s="28"/>
      <c r="R184" s="41"/>
      <c r="S184" s="39"/>
      <c r="T184" s="41"/>
      <c r="U184" s="39"/>
      <c r="V184" s="41"/>
      <c r="W184" s="43" t="s">
        <v>711</v>
      </c>
      <c r="X184" s="33"/>
      <c r="Y184" s="27"/>
      <c r="Z184" s="29"/>
      <c r="AB184" s="73" t="str">
        <f t="shared" si="4"/>
        <v>性能検討用走行抵抗式(ePT連れ回り排除)熱加減速繰り返し走行A2－</v>
      </c>
      <c r="AC184" s="74" t="e">
        <f>VLOOKUP($AB184,変換表貼り付け用シート!$A$3:$AN$1133,3,FALSE)</f>
        <v>#N/A</v>
      </c>
      <c r="AD184" s="74" t="e">
        <f t="shared" si="5"/>
        <v>#N/A</v>
      </c>
      <c r="AE184" s="79" t="e">
        <f>IF(VLOOKUP($AB184,変換表貼り付け用シート!$A$3:$AN$3000,12,FALSE)="","",(VLOOKUP($AB184,変換表貼り付け用シート!$A$3:$AN$3000,12,FALSE)))</f>
        <v>#N/A</v>
      </c>
      <c r="AF184" s="80" t="e">
        <f>IF(VLOOKUP($AB184,変換表貼り付け用シート!$A$3:$AN$3000,13,FALSE)="","",(VLOOKUP($AB184,変換表貼り付け用シート!$A$3:$AN$3000,13,FALSE)))</f>
        <v>#N/A</v>
      </c>
      <c r="AG184" s="80" t="e">
        <f>IF(VLOOKUP($AB184,変換表貼り付け用シート!$A$3:$AN$3000,14,FALSE)="","",(VLOOKUP($AB184,変換表貼り付け用シート!$A$3:$AN$3000,14,FALSE)))</f>
        <v>#N/A</v>
      </c>
      <c r="AH184" s="85" t="e">
        <f>IF(VLOOKUP($AB184,変換表貼り付け用シート!$A$3:$AN$3000,15,FALSE)="","",(VLOOKUP($AB184,変換表貼り付け用シート!$A$3:$AN$3000,15,FALSE)))</f>
        <v>#N/A</v>
      </c>
      <c r="AI184" s="79" t="e">
        <f>IF(VLOOKUP($AB184,変換表貼り付け用シート!$A$3:$AN$3000,16,FALSE)="","",(VLOOKUP($AB184,変換表貼り付け用シート!$A$3:$AN$3000,16,FALSE)))</f>
        <v>#N/A</v>
      </c>
      <c r="AJ184" s="81" t="e">
        <f>IF(VLOOKUP($AB184,変換表貼り付け用シート!$A$3:$AN$3000,17,FALSE)="","",(VLOOKUP($AB184,変換表貼り付け用シート!$A$3:$AN$3000,17,FALSE)))</f>
        <v>#N/A</v>
      </c>
      <c r="AK184" s="88" t="e">
        <f>IF(VLOOKUP($AB184,変換表貼り付け用シート!$A$3:$AN$3000,18,FALSE)="","",(VLOOKUP($AB184,変換表貼り付け用シート!$A$3:$AN$3000,18,FALSE)))</f>
        <v>#N/A</v>
      </c>
      <c r="AL184" s="81" t="e">
        <f>IF(VLOOKUP($AB184,変換表貼り付け用シート!$A$3:$AN$3000,19,FALSE)="","",(VLOOKUP($AB184,変換表貼り付け用シート!$A$3:$AN$3000,19,FALSE)))</f>
        <v>#N/A</v>
      </c>
      <c r="AM184" s="75" t="e">
        <f>IF(VLOOKUP($AB184,変換表貼り付け用シート!$A$3:$AN$3000,20,FALSE)="","",(VLOOKUP($AB184,変換表貼り付け用シート!$A$3:$AN$3000,20,FALSE)))</f>
        <v>#N/A</v>
      </c>
    </row>
    <row r="185" spans="2:39" ht="21" customHeight="1" x14ac:dyDescent="0.35">
      <c r="B185" s="39"/>
      <c r="C185" s="117" t="s">
        <v>889</v>
      </c>
      <c r="D185" s="96" t="s">
        <v>387</v>
      </c>
      <c r="E185" s="27" t="s">
        <v>44</v>
      </c>
      <c r="F185" s="37" t="s">
        <v>45</v>
      </c>
      <c r="G185" s="33" t="s">
        <v>206</v>
      </c>
      <c r="H185" s="27" t="s">
        <v>314</v>
      </c>
      <c r="I185" s="27" t="s">
        <v>206</v>
      </c>
      <c r="J185" s="37" t="s">
        <v>314</v>
      </c>
      <c r="K185" s="39" t="s">
        <v>127</v>
      </c>
      <c r="L185" s="28" t="s">
        <v>150</v>
      </c>
      <c r="M185" s="28" t="s">
        <v>48</v>
      </c>
      <c r="N185" s="41" t="s">
        <v>49</v>
      </c>
      <c r="O185" s="39">
        <v>1380</v>
      </c>
      <c r="P185" s="28"/>
      <c r="Q185" s="28"/>
      <c r="R185" s="41"/>
      <c r="S185" s="39"/>
      <c r="T185" s="41"/>
      <c r="U185" s="39"/>
      <c r="V185" s="41"/>
      <c r="W185" s="43" t="s">
        <v>711</v>
      </c>
      <c r="X185" s="33"/>
      <c r="Y185" s="27"/>
      <c r="Z185" s="29"/>
      <c r="AB185" s="73" t="str">
        <f t="shared" si="4"/>
        <v>性能検討用走行抵抗式(ePT連れ回り排除)熱加減速繰り返し走行IP－</v>
      </c>
      <c r="AC185" s="74" t="e">
        <f>VLOOKUP($AB185,変換表貼り付け用シート!$A$3:$AN$1133,3,FALSE)</f>
        <v>#N/A</v>
      </c>
      <c r="AD185" s="74" t="e">
        <f t="shared" si="5"/>
        <v>#N/A</v>
      </c>
      <c r="AE185" s="79" t="e">
        <f>IF(VLOOKUP($AB185,変換表貼り付け用シート!$A$3:$AN$3000,12,FALSE)="","",(VLOOKUP($AB185,変換表貼り付け用シート!$A$3:$AN$3000,12,FALSE)))</f>
        <v>#N/A</v>
      </c>
      <c r="AF185" s="80" t="e">
        <f>IF(VLOOKUP($AB185,変換表貼り付け用シート!$A$3:$AN$3000,13,FALSE)="","",(VLOOKUP($AB185,変換表貼り付け用シート!$A$3:$AN$3000,13,FALSE)))</f>
        <v>#N/A</v>
      </c>
      <c r="AG185" s="80" t="e">
        <f>IF(VLOOKUP($AB185,変換表貼り付け用シート!$A$3:$AN$3000,14,FALSE)="","",(VLOOKUP($AB185,変換表貼り付け用シート!$A$3:$AN$3000,14,FALSE)))</f>
        <v>#N/A</v>
      </c>
      <c r="AH185" s="85" t="e">
        <f>IF(VLOOKUP($AB185,変換表貼り付け用シート!$A$3:$AN$3000,15,FALSE)="","",(VLOOKUP($AB185,変換表貼り付け用シート!$A$3:$AN$3000,15,FALSE)))</f>
        <v>#N/A</v>
      </c>
      <c r="AI185" s="79" t="e">
        <f>IF(VLOOKUP($AB185,変換表貼り付け用シート!$A$3:$AN$3000,16,FALSE)="","",(VLOOKUP($AB185,変換表貼り付け用シート!$A$3:$AN$3000,16,FALSE)))</f>
        <v>#N/A</v>
      </c>
      <c r="AJ185" s="81" t="e">
        <f>IF(VLOOKUP($AB185,変換表貼り付け用シート!$A$3:$AN$3000,17,FALSE)="","",(VLOOKUP($AB185,変換表貼り付け用シート!$A$3:$AN$3000,17,FALSE)))</f>
        <v>#N/A</v>
      </c>
      <c r="AK185" s="88" t="e">
        <f>IF(VLOOKUP($AB185,変換表貼り付け用シート!$A$3:$AN$3000,18,FALSE)="","",(VLOOKUP($AB185,変換表貼り付け用シート!$A$3:$AN$3000,18,FALSE)))</f>
        <v>#N/A</v>
      </c>
      <c r="AL185" s="81" t="e">
        <f>IF(VLOOKUP($AB185,変換表貼り付け用シート!$A$3:$AN$3000,19,FALSE)="","",(VLOOKUP($AB185,変換表貼り付け用シート!$A$3:$AN$3000,19,FALSE)))</f>
        <v>#N/A</v>
      </c>
      <c r="AM185" s="75" t="e">
        <f>IF(VLOOKUP($AB185,変換表貼り付け用シート!$A$3:$AN$3000,20,FALSE)="","",(VLOOKUP($AB185,変換表貼り付け用シート!$A$3:$AN$3000,20,FALSE)))</f>
        <v>#N/A</v>
      </c>
    </row>
    <row r="186" spans="2:39" ht="21" customHeight="1" x14ac:dyDescent="0.35">
      <c r="B186" s="39"/>
      <c r="C186" s="117" t="s">
        <v>890</v>
      </c>
      <c r="D186" s="96" t="s">
        <v>388</v>
      </c>
      <c r="E186" s="27" t="s">
        <v>44</v>
      </c>
      <c r="F186" s="37" t="s">
        <v>45</v>
      </c>
      <c r="G186" s="33" t="s">
        <v>206</v>
      </c>
      <c r="H186" s="27" t="s">
        <v>314</v>
      </c>
      <c r="I186" s="27" t="s">
        <v>206</v>
      </c>
      <c r="J186" s="37" t="s">
        <v>314</v>
      </c>
      <c r="K186" s="39" t="s">
        <v>127</v>
      </c>
      <c r="L186" s="28" t="s">
        <v>151</v>
      </c>
      <c r="M186" s="28" t="s">
        <v>48</v>
      </c>
      <c r="N186" s="41" t="s">
        <v>120</v>
      </c>
      <c r="O186" s="39" t="s">
        <v>116</v>
      </c>
      <c r="P186" s="28"/>
      <c r="Q186" s="28"/>
      <c r="R186" s="41"/>
      <c r="S186" s="39"/>
      <c r="T186" s="41"/>
      <c r="U186" s="39"/>
      <c r="V186" s="41"/>
      <c r="W186" s="43" t="s">
        <v>711</v>
      </c>
      <c r="X186" s="33"/>
      <c r="Y186" s="27"/>
      <c r="Z186" s="29"/>
      <c r="AB186" s="73" t="str">
        <f t="shared" si="4"/>
        <v>性能検討用走行抵抗式(ePT連れ回り排除)熱TowingA0－</v>
      </c>
      <c r="AC186" s="74" t="e">
        <f>VLOOKUP($AB186,変換表貼り付け用シート!$A$3:$AN$1133,3,FALSE)</f>
        <v>#N/A</v>
      </c>
      <c r="AD186" s="74" t="e">
        <f t="shared" si="5"/>
        <v>#N/A</v>
      </c>
      <c r="AE186" s="79" t="e">
        <f>IF(VLOOKUP($AB186,変換表貼り付け用シート!$A$3:$AN$3000,12,FALSE)="","",(VLOOKUP($AB186,変換表貼り付け用シート!$A$3:$AN$3000,12,FALSE)))</f>
        <v>#N/A</v>
      </c>
      <c r="AF186" s="80" t="e">
        <f>IF(VLOOKUP($AB186,変換表貼り付け用シート!$A$3:$AN$3000,13,FALSE)="","",(VLOOKUP($AB186,変換表貼り付け用シート!$A$3:$AN$3000,13,FALSE)))</f>
        <v>#N/A</v>
      </c>
      <c r="AG186" s="80" t="e">
        <f>IF(VLOOKUP($AB186,変換表貼り付け用シート!$A$3:$AN$3000,14,FALSE)="","",(VLOOKUP($AB186,変換表貼り付け用シート!$A$3:$AN$3000,14,FALSE)))</f>
        <v>#N/A</v>
      </c>
      <c r="AH186" s="85" t="e">
        <f>IF(VLOOKUP($AB186,変換表貼り付け用シート!$A$3:$AN$3000,15,FALSE)="","",(VLOOKUP($AB186,変換表貼り付け用シート!$A$3:$AN$3000,15,FALSE)))</f>
        <v>#N/A</v>
      </c>
      <c r="AI186" s="79" t="e">
        <f>IF(VLOOKUP($AB186,変換表貼り付け用シート!$A$3:$AN$3000,16,FALSE)="","",(VLOOKUP($AB186,変換表貼り付け用シート!$A$3:$AN$3000,16,FALSE)))</f>
        <v>#N/A</v>
      </c>
      <c r="AJ186" s="81" t="e">
        <f>IF(VLOOKUP($AB186,変換表貼り付け用シート!$A$3:$AN$3000,17,FALSE)="","",(VLOOKUP($AB186,変換表貼り付け用シート!$A$3:$AN$3000,17,FALSE)))</f>
        <v>#N/A</v>
      </c>
      <c r="AK186" s="88" t="e">
        <f>IF(VLOOKUP($AB186,変換表貼り付け用シート!$A$3:$AN$3000,18,FALSE)="","",(VLOOKUP($AB186,変換表貼り付け用シート!$A$3:$AN$3000,18,FALSE)))</f>
        <v>#N/A</v>
      </c>
      <c r="AL186" s="81" t="e">
        <f>IF(VLOOKUP($AB186,変換表貼り付け用シート!$A$3:$AN$3000,19,FALSE)="","",(VLOOKUP($AB186,変換表貼り付け用シート!$A$3:$AN$3000,19,FALSE)))</f>
        <v>#N/A</v>
      </c>
      <c r="AM186" s="75" t="e">
        <f>IF(VLOOKUP($AB186,変換表貼り付け用シート!$A$3:$AN$3000,20,FALSE)="","",(VLOOKUP($AB186,変換表貼り付け用シート!$A$3:$AN$3000,20,FALSE)))</f>
        <v>#N/A</v>
      </c>
    </row>
    <row r="187" spans="2:39" ht="21" customHeight="1" x14ac:dyDescent="0.35">
      <c r="B187" s="39"/>
      <c r="C187" s="117" t="s">
        <v>891</v>
      </c>
      <c r="D187" s="96" t="s">
        <v>389</v>
      </c>
      <c r="E187" s="27" t="s">
        <v>44</v>
      </c>
      <c r="F187" s="37" t="s">
        <v>45</v>
      </c>
      <c r="G187" s="33" t="s">
        <v>206</v>
      </c>
      <c r="H187" s="27" t="s">
        <v>314</v>
      </c>
      <c r="I187" s="27" t="s">
        <v>206</v>
      </c>
      <c r="J187" s="37" t="s">
        <v>314</v>
      </c>
      <c r="K187" s="39" t="s">
        <v>127</v>
      </c>
      <c r="L187" s="28" t="s">
        <v>152</v>
      </c>
      <c r="M187" s="28" t="s">
        <v>48</v>
      </c>
      <c r="N187" s="41" t="s">
        <v>122</v>
      </c>
      <c r="O187" s="39" t="s">
        <v>116</v>
      </c>
      <c r="P187" s="28"/>
      <c r="Q187" s="28"/>
      <c r="R187" s="41"/>
      <c r="S187" s="39"/>
      <c r="T187" s="41"/>
      <c r="U187" s="39"/>
      <c r="V187" s="41"/>
      <c r="W187" s="43" t="s">
        <v>711</v>
      </c>
      <c r="X187" s="33"/>
      <c r="Y187" s="27"/>
      <c r="Z187" s="29"/>
      <c r="AB187" s="73" t="str">
        <f t="shared" si="4"/>
        <v>性能検討用走行抵抗式(ePT連れ回り排除)熱TowingA1－</v>
      </c>
      <c r="AC187" s="74" t="e">
        <f>VLOOKUP($AB187,変換表貼り付け用シート!$A$3:$AN$1133,3,FALSE)</f>
        <v>#N/A</v>
      </c>
      <c r="AD187" s="74" t="e">
        <f t="shared" si="5"/>
        <v>#N/A</v>
      </c>
      <c r="AE187" s="79" t="e">
        <f>IF(VLOOKUP($AB187,変換表貼り付け用シート!$A$3:$AN$3000,12,FALSE)="","",(VLOOKUP($AB187,変換表貼り付け用シート!$A$3:$AN$3000,12,FALSE)))</f>
        <v>#N/A</v>
      </c>
      <c r="AF187" s="80" t="e">
        <f>IF(VLOOKUP($AB187,変換表貼り付け用シート!$A$3:$AN$3000,13,FALSE)="","",(VLOOKUP($AB187,変換表貼り付け用シート!$A$3:$AN$3000,13,FALSE)))</f>
        <v>#N/A</v>
      </c>
      <c r="AG187" s="80" t="e">
        <f>IF(VLOOKUP($AB187,変換表貼り付け用シート!$A$3:$AN$3000,14,FALSE)="","",(VLOOKUP($AB187,変換表貼り付け用シート!$A$3:$AN$3000,14,FALSE)))</f>
        <v>#N/A</v>
      </c>
      <c r="AH187" s="85" t="e">
        <f>IF(VLOOKUP($AB187,変換表貼り付け用シート!$A$3:$AN$3000,15,FALSE)="","",(VLOOKUP($AB187,変換表貼り付け用シート!$A$3:$AN$3000,15,FALSE)))</f>
        <v>#N/A</v>
      </c>
      <c r="AI187" s="79" t="e">
        <f>IF(VLOOKUP($AB187,変換表貼り付け用シート!$A$3:$AN$3000,16,FALSE)="","",(VLOOKUP($AB187,変換表貼り付け用シート!$A$3:$AN$3000,16,FALSE)))</f>
        <v>#N/A</v>
      </c>
      <c r="AJ187" s="81" t="e">
        <f>IF(VLOOKUP($AB187,変換表貼り付け用シート!$A$3:$AN$3000,17,FALSE)="","",(VLOOKUP($AB187,変換表貼り付け用シート!$A$3:$AN$3000,17,FALSE)))</f>
        <v>#N/A</v>
      </c>
      <c r="AK187" s="88" t="e">
        <f>IF(VLOOKUP($AB187,変換表貼り付け用シート!$A$3:$AN$3000,18,FALSE)="","",(VLOOKUP($AB187,変換表貼り付け用シート!$A$3:$AN$3000,18,FALSE)))</f>
        <v>#N/A</v>
      </c>
      <c r="AL187" s="81" t="e">
        <f>IF(VLOOKUP($AB187,変換表貼り付け用シート!$A$3:$AN$3000,19,FALSE)="","",(VLOOKUP($AB187,変換表貼り付け用シート!$A$3:$AN$3000,19,FALSE)))</f>
        <v>#N/A</v>
      </c>
      <c r="AM187" s="75" t="e">
        <f>IF(VLOOKUP($AB187,変換表貼り付け用シート!$A$3:$AN$3000,20,FALSE)="","",(VLOOKUP($AB187,変換表貼り付け用シート!$A$3:$AN$3000,20,FALSE)))</f>
        <v>#N/A</v>
      </c>
    </row>
    <row r="188" spans="2:39" ht="21" customHeight="1" x14ac:dyDescent="0.35">
      <c r="B188" s="39"/>
      <c r="C188" s="117" t="s">
        <v>892</v>
      </c>
      <c r="D188" s="96" t="s">
        <v>390</v>
      </c>
      <c r="E188" s="27" t="s">
        <v>44</v>
      </c>
      <c r="F188" s="37" t="s">
        <v>45</v>
      </c>
      <c r="G188" s="33" t="s">
        <v>206</v>
      </c>
      <c r="H188" s="27" t="s">
        <v>314</v>
      </c>
      <c r="I188" s="27" t="s">
        <v>206</v>
      </c>
      <c r="J188" s="37" t="s">
        <v>314</v>
      </c>
      <c r="K188" s="39" t="s">
        <v>127</v>
      </c>
      <c r="L188" s="28" t="s">
        <v>153</v>
      </c>
      <c r="M188" s="28" t="s">
        <v>48</v>
      </c>
      <c r="N188" s="41" t="s">
        <v>124</v>
      </c>
      <c r="O188" s="39" t="s">
        <v>116</v>
      </c>
      <c r="P188" s="28"/>
      <c r="Q188" s="28"/>
      <c r="R188" s="41"/>
      <c r="S188" s="39"/>
      <c r="T188" s="41"/>
      <c r="U188" s="39"/>
      <c r="V188" s="41"/>
      <c r="W188" s="43" t="s">
        <v>711</v>
      </c>
      <c r="X188" s="33"/>
      <c r="Y188" s="27"/>
      <c r="Z188" s="29"/>
      <c r="AB188" s="73" t="str">
        <f t="shared" si="4"/>
        <v>性能検討用走行抵抗式(ePT連れ回り排除)熱TowingA2－</v>
      </c>
      <c r="AC188" s="74" t="e">
        <f>VLOOKUP($AB188,変換表貼り付け用シート!$A$3:$AN$1133,3,FALSE)</f>
        <v>#N/A</v>
      </c>
      <c r="AD188" s="74" t="e">
        <f t="shared" si="5"/>
        <v>#N/A</v>
      </c>
      <c r="AE188" s="79" t="e">
        <f>IF(VLOOKUP($AB188,変換表貼り付け用シート!$A$3:$AN$3000,12,FALSE)="","",(VLOOKUP($AB188,変換表貼り付け用シート!$A$3:$AN$3000,12,FALSE)))</f>
        <v>#N/A</v>
      </c>
      <c r="AF188" s="80" t="e">
        <f>IF(VLOOKUP($AB188,変換表貼り付け用シート!$A$3:$AN$3000,13,FALSE)="","",(VLOOKUP($AB188,変換表貼り付け用シート!$A$3:$AN$3000,13,FALSE)))</f>
        <v>#N/A</v>
      </c>
      <c r="AG188" s="80" t="e">
        <f>IF(VLOOKUP($AB188,変換表貼り付け用シート!$A$3:$AN$3000,14,FALSE)="","",(VLOOKUP($AB188,変換表貼り付け用シート!$A$3:$AN$3000,14,FALSE)))</f>
        <v>#N/A</v>
      </c>
      <c r="AH188" s="85" t="e">
        <f>IF(VLOOKUP($AB188,変換表貼り付け用シート!$A$3:$AN$3000,15,FALSE)="","",(VLOOKUP($AB188,変換表貼り付け用シート!$A$3:$AN$3000,15,FALSE)))</f>
        <v>#N/A</v>
      </c>
      <c r="AI188" s="79" t="e">
        <f>IF(VLOOKUP($AB188,変換表貼り付け用シート!$A$3:$AN$3000,16,FALSE)="","",(VLOOKUP($AB188,変換表貼り付け用シート!$A$3:$AN$3000,16,FALSE)))</f>
        <v>#N/A</v>
      </c>
      <c r="AJ188" s="81" t="e">
        <f>IF(VLOOKUP($AB188,変換表貼り付け用シート!$A$3:$AN$3000,17,FALSE)="","",(VLOOKUP($AB188,変換表貼り付け用シート!$A$3:$AN$3000,17,FALSE)))</f>
        <v>#N/A</v>
      </c>
      <c r="AK188" s="88" t="e">
        <f>IF(VLOOKUP($AB188,変換表貼り付け用シート!$A$3:$AN$3000,18,FALSE)="","",(VLOOKUP($AB188,変換表貼り付け用シート!$A$3:$AN$3000,18,FALSE)))</f>
        <v>#N/A</v>
      </c>
      <c r="AL188" s="81" t="e">
        <f>IF(VLOOKUP($AB188,変換表貼り付け用シート!$A$3:$AN$3000,19,FALSE)="","",(VLOOKUP($AB188,変換表貼り付け用シート!$A$3:$AN$3000,19,FALSE)))</f>
        <v>#N/A</v>
      </c>
      <c r="AM188" s="75" t="e">
        <f>IF(VLOOKUP($AB188,変換表貼り付け用シート!$A$3:$AN$3000,20,FALSE)="","",(VLOOKUP($AB188,変換表貼り付け用シート!$A$3:$AN$3000,20,FALSE)))</f>
        <v>#N/A</v>
      </c>
    </row>
    <row r="189" spans="2:39" ht="21" customHeight="1" x14ac:dyDescent="0.35">
      <c r="B189" s="39"/>
      <c r="C189" s="117" t="s">
        <v>893</v>
      </c>
      <c r="D189" s="96" t="s">
        <v>391</v>
      </c>
      <c r="E189" s="27" t="s">
        <v>44</v>
      </c>
      <c r="F189" s="37" t="s">
        <v>45</v>
      </c>
      <c r="G189" s="33" t="s">
        <v>206</v>
      </c>
      <c r="H189" s="27" t="s">
        <v>314</v>
      </c>
      <c r="I189" s="27" t="s">
        <v>206</v>
      </c>
      <c r="J189" s="37" t="s">
        <v>314</v>
      </c>
      <c r="K189" s="39" t="s">
        <v>127</v>
      </c>
      <c r="L189" s="28" t="s">
        <v>154</v>
      </c>
      <c r="M189" s="28" t="s">
        <v>48</v>
      </c>
      <c r="N189" s="41" t="s">
        <v>49</v>
      </c>
      <c r="O189" s="39" t="s">
        <v>116</v>
      </c>
      <c r="P189" s="28"/>
      <c r="Q189" s="28"/>
      <c r="R189" s="41"/>
      <c r="S189" s="39"/>
      <c r="T189" s="41"/>
      <c r="U189" s="39"/>
      <c r="V189" s="41"/>
      <c r="W189" s="43" t="s">
        <v>711</v>
      </c>
      <c r="X189" s="33"/>
      <c r="Y189" s="27"/>
      <c r="Z189" s="29"/>
      <c r="AB189" s="73" t="str">
        <f t="shared" si="4"/>
        <v>性能検討用走行抵抗式(ePT連れ回り排除)熱TowingIP－</v>
      </c>
      <c r="AC189" s="74" t="e">
        <f>VLOOKUP($AB189,変換表貼り付け用シート!$A$3:$AN$1133,3,FALSE)</f>
        <v>#N/A</v>
      </c>
      <c r="AD189" s="74" t="e">
        <f t="shared" si="5"/>
        <v>#N/A</v>
      </c>
      <c r="AE189" s="79" t="e">
        <f>IF(VLOOKUP($AB189,変換表貼り付け用シート!$A$3:$AN$3000,12,FALSE)="","",(VLOOKUP($AB189,変換表貼り付け用シート!$A$3:$AN$3000,12,FALSE)))</f>
        <v>#N/A</v>
      </c>
      <c r="AF189" s="80" t="e">
        <f>IF(VLOOKUP($AB189,変換表貼り付け用シート!$A$3:$AN$3000,13,FALSE)="","",(VLOOKUP($AB189,変換表貼り付け用シート!$A$3:$AN$3000,13,FALSE)))</f>
        <v>#N/A</v>
      </c>
      <c r="AG189" s="80" t="e">
        <f>IF(VLOOKUP($AB189,変換表貼り付け用シート!$A$3:$AN$3000,14,FALSE)="","",(VLOOKUP($AB189,変換表貼り付け用シート!$A$3:$AN$3000,14,FALSE)))</f>
        <v>#N/A</v>
      </c>
      <c r="AH189" s="85" t="e">
        <f>IF(VLOOKUP($AB189,変換表貼り付け用シート!$A$3:$AN$3000,15,FALSE)="","",(VLOOKUP($AB189,変換表貼り付け用シート!$A$3:$AN$3000,15,FALSE)))</f>
        <v>#N/A</v>
      </c>
      <c r="AI189" s="79" t="e">
        <f>IF(VLOOKUP($AB189,変換表貼り付け用シート!$A$3:$AN$3000,16,FALSE)="","",(VLOOKUP($AB189,変換表貼り付け用シート!$A$3:$AN$3000,16,FALSE)))</f>
        <v>#N/A</v>
      </c>
      <c r="AJ189" s="81" t="e">
        <f>IF(VLOOKUP($AB189,変換表貼り付け用シート!$A$3:$AN$3000,17,FALSE)="","",(VLOOKUP($AB189,変換表貼り付け用シート!$A$3:$AN$3000,17,FALSE)))</f>
        <v>#N/A</v>
      </c>
      <c r="AK189" s="88" t="e">
        <f>IF(VLOOKUP($AB189,変換表貼り付け用シート!$A$3:$AN$3000,18,FALSE)="","",(VLOOKUP($AB189,変換表貼り付け用シート!$A$3:$AN$3000,18,FALSE)))</f>
        <v>#N/A</v>
      </c>
      <c r="AL189" s="81" t="e">
        <f>IF(VLOOKUP($AB189,変換表貼り付け用シート!$A$3:$AN$3000,19,FALSE)="","",(VLOOKUP($AB189,変換表貼り付け用シート!$A$3:$AN$3000,19,FALSE)))</f>
        <v>#N/A</v>
      </c>
      <c r="AM189" s="75" t="e">
        <f>IF(VLOOKUP($AB189,変換表貼り付け用シート!$A$3:$AN$3000,20,FALSE)="","",(VLOOKUP($AB189,変換表貼り付け用シート!$A$3:$AN$3000,20,FALSE)))</f>
        <v>#N/A</v>
      </c>
    </row>
    <row r="190" spans="2:39" ht="21" customHeight="1" x14ac:dyDescent="0.35">
      <c r="B190" s="39"/>
      <c r="C190" s="117" t="s">
        <v>894</v>
      </c>
      <c r="D190" s="96" t="s">
        <v>392</v>
      </c>
      <c r="E190" s="27" t="s">
        <v>44</v>
      </c>
      <c r="F190" s="37" t="s">
        <v>45</v>
      </c>
      <c r="G190" s="33" t="s">
        <v>206</v>
      </c>
      <c r="H190" s="27" t="s">
        <v>314</v>
      </c>
      <c r="I190" s="27" t="s">
        <v>206</v>
      </c>
      <c r="J190" s="37" t="s">
        <v>314</v>
      </c>
      <c r="K190" s="39" t="s">
        <v>127</v>
      </c>
      <c r="L190" s="28" t="s">
        <v>155</v>
      </c>
      <c r="M190" s="28" t="s">
        <v>48</v>
      </c>
      <c r="N190" s="41" t="s">
        <v>120</v>
      </c>
      <c r="O190" s="39" t="s">
        <v>57</v>
      </c>
      <c r="P190" s="28"/>
      <c r="Q190" s="28"/>
      <c r="R190" s="41"/>
      <c r="S190" s="39"/>
      <c r="T190" s="41"/>
      <c r="U190" s="39"/>
      <c r="V190" s="41"/>
      <c r="W190" s="43" t="s">
        <v>711</v>
      </c>
      <c r="X190" s="33"/>
      <c r="Y190" s="27"/>
      <c r="Z190" s="29"/>
      <c r="AB190" s="73" t="str">
        <f t="shared" si="4"/>
        <v>性能検討用走行抵抗式(ePT連れ回り排除)熱低温性能A0－</v>
      </c>
      <c r="AC190" s="74" t="e">
        <f>VLOOKUP($AB190,変換表貼り付け用シート!$A$3:$AN$1133,3,FALSE)</f>
        <v>#N/A</v>
      </c>
      <c r="AD190" s="74" t="e">
        <f t="shared" si="5"/>
        <v>#N/A</v>
      </c>
      <c r="AE190" s="79" t="e">
        <f>IF(VLOOKUP($AB190,変換表貼り付け用シート!$A$3:$AN$3000,12,FALSE)="","",(VLOOKUP($AB190,変換表貼り付け用シート!$A$3:$AN$3000,12,FALSE)))</f>
        <v>#N/A</v>
      </c>
      <c r="AF190" s="80" t="e">
        <f>IF(VLOOKUP($AB190,変換表貼り付け用シート!$A$3:$AN$3000,13,FALSE)="","",(VLOOKUP($AB190,変換表貼り付け用シート!$A$3:$AN$3000,13,FALSE)))</f>
        <v>#N/A</v>
      </c>
      <c r="AG190" s="80" t="e">
        <f>IF(VLOOKUP($AB190,変換表貼り付け用シート!$A$3:$AN$3000,14,FALSE)="","",(VLOOKUP($AB190,変換表貼り付け用シート!$A$3:$AN$3000,14,FALSE)))</f>
        <v>#N/A</v>
      </c>
      <c r="AH190" s="85" t="e">
        <f>IF(VLOOKUP($AB190,変換表貼り付け用シート!$A$3:$AN$3000,15,FALSE)="","",(VLOOKUP($AB190,変換表貼り付け用シート!$A$3:$AN$3000,15,FALSE)))</f>
        <v>#N/A</v>
      </c>
      <c r="AI190" s="79" t="e">
        <f>IF(VLOOKUP($AB190,変換表貼り付け用シート!$A$3:$AN$3000,16,FALSE)="","",(VLOOKUP($AB190,変換表貼り付け用シート!$A$3:$AN$3000,16,FALSE)))</f>
        <v>#N/A</v>
      </c>
      <c r="AJ190" s="81" t="e">
        <f>IF(VLOOKUP($AB190,変換表貼り付け用シート!$A$3:$AN$3000,17,FALSE)="","",(VLOOKUP($AB190,変換表貼り付け用シート!$A$3:$AN$3000,17,FALSE)))</f>
        <v>#N/A</v>
      </c>
      <c r="AK190" s="88" t="e">
        <f>IF(VLOOKUP($AB190,変換表貼り付け用シート!$A$3:$AN$3000,18,FALSE)="","",(VLOOKUP($AB190,変換表貼り付け用シート!$A$3:$AN$3000,18,FALSE)))</f>
        <v>#N/A</v>
      </c>
      <c r="AL190" s="81" t="e">
        <f>IF(VLOOKUP($AB190,変換表貼り付け用シート!$A$3:$AN$3000,19,FALSE)="","",(VLOOKUP($AB190,変換表貼り付け用シート!$A$3:$AN$3000,19,FALSE)))</f>
        <v>#N/A</v>
      </c>
      <c r="AM190" s="75" t="e">
        <f>IF(VLOOKUP($AB190,変換表貼り付け用シート!$A$3:$AN$3000,20,FALSE)="","",(VLOOKUP($AB190,変換表貼り付け用シート!$A$3:$AN$3000,20,FALSE)))</f>
        <v>#N/A</v>
      </c>
    </row>
    <row r="191" spans="2:39" ht="21" customHeight="1" x14ac:dyDescent="0.35">
      <c r="B191" s="39"/>
      <c r="C191" s="117" t="s">
        <v>895</v>
      </c>
      <c r="D191" s="96" t="s">
        <v>393</v>
      </c>
      <c r="E191" s="27" t="s">
        <v>44</v>
      </c>
      <c r="F191" s="37" t="s">
        <v>45</v>
      </c>
      <c r="G191" s="33" t="s">
        <v>206</v>
      </c>
      <c r="H191" s="27" t="s">
        <v>314</v>
      </c>
      <c r="I191" s="27" t="s">
        <v>206</v>
      </c>
      <c r="J191" s="37" t="s">
        <v>314</v>
      </c>
      <c r="K191" s="39" t="s">
        <v>127</v>
      </c>
      <c r="L191" s="28" t="s">
        <v>156</v>
      </c>
      <c r="M191" s="28" t="s">
        <v>48</v>
      </c>
      <c r="N191" s="41" t="s">
        <v>122</v>
      </c>
      <c r="O191" s="39" t="s">
        <v>57</v>
      </c>
      <c r="P191" s="28"/>
      <c r="Q191" s="28"/>
      <c r="R191" s="41"/>
      <c r="S191" s="39"/>
      <c r="T191" s="41"/>
      <c r="U191" s="39"/>
      <c r="V191" s="41"/>
      <c r="W191" s="43" t="s">
        <v>711</v>
      </c>
      <c r="X191" s="33"/>
      <c r="Y191" s="27"/>
      <c r="Z191" s="29"/>
      <c r="AB191" s="73" t="str">
        <f t="shared" si="4"/>
        <v>性能検討用走行抵抗式(ePT連れ回り排除)熱低温性能A1－</v>
      </c>
      <c r="AC191" s="74" t="e">
        <f>VLOOKUP($AB191,変換表貼り付け用シート!$A$3:$AN$1133,3,FALSE)</f>
        <v>#N/A</v>
      </c>
      <c r="AD191" s="74" t="e">
        <f t="shared" si="5"/>
        <v>#N/A</v>
      </c>
      <c r="AE191" s="79" t="e">
        <f>IF(VLOOKUP($AB191,変換表貼り付け用シート!$A$3:$AN$3000,12,FALSE)="","",(VLOOKUP($AB191,変換表貼り付け用シート!$A$3:$AN$3000,12,FALSE)))</f>
        <v>#N/A</v>
      </c>
      <c r="AF191" s="80" t="e">
        <f>IF(VLOOKUP($AB191,変換表貼り付け用シート!$A$3:$AN$3000,13,FALSE)="","",(VLOOKUP($AB191,変換表貼り付け用シート!$A$3:$AN$3000,13,FALSE)))</f>
        <v>#N/A</v>
      </c>
      <c r="AG191" s="80" t="e">
        <f>IF(VLOOKUP($AB191,変換表貼り付け用シート!$A$3:$AN$3000,14,FALSE)="","",(VLOOKUP($AB191,変換表貼り付け用シート!$A$3:$AN$3000,14,FALSE)))</f>
        <v>#N/A</v>
      </c>
      <c r="AH191" s="85" t="e">
        <f>IF(VLOOKUP($AB191,変換表貼り付け用シート!$A$3:$AN$3000,15,FALSE)="","",(VLOOKUP($AB191,変換表貼り付け用シート!$A$3:$AN$3000,15,FALSE)))</f>
        <v>#N/A</v>
      </c>
      <c r="AI191" s="79" t="e">
        <f>IF(VLOOKUP($AB191,変換表貼り付け用シート!$A$3:$AN$3000,16,FALSE)="","",(VLOOKUP($AB191,変換表貼り付け用シート!$A$3:$AN$3000,16,FALSE)))</f>
        <v>#N/A</v>
      </c>
      <c r="AJ191" s="81" t="e">
        <f>IF(VLOOKUP($AB191,変換表貼り付け用シート!$A$3:$AN$3000,17,FALSE)="","",(VLOOKUP($AB191,変換表貼り付け用シート!$A$3:$AN$3000,17,FALSE)))</f>
        <v>#N/A</v>
      </c>
      <c r="AK191" s="88" t="e">
        <f>IF(VLOOKUP($AB191,変換表貼り付け用シート!$A$3:$AN$3000,18,FALSE)="","",(VLOOKUP($AB191,変換表貼り付け用シート!$A$3:$AN$3000,18,FALSE)))</f>
        <v>#N/A</v>
      </c>
      <c r="AL191" s="81" t="e">
        <f>IF(VLOOKUP($AB191,変換表貼り付け用シート!$A$3:$AN$3000,19,FALSE)="","",(VLOOKUP($AB191,変換表貼り付け用シート!$A$3:$AN$3000,19,FALSE)))</f>
        <v>#N/A</v>
      </c>
      <c r="AM191" s="75" t="e">
        <f>IF(VLOOKUP($AB191,変換表貼り付け用シート!$A$3:$AN$3000,20,FALSE)="","",(VLOOKUP($AB191,変換表貼り付け用シート!$A$3:$AN$3000,20,FALSE)))</f>
        <v>#N/A</v>
      </c>
    </row>
    <row r="192" spans="2:39" ht="21" customHeight="1" x14ac:dyDescent="0.35">
      <c r="B192" s="39"/>
      <c r="C192" s="117" t="s">
        <v>896</v>
      </c>
      <c r="D192" s="96" t="s">
        <v>394</v>
      </c>
      <c r="E192" s="27" t="s">
        <v>44</v>
      </c>
      <c r="F192" s="37" t="s">
        <v>45</v>
      </c>
      <c r="G192" s="33" t="s">
        <v>206</v>
      </c>
      <c r="H192" s="27" t="s">
        <v>314</v>
      </c>
      <c r="I192" s="27" t="s">
        <v>206</v>
      </c>
      <c r="J192" s="37" t="s">
        <v>314</v>
      </c>
      <c r="K192" s="39" t="s">
        <v>127</v>
      </c>
      <c r="L192" s="28" t="s">
        <v>157</v>
      </c>
      <c r="M192" s="28" t="s">
        <v>48</v>
      </c>
      <c r="N192" s="41" t="s">
        <v>124</v>
      </c>
      <c r="O192" s="39" t="s">
        <v>57</v>
      </c>
      <c r="P192" s="28"/>
      <c r="Q192" s="28"/>
      <c r="R192" s="41"/>
      <c r="S192" s="39"/>
      <c r="T192" s="41"/>
      <c r="U192" s="39"/>
      <c r="V192" s="41"/>
      <c r="W192" s="43" t="s">
        <v>711</v>
      </c>
      <c r="X192" s="33"/>
      <c r="Y192" s="27"/>
      <c r="Z192" s="29"/>
      <c r="AB192" s="73" t="str">
        <f t="shared" si="4"/>
        <v>性能検討用走行抵抗式(ePT連れ回り排除)熱低温性能A2－</v>
      </c>
      <c r="AC192" s="74" t="e">
        <f>VLOOKUP($AB192,変換表貼り付け用シート!$A$3:$AN$1133,3,FALSE)</f>
        <v>#N/A</v>
      </c>
      <c r="AD192" s="74" t="e">
        <f t="shared" si="5"/>
        <v>#N/A</v>
      </c>
      <c r="AE192" s="79" t="e">
        <f>IF(VLOOKUP($AB192,変換表貼り付け用シート!$A$3:$AN$3000,12,FALSE)="","",(VLOOKUP($AB192,変換表貼り付け用シート!$A$3:$AN$3000,12,FALSE)))</f>
        <v>#N/A</v>
      </c>
      <c r="AF192" s="80" t="e">
        <f>IF(VLOOKUP($AB192,変換表貼り付け用シート!$A$3:$AN$3000,13,FALSE)="","",(VLOOKUP($AB192,変換表貼り付け用シート!$A$3:$AN$3000,13,FALSE)))</f>
        <v>#N/A</v>
      </c>
      <c r="AG192" s="80" t="e">
        <f>IF(VLOOKUP($AB192,変換表貼り付け用シート!$A$3:$AN$3000,14,FALSE)="","",(VLOOKUP($AB192,変換表貼り付け用シート!$A$3:$AN$3000,14,FALSE)))</f>
        <v>#N/A</v>
      </c>
      <c r="AH192" s="85" t="e">
        <f>IF(VLOOKUP($AB192,変換表貼り付け用シート!$A$3:$AN$3000,15,FALSE)="","",(VLOOKUP($AB192,変換表貼り付け用シート!$A$3:$AN$3000,15,FALSE)))</f>
        <v>#N/A</v>
      </c>
      <c r="AI192" s="79" t="e">
        <f>IF(VLOOKUP($AB192,変換表貼り付け用シート!$A$3:$AN$3000,16,FALSE)="","",(VLOOKUP($AB192,変換表貼り付け用シート!$A$3:$AN$3000,16,FALSE)))</f>
        <v>#N/A</v>
      </c>
      <c r="AJ192" s="81" t="e">
        <f>IF(VLOOKUP($AB192,変換表貼り付け用シート!$A$3:$AN$3000,17,FALSE)="","",(VLOOKUP($AB192,変換表貼り付け用シート!$A$3:$AN$3000,17,FALSE)))</f>
        <v>#N/A</v>
      </c>
      <c r="AK192" s="88" t="e">
        <f>IF(VLOOKUP($AB192,変換表貼り付け用シート!$A$3:$AN$3000,18,FALSE)="","",(VLOOKUP($AB192,変換表貼り付け用シート!$A$3:$AN$3000,18,FALSE)))</f>
        <v>#N/A</v>
      </c>
      <c r="AL192" s="81" t="e">
        <f>IF(VLOOKUP($AB192,変換表貼り付け用シート!$A$3:$AN$3000,19,FALSE)="","",(VLOOKUP($AB192,変換表貼り付け用シート!$A$3:$AN$3000,19,FALSE)))</f>
        <v>#N/A</v>
      </c>
      <c r="AM192" s="75" t="e">
        <f>IF(VLOOKUP($AB192,変換表貼り付け用シート!$A$3:$AN$3000,20,FALSE)="","",(VLOOKUP($AB192,変換表貼り付け用シート!$A$3:$AN$3000,20,FALSE)))</f>
        <v>#N/A</v>
      </c>
    </row>
    <row r="193" spans="2:39" ht="21" customHeight="1" x14ac:dyDescent="0.35">
      <c r="B193" s="39"/>
      <c r="C193" s="117" t="s">
        <v>897</v>
      </c>
      <c r="D193" s="96" t="s">
        <v>395</v>
      </c>
      <c r="E193" s="27" t="s">
        <v>44</v>
      </c>
      <c r="F193" s="37" t="s">
        <v>45</v>
      </c>
      <c r="G193" s="33" t="s">
        <v>206</v>
      </c>
      <c r="H193" s="27" t="s">
        <v>314</v>
      </c>
      <c r="I193" s="27" t="s">
        <v>206</v>
      </c>
      <c r="J193" s="37" t="s">
        <v>314</v>
      </c>
      <c r="K193" s="39" t="s">
        <v>127</v>
      </c>
      <c r="L193" s="28" t="s">
        <v>158</v>
      </c>
      <c r="M193" s="28" t="s">
        <v>48</v>
      </c>
      <c r="N193" s="41" t="s">
        <v>49</v>
      </c>
      <c r="O193" s="39" t="s">
        <v>57</v>
      </c>
      <c r="P193" s="28"/>
      <c r="Q193" s="28"/>
      <c r="R193" s="41"/>
      <c r="S193" s="39"/>
      <c r="T193" s="41"/>
      <c r="U193" s="39"/>
      <c r="V193" s="41"/>
      <c r="W193" s="43" t="s">
        <v>711</v>
      </c>
      <c r="X193" s="33"/>
      <c r="Y193" s="27"/>
      <c r="Z193" s="29"/>
      <c r="AB193" s="73" t="str">
        <f t="shared" si="4"/>
        <v>性能検討用走行抵抗式(ePT連れ回り排除)熱低温性能IP－</v>
      </c>
      <c r="AC193" s="74" t="e">
        <f>VLOOKUP($AB193,変換表貼り付け用シート!$A$3:$AN$1133,3,FALSE)</f>
        <v>#N/A</v>
      </c>
      <c r="AD193" s="74" t="e">
        <f t="shared" si="5"/>
        <v>#N/A</v>
      </c>
      <c r="AE193" s="79" t="e">
        <f>IF(VLOOKUP($AB193,変換表貼り付け用シート!$A$3:$AN$3000,12,FALSE)="","",(VLOOKUP($AB193,変換表貼り付け用シート!$A$3:$AN$3000,12,FALSE)))</f>
        <v>#N/A</v>
      </c>
      <c r="AF193" s="80" t="e">
        <f>IF(VLOOKUP($AB193,変換表貼り付け用シート!$A$3:$AN$3000,13,FALSE)="","",(VLOOKUP($AB193,変換表貼り付け用シート!$A$3:$AN$3000,13,FALSE)))</f>
        <v>#N/A</v>
      </c>
      <c r="AG193" s="80" t="e">
        <f>IF(VLOOKUP($AB193,変換表貼り付け用シート!$A$3:$AN$3000,14,FALSE)="","",(VLOOKUP($AB193,変換表貼り付け用シート!$A$3:$AN$3000,14,FALSE)))</f>
        <v>#N/A</v>
      </c>
      <c r="AH193" s="85" t="e">
        <f>IF(VLOOKUP($AB193,変換表貼り付け用シート!$A$3:$AN$3000,15,FALSE)="","",(VLOOKUP($AB193,変換表貼り付け用シート!$A$3:$AN$3000,15,FALSE)))</f>
        <v>#N/A</v>
      </c>
      <c r="AI193" s="79" t="e">
        <f>IF(VLOOKUP($AB193,変換表貼り付け用シート!$A$3:$AN$3000,16,FALSE)="","",(VLOOKUP($AB193,変換表貼り付け用シート!$A$3:$AN$3000,16,FALSE)))</f>
        <v>#N/A</v>
      </c>
      <c r="AJ193" s="81" t="e">
        <f>IF(VLOOKUP($AB193,変換表貼り付け用シート!$A$3:$AN$3000,17,FALSE)="","",(VLOOKUP($AB193,変換表貼り付け用シート!$A$3:$AN$3000,17,FALSE)))</f>
        <v>#N/A</v>
      </c>
      <c r="AK193" s="88" t="e">
        <f>IF(VLOOKUP($AB193,変換表貼り付け用シート!$A$3:$AN$3000,18,FALSE)="","",(VLOOKUP($AB193,変換表貼り付け用シート!$A$3:$AN$3000,18,FALSE)))</f>
        <v>#N/A</v>
      </c>
      <c r="AL193" s="81" t="e">
        <f>IF(VLOOKUP($AB193,変換表貼り付け用シート!$A$3:$AN$3000,19,FALSE)="","",(VLOOKUP($AB193,変換表貼り付け用シート!$A$3:$AN$3000,19,FALSE)))</f>
        <v>#N/A</v>
      </c>
      <c r="AM193" s="75" t="e">
        <f>IF(VLOOKUP($AB193,変換表貼り付け用シート!$A$3:$AN$3000,20,FALSE)="","",(VLOOKUP($AB193,変換表貼り付け用シート!$A$3:$AN$3000,20,FALSE)))</f>
        <v>#N/A</v>
      </c>
    </row>
    <row r="194" spans="2:39" ht="21" customHeight="1" x14ac:dyDescent="0.35">
      <c r="B194" s="39"/>
      <c r="C194" s="117" t="s">
        <v>898</v>
      </c>
      <c r="D194" s="96" t="s">
        <v>396</v>
      </c>
      <c r="E194" s="27" t="s">
        <v>44</v>
      </c>
      <c r="F194" s="37" t="s">
        <v>45</v>
      </c>
      <c r="G194" s="33" t="s">
        <v>206</v>
      </c>
      <c r="H194" s="27" t="s">
        <v>314</v>
      </c>
      <c r="I194" s="27" t="s">
        <v>206</v>
      </c>
      <c r="J194" s="37" t="s">
        <v>314</v>
      </c>
      <c r="K194" s="39" t="s">
        <v>159</v>
      </c>
      <c r="L194" s="28" t="s">
        <v>160</v>
      </c>
      <c r="M194" s="28" t="s">
        <v>48</v>
      </c>
      <c r="N194" s="41" t="s">
        <v>161</v>
      </c>
      <c r="O194" s="39">
        <v>47</v>
      </c>
      <c r="P194" s="28"/>
      <c r="Q194" s="28"/>
      <c r="R194" s="41"/>
      <c r="S194" s="39"/>
      <c r="T194" s="41"/>
      <c r="U194" s="39"/>
      <c r="V194" s="41"/>
      <c r="W194" s="43" t="s">
        <v>711</v>
      </c>
      <c r="X194" s="33"/>
      <c r="Y194" s="27"/>
      <c r="Z194" s="29"/>
      <c r="AB194" s="73" t="str">
        <f t="shared" si="4"/>
        <v>ePT最高システム総合出力(公称）－</v>
      </c>
      <c r="AC194" s="74" t="e">
        <f>VLOOKUP($AB194,変換表貼り付け用シート!$A$3:$AN$1133,3,FALSE)</f>
        <v>#N/A</v>
      </c>
      <c r="AD194" s="74" t="e">
        <f t="shared" si="5"/>
        <v>#N/A</v>
      </c>
      <c r="AE194" s="79" t="e">
        <f>IF(VLOOKUP($AB194,変換表貼り付け用シート!$A$3:$AN$3000,12,FALSE)="","",(VLOOKUP($AB194,変換表貼り付け用シート!$A$3:$AN$3000,12,FALSE)))</f>
        <v>#N/A</v>
      </c>
      <c r="AF194" s="80" t="e">
        <f>IF(VLOOKUP($AB194,変換表貼り付け用シート!$A$3:$AN$3000,13,FALSE)="","",(VLOOKUP($AB194,変換表貼り付け用シート!$A$3:$AN$3000,13,FALSE)))</f>
        <v>#N/A</v>
      </c>
      <c r="AG194" s="80" t="e">
        <f>IF(VLOOKUP($AB194,変換表貼り付け用シート!$A$3:$AN$3000,14,FALSE)="","",(VLOOKUP($AB194,変換表貼り付け用シート!$A$3:$AN$3000,14,FALSE)))</f>
        <v>#N/A</v>
      </c>
      <c r="AH194" s="85" t="e">
        <f>IF(VLOOKUP($AB194,変換表貼り付け用シート!$A$3:$AN$3000,15,FALSE)="","",(VLOOKUP($AB194,変換表貼り付け用シート!$A$3:$AN$3000,15,FALSE)))</f>
        <v>#N/A</v>
      </c>
      <c r="AI194" s="79" t="e">
        <f>IF(VLOOKUP($AB194,変換表貼り付け用シート!$A$3:$AN$3000,16,FALSE)="","",(VLOOKUP($AB194,変換表貼り付け用シート!$A$3:$AN$3000,16,FALSE)))</f>
        <v>#N/A</v>
      </c>
      <c r="AJ194" s="81" t="e">
        <f>IF(VLOOKUP($AB194,変換表貼り付け用シート!$A$3:$AN$3000,17,FALSE)="","",(VLOOKUP($AB194,変換表貼り付け用シート!$A$3:$AN$3000,17,FALSE)))</f>
        <v>#N/A</v>
      </c>
      <c r="AK194" s="88" t="e">
        <f>IF(VLOOKUP($AB194,変換表貼り付け用シート!$A$3:$AN$3000,18,FALSE)="","",(VLOOKUP($AB194,変換表貼り付け用シート!$A$3:$AN$3000,18,FALSE)))</f>
        <v>#N/A</v>
      </c>
      <c r="AL194" s="81" t="e">
        <f>IF(VLOOKUP($AB194,変換表貼り付け用シート!$A$3:$AN$3000,19,FALSE)="","",(VLOOKUP($AB194,変換表貼り付け用シート!$A$3:$AN$3000,19,FALSE)))</f>
        <v>#N/A</v>
      </c>
      <c r="AM194" s="75" t="e">
        <f>IF(VLOOKUP($AB194,変換表貼り付け用シート!$A$3:$AN$3000,20,FALSE)="","",(VLOOKUP($AB194,変換表貼り付け用シート!$A$3:$AN$3000,20,FALSE)))</f>
        <v>#N/A</v>
      </c>
    </row>
    <row r="195" spans="2:39" ht="21" customHeight="1" x14ac:dyDescent="0.35">
      <c r="B195" s="39"/>
      <c r="C195" s="117" t="s">
        <v>899</v>
      </c>
      <c r="D195" s="96" t="s">
        <v>397</v>
      </c>
      <c r="E195" s="27" t="s">
        <v>44</v>
      </c>
      <c r="F195" s="37" t="s">
        <v>45</v>
      </c>
      <c r="G195" s="33" t="s">
        <v>206</v>
      </c>
      <c r="H195" s="27" t="s">
        <v>314</v>
      </c>
      <c r="I195" s="27" t="s">
        <v>206</v>
      </c>
      <c r="J195" s="37" t="s">
        <v>314</v>
      </c>
      <c r="K195" s="39" t="s">
        <v>159</v>
      </c>
      <c r="L195" s="28" t="s">
        <v>162</v>
      </c>
      <c r="M195" s="28" t="s">
        <v>48</v>
      </c>
      <c r="N195" s="41" t="s">
        <v>78</v>
      </c>
      <c r="O195" s="39">
        <v>1.1044999999999999E-2</v>
      </c>
      <c r="P195" s="28"/>
      <c r="Q195" s="28"/>
      <c r="R195" s="41"/>
      <c r="S195" s="39"/>
      <c r="T195" s="41"/>
      <c r="U195" s="39"/>
      <c r="V195" s="41"/>
      <c r="W195" s="43" t="s">
        <v>711</v>
      </c>
      <c r="X195" s="33"/>
      <c r="Y195" s="27"/>
      <c r="Z195" s="29"/>
      <c r="AB195" s="73" t="str">
        <f t="shared" si="4"/>
        <v>ePTFR MOTイナーシャ－</v>
      </c>
      <c r="AC195" s="74" t="e">
        <f>VLOOKUP($AB195,変換表貼り付け用シート!$A$3:$AN$1133,3,FALSE)</f>
        <v>#N/A</v>
      </c>
      <c r="AD195" s="74" t="e">
        <f t="shared" si="5"/>
        <v>#N/A</v>
      </c>
      <c r="AE195" s="79" t="e">
        <f>IF(VLOOKUP($AB195,変換表貼り付け用シート!$A$3:$AN$3000,12,FALSE)="","",(VLOOKUP($AB195,変換表貼り付け用シート!$A$3:$AN$3000,12,FALSE)))</f>
        <v>#N/A</v>
      </c>
      <c r="AF195" s="80" t="e">
        <f>IF(VLOOKUP($AB195,変換表貼り付け用シート!$A$3:$AN$3000,13,FALSE)="","",(VLOOKUP($AB195,変換表貼り付け用シート!$A$3:$AN$3000,13,FALSE)))</f>
        <v>#N/A</v>
      </c>
      <c r="AG195" s="80" t="e">
        <f>IF(VLOOKUP($AB195,変換表貼り付け用シート!$A$3:$AN$3000,14,FALSE)="","",(VLOOKUP($AB195,変換表貼り付け用シート!$A$3:$AN$3000,14,FALSE)))</f>
        <v>#N/A</v>
      </c>
      <c r="AH195" s="85" t="e">
        <f>IF(VLOOKUP($AB195,変換表貼り付け用シート!$A$3:$AN$3000,15,FALSE)="","",(VLOOKUP($AB195,変換表貼り付け用シート!$A$3:$AN$3000,15,FALSE)))</f>
        <v>#N/A</v>
      </c>
      <c r="AI195" s="79" t="e">
        <f>IF(VLOOKUP($AB195,変換表貼り付け用シート!$A$3:$AN$3000,16,FALSE)="","",(VLOOKUP($AB195,変換表貼り付け用シート!$A$3:$AN$3000,16,FALSE)))</f>
        <v>#N/A</v>
      </c>
      <c r="AJ195" s="81" t="e">
        <f>IF(VLOOKUP($AB195,変換表貼り付け用シート!$A$3:$AN$3000,17,FALSE)="","",(VLOOKUP($AB195,変換表貼り付け用シート!$A$3:$AN$3000,17,FALSE)))</f>
        <v>#N/A</v>
      </c>
      <c r="AK195" s="88" t="e">
        <f>IF(VLOOKUP($AB195,変換表貼り付け用シート!$A$3:$AN$3000,18,FALSE)="","",(VLOOKUP($AB195,変換表貼り付け用シート!$A$3:$AN$3000,18,FALSE)))</f>
        <v>#N/A</v>
      </c>
      <c r="AL195" s="81" t="e">
        <f>IF(VLOOKUP($AB195,変換表貼り付け用シート!$A$3:$AN$3000,19,FALSE)="","",(VLOOKUP($AB195,変換表貼り付け用シート!$A$3:$AN$3000,19,FALSE)))</f>
        <v>#N/A</v>
      </c>
      <c r="AM195" s="75" t="e">
        <f>IF(VLOOKUP($AB195,変換表貼り付け用シート!$A$3:$AN$3000,20,FALSE)="","",(VLOOKUP($AB195,変換表貼り付け用シート!$A$3:$AN$3000,20,FALSE)))</f>
        <v>#N/A</v>
      </c>
    </row>
    <row r="196" spans="2:39" ht="21" customHeight="1" x14ac:dyDescent="0.35">
      <c r="B196" s="39"/>
      <c r="C196" s="117" t="s">
        <v>900</v>
      </c>
      <c r="D196" s="96" t="s">
        <v>398</v>
      </c>
      <c r="E196" s="27" t="s">
        <v>44</v>
      </c>
      <c r="F196" s="37" t="s">
        <v>45</v>
      </c>
      <c r="G196" s="33" t="s">
        <v>206</v>
      </c>
      <c r="H196" s="27" t="s">
        <v>314</v>
      </c>
      <c r="I196" s="27" t="s">
        <v>206</v>
      </c>
      <c r="J196" s="37" t="s">
        <v>314</v>
      </c>
      <c r="K196" s="39" t="s">
        <v>159</v>
      </c>
      <c r="L196" s="28" t="s">
        <v>163</v>
      </c>
      <c r="M196" s="28" t="s">
        <v>48</v>
      </c>
      <c r="N196" s="41" t="s">
        <v>78</v>
      </c>
      <c r="O196" s="39" t="s">
        <v>164</v>
      </c>
      <c r="P196" s="28"/>
      <c r="Q196" s="28"/>
      <c r="R196" s="41"/>
      <c r="S196" s="39"/>
      <c r="T196" s="41"/>
      <c r="U196" s="39"/>
      <c r="V196" s="41"/>
      <c r="W196" s="43" t="s">
        <v>711</v>
      </c>
      <c r="X196" s="33"/>
      <c r="Y196" s="27"/>
      <c r="Z196" s="29"/>
      <c r="AB196" s="73" t="str">
        <f t="shared" si="4"/>
        <v>ePTFR GBイナーシャ－</v>
      </c>
      <c r="AC196" s="74" t="e">
        <f>VLOOKUP($AB196,変換表貼り付け用シート!$A$3:$AN$1133,3,FALSE)</f>
        <v>#N/A</v>
      </c>
      <c r="AD196" s="74" t="e">
        <f t="shared" si="5"/>
        <v>#N/A</v>
      </c>
      <c r="AE196" s="79" t="e">
        <f>IF(VLOOKUP($AB196,変換表貼り付け用シート!$A$3:$AN$3000,12,FALSE)="","",(VLOOKUP($AB196,変換表貼り付け用シート!$A$3:$AN$3000,12,FALSE)))</f>
        <v>#N/A</v>
      </c>
      <c r="AF196" s="80" t="e">
        <f>IF(VLOOKUP($AB196,変換表貼り付け用シート!$A$3:$AN$3000,13,FALSE)="","",(VLOOKUP($AB196,変換表貼り付け用シート!$A$3:$AN$3000,13,FALSE)))</f>
        <v>#N/A</v>
      </c>
      <c r="AG196" s="80" t="e">
        <f>IF(VLOOKUP($AB196,変換表貼り付け用シート!$A$3:$AN$3000,14,FALSE)="","",(VLOOKUP($AB196,変換表貼り付け用シート!$A$3:$AN$3000,14,FALSE)))</f>
        <v>#N/A</v>
      </c>
      <c r="AH196" s="85" t="e">
        <f>IF(VLOOKUP($AB196,変換表貼り付け用シート!$A$3:$AN$3000,15,FALSE)="","",(VLOOKUP($AB196,変換表貼り付け用シート!$A$3:$AN$3000,15,FALSE)))</f>
        <v>#N/A</v>
      </c>
      <c r="AI196" s="79" t="e">
        <f>IF(VLOOKUP($AB196,変換表貼り付け用シート!$A$3:$AN$3000,16,FALSE)="","",(VLOOKUP($AB196,変換表貼り付け用シート!$A$3:$AN$3000,16,FALSE)))</f>
        <v>#N/A</v>
      </c>
      <c r="AJ196" s="81" t="e">
        <f>IF(VLOOKUP($AB196,変換表貼り付け用シート!$A$3:$AN$3000,17,FALSE)="","",(VLOOKUP($AB196,変換表貼り付け用シート!$A$3:$AN$3000,17,FALSE)))</f>
        <v>#N/A</v>
      </c>
      <c r="AK196" s="88" t="e">
        <f>IF(VLOOKUP($AB196,変換表貼り付け用シート!$A$3:$AN$3000,18,FALSE)="","",(VLOOKUP($AB196,変換表貼り付け用シート!$A$3:$AN$3000,18,FALSE)))</f>
        <v>#N/A</v>
      </c>
      <c r="AL196" s="81" t="e">
        <f>IF(VLOOKUP($AB196,変換表貼り付け用シート!$A$3:$AN$3000,19,FALSE)="","",(VLOOKUP($AB196,変換表貼り付け用シート!$A$3:$AN$3000,19,FALSE)))</f>
        <v>#N/A</v>
      </c>
      <c r="AM196" s="75" t="e">
        <f>IF(VLOOKUP($AB196,変換表貼り付け用シート!$A$3:$AN$3000,20,FALSE)="","",(VLOOKUP($AB196,変換表貼り付け用シート!$A$3:$AN$3000,20,FALSE)))</f>
        <v>#N/A</v>
      </c>
    </row>
    <row r="197" spans="2:39" ht="21" customHeight="1" x14ac:dyDescent="0.35">
      <c r="B197" s="39"/>
      <c r="C197" s="117" t="s">
        <v>901</v>
      </c>
      <c r="D197" s="96" t="s">
        <v>399</v>
      </c>
      <c r="E197" s="27" t="s">
        <v>44</v>
      </c>
      <c r="F197" s="37" t="s">
        <v>45</v>
      </c>
      <c r="G197" s="33" t="s">
        <v>206</v>
      </c>
      <c r="H197" s="27" t="s">
        <v>314</v>
      </c>
      <c r="I197" s="27" t="s">
        <v>206</v>
      </c>
      <c r="J197" s="37" t="s">
        <v>314</v>
      </c>
      <c r="K197" s="39" t="s">
        <v>159</v>
      </c>
      <c r="L197" s="28" t="s">
        <v>165</v>
      </c>
      <c r="M197" s="28" t="s">
        <v>48</v>
      </c>
      <c r="N197" s="41" t="s">
        <v>78</v>
      </c>
      <c r="O197" s="39" t="s">
        <v>57</v>
      </c>
      <c r="P197" s="28"/>
      <c r="Q197" s="28"/>
      <c r="R197" s="41"/>
      <c r="S197" s="39"/>
      <c r="T197" s="41"/>
      <c r="U197" s="39"/>
      <c r="V197" s="41"/>
      <c r="W197" s="43" t="s">
        <v>711</v>
      </c>
      <c r="X197" s="33"/>
      <c r="Y197" s="27"/>
      <c r="Z197" s="29"/>
      <c r="AB197" s="73" t="str">
        <f t="shared" si="4"/>
        <v>ePTRR MOTイナーシャ－</v>
      </c>
      <c r="AC197" s="74" t="e">
        <f>VLOOKUP($AB197,変換表貼り付け用シート!$A$3:$AN$1133,3,FALSE)</f>
        <v>#N/A</v>
      </c>
      <c r="AD197" s="74" t="e">
        <f t="shared" si="5"/>
        <v>#N/A</v>
      </c>
      <c r="AE197" s="79" t="e">
        <f>IF(VLOOKUP($AB197,変換表貼り付け用シート!$A$3:$AN$3000,12,FALSE)="","",(VLOOKUP($AB197,変換表貼り付け用シート!$A$3:$AN$3000,12,FALSE)))</f>
        <v>#N/A</v>
      </c>
      <c r="AF197" s="80" t="e">
        <f>IF(VLOOKUP($AB197,変換表貼り付け用シート!$A$3:$AN$3000,13,FALSE)="","",(VLOOKUP($AB197,変換表貼り付け用シート!$A$3:$AN$3000,13,FALSE)))</f>
        <v>#N/A</v>
      </c>
      <c r="AG197" s="80" t="e">
        <f>IF(VLOOKUP($AB197,変換表貼り付け用シート!$A$3:$AN$3000,14,FALSE)="","",(VLOOKUP($AB197,変換表貼り付け用シート!$A$3:$AN$3000,14,FALSE)))</f>
        <v>#N/A</v>
      </c>
      <c r="AH197" s="85" t="e">
        <f>IF(VLOOKUP($AB197,変換表貼り付け用シート!$A$3:$AN$3000,15,FALSE)="","",(VLOOKUP($AB197,変換表貼り付け用シート!$A$3:$AN$3000,15,FALSE)))</f>
        <v>#N/A</v>
      </c>
      <c r="AI197" s="79" t="e">
        <f>IF(VLOOKUP($AB197,変換表貼り付け用シート!$A$3:$AN$3000,16,FALSE)="","",(VLOOKUP($AB197,変換表貼り付け用シート!$A$3:$AN$3000,16,FALSE)))</f>
        <v>#N/A</v>
      </c>
      <c r="AJ197" s="81" t="e">
        <f>IF(VLOOKUP($AB197,変換表貼り付け用シート!$A$3:$AN$3000,17,FALSE)="","",(VLOOKUP($AB197,変換表貼り付け用シート!$A$3:$AN$3000,17,FALSE)))</f>
        <v>#N/A</v>
      </c>
      <c r="AK197" s="88" t="e">
        <f>IF(VLOOKUP($AB197,変換表貼り付け用シート!$A$3:$AN$3000,18,FALSE)="","",(VLOOKUP($AB197,変換表貼り付け用シート!$A$3:$AN$3000,18,FALSE)))</f>
        <v>#N/A</v>
      </c>
      <c r="AL197" s="81" t="e">
        <f>IF(VLOOKUP($AB197,変換表貼り付け用シート!$A$3:$AN$3000,19,FALSE)="","",(VLOOKUP($AB197,変換表貼り付け用シート!$A$3:$AN$3000,19,FALSE)))</f>
        <v>#N/A</v>
      </c>
      <c r="AM197" s="75" t="e">
        <f>IF(VLOOKUP($AB197,変換表貼り付け用シート!$A$3:$AN$3000,20,FALSE)="","",(VLOOKUP($AB197,変換表貼り付け用シート!$A$3:$AN$3000,20,FALSE)))</f>
        <v>#N/A</v>
      </c>
    </row>
    <row r="198" spans="2:39" ht="21" customHeight="1" x14ac:dyDescent="0.35">
      <c r="B198" s="39"/>
      <c r="C198" s="117" t="s">
        <v>902</v>
      </c>
      <c r="D198" s="96" t="s">
        <v>400</v>
      </c>
      <c r="E198" s="27" t="s">
        <v>44</v>
      </c>
      <c r="F198" s="37" t="s">
        <v>45</v>
      </c>
      <c r="G198" s="33" t="s">
        <v>206</v>
      </c>
      <c r="H198" s="27" t="s">
        <v>314</v>
      </c>
      <c r="I198" s="27" t="s">
        <v>206</v>
      </c>
      <c r="J198" s="37" t="s">
        <v>314</v>
      </c>
      <c r="K198" s="39" t="s">
        <v>159</v>
      </c>
      <c r="L198" s="28" t="s">
        <v>166</v>
      </c>
      <c r="M198" s="28" t="s">
        <v>48</v>
      </c>
      <c r="N198" s="41" t="s">
        <v>78</v>
      </c>
      <c r="O198" s="39" t="s">
        <v>53</v>
      </c>
      <c r="P198" s="28"/>
      <c r="Q198" s="28"/>
      <c r="R198" s="41"/>
      <c r="S198" s="39"/>
      <c r="T198" s="41"/>
      <c r="U198" s="39"/>
      <c r="V198" s="41"/>
      <c r="W198" s="43" t="s">
        <v>711</v>
      </c>
      <c r="X198" s="33"/>
      <c r="Y198" s="27"/>
      <c r="Z198" s="29"/>
      <c r="AB198" s="73" t="str">
        <f t="shared" si="4"/>
        <v>ePTRR GBイナーシャ－</v>
      </c>
      <c r="AC198" s="74" t="e">
        <f>VLOOKUP($AB198,変換表貼り付け用シート!$A$3:$AN$1133,3,FALSE)</f>
        <v>#N/A</v>
      </c>
      <c r="AD198" s="74" t="e">
        <f t="shared" si="5"/>
        <v>#N/A</v>
      </c>
      <c r="AE198" s="79" t="e">
        <f>IF(VLOOKUP($AB198,変換表貼り付け用シート!$A$3:$AN$3000,12,FALSE)="","",(VLOOKUP($AB198,変換表貼り付け用シート!$A$3:$AN$3000,12,FALSE)))</f>
        <v>#N/A</v>
      </c>
      <c r="AF198" s="80" t="e">
        <f>IF(VLOOKUP($AB198,変換表貼り付け用シート!$A$3:$AN$3000,13,FALSE)="","",(VLOOKUP($AB198,変換表貼り付け用シート!$A$3:$AN$3000,13,FALSE)))</f>
        <v>#N/A</v>
      </c>
      <c r="AG198" s="80" t="e">
        <f>IF(VLOOKUP($AB198,変換表貼り付け用シート!$A$3:$AN$3000,14,FALSE)="","",(VLOOKUP($AB198,変換表貼り付け用シート!$A$3:$AN$3000,14,FALSE)))</f>
        <v>#N/A</v>
      </c>
      <c r="AH198" s="85" t="e">
        <f>IF(VLOOKUP($AB198,変換表貼り付け用シート!$A$3:$AN$3000,15,FALSE)="","",(VLOOKUP($AB198,変換表貼り付け用シート!$A$3:$AN$3000,15,FALSE)))</f>
        <v>#N/A</v>
      </c>
      <c r="AI198" s="79" t="e">
        <f>IF(VLOOKUP($AB198,変換表貼り付け用シート!$A$3:$AN$3000,16,FALSE)="","",(VLOOKUP($AB198,変換表貼り付け用シート!$A$3:$AN$3000,16,FALSE)))</f>
        <v>#N/A</v>
      </c>
      <c r="AJ198" s="81" t="e">
        <f>IF(VLOOKUP($AB198,変換表貼り付け用シート!$A$3:$AN$3000,17,FALSE)="","",(VLOOKUP($AB198,変換表貼り付け用シート!$A$3:$AN$3000,17,FALSE)))</f>
        <v>#N/A</v>
      </c>
      <c r="AK198" s="88" t="e">
        <f>IF(VLOOKUP($AB198,変換表貼り付け用シート!$A$3:$AN$3000,18,FALSE)="","",(VLOOKUP($AB198,変換表貼り付け用シート!$A$3:$AN$3000,18,FALSE)))</f>
        <v>#N/A</v>
      </c>
      <c r="AL198" s="81" t="e">
        <f>IF(VLOOKUP($AB198,変換表貼り付け用シート!$A$3:$AN$3000,19,FALSE)="","",(VLOOKUP($AB198,変換表貼り付け用シート!$A$3:$AN$3000,19,FALSE)))</f>
        <v>#N/A</v>
      </c>
      <c r="AM198" s="75" t="e">
        <f>IF(VLOOKUP($AB198,変換表貼り付け用シート!$A$3:$AN$3000,20,FALSE)="","",(VLOOKUP($AB198,変換表貼り付け用シート!$A$3:$AN$3000,20,FALSE)))</f>
        <v>#N/A</v>
      </c>
    </row>
    <row r="199" spans="2:39" ht="21" customHeight="1" x14ac:dyDescent="0.35">
      <c r="B199" s="39"/>
      <c r="C199" s="117" t="s">
        <v>903</v>
      </c>
      <c r="D199" s="96" t="s">
        <v>401</v>
      </c>
      <c r="E199" s="27" t="s">
        <v>44</v>
      </c>
      <c r="F199" s="37" t="s">
        <v>45</v>
      </c>
      <c r="G199" s="33" t="s">
        <v>206</v>
      </c>
      <c r="H199" s="27" t="s">
        <v>314</v>
      </c>
      <c r="I199" s="27" t="s">
        <v>206</v>
      </c>
      <c r="J199" s="37" t="s">
        <v>314</v>
      </c>
      <c r="K199" s="39" t="s">
        <v>159</v>
      </c>
      <c r="L199" s="28" t="s">
        <v>167</v>
      </c>
      <c r="M199" s="28" t="s">
        <v>48</v>
      </c>
      <c r="N199" s="41" t="s">
        <v>168</v>
      </c>
      <c r="O199" s="39">
        <v>135</v>
      </c>
      <c r="P199" s="28"/>
      <c r="Q199" s="28"/>
      <c r="R199" s="41"/>
      <c r="S199" s="39"/>
      <c r="T199" s="41"/>
      <c r="U199" s="39"/>
      <c r="V199" s="41"/>
      <c r="W199" s="43" t="s">
        <v>711</v>
      </c>
      <c r="X199" s="33"/>
      <c r="Y199" s="27"/>
      <c r="Z199" s="29"/>
      <c r="AB199" s="73" t="str">
        <f t="shared" si="4"/>
        <v>ePTFR MOT制限設定トルク上限(第一象限)－</v>
      </c>
      <c r="AC199" s="74" t="e">
        <f>VLOOKUP($AB199,変換表貼り付け用シート!$A$3:$AN$1133,3,FALSE)</f>
        <v>#N/A</v>
      </c>
      <c r="AD199" s="74" t="e">
        <f t="shared" si="5"/>
        <v>#N/A</v>
      </c>
      <c r="AE199" s="79" t="e">
        <f>IF(VLOOKUP($AB199,変換表貼り付け用シート!$A$3:$AN$3000,12,FALSE)="","",(VLOOKUP($AB199,変換表貼り付け用シート!$A$3:$AN$3000,12,FALSE)))</f>
        <v>#N/A</v>
      </c>
      <c r="AF199" s="80" t="e">
        <f>IF(VLOOKUP($AB199,変換表貼り付け用シート!$A$3:$AN$3000,13,FALSE)="","",(VLOOKUP($AB199,変換表貼り付け用シート!$A$3:$AN$3000,13,FALSE)))</f>
        <v>#N/A</v>
      </c>
      <c r="AG199" s="80" t="e">
        <f>IF(VLOOKUP($AB199,変換表貼り付け用シート!$A$3:$AN$3000,14,FALSE)="","",(VLOOKUP($AB199,変換表貼り付け用シート!$A$3:$AN$3000,14,FALSE)))</f>
        <v>#N/A</v>
      </c>
      <c r="AH199" s="85" t="e">
        <f>IF(VLOOKUP($AB199,変換表貼り付け用シート!$A$3:$AN$3000,15,FALSE)="","",(VLOOKUP($AB199,変換表貼り付け用シート!$A$3:$AN$3000,15,FALSE)))</f>
        <v>#N/A</v>
      </c>
      <c r="AI199" s="79" t="e">
        <f>IF(VLOOKUP($AB199,変換表貼り付け用シート!$A$3:$AN$3000,16,FALSE)="","",(VLOOKUP($AB199,変換表貼り付け用シート!$A$3:$AN$3000,16,FALSE)))</f>
        <v>#N/A</v>
      </c>
      <c r="AJ199" s="81" t="e">
        <f>IF(VLOOKUP($AB199,変換表貼り付け用シート!$A$3:$AN$3000,17,FALSE)="","",(VLOOKUP($AB199,変換表貼り付け用シート!$A$3:$AN$3000,17,FALSE)))</f>
        <v>#N/A</v>
      </c>
      <c r="AK199" s="88" t="e">
        <f>IF(VLOOKUP($AB199,変換表貼り付け用シート!$A$3:$AN$3000,18,FALSE)="","",(VLOOKUP($AB199,変換表貼り付け用シート!$A$3:$AN$3000,18,FALSE)))</f>
        <v>#N/A</v>
      </c>
      <c r="AL199" s="81" t="e">
        <f>IF(VLOOKUP($AB199,変換表貼り付け用シート!$A$3:$AN$3000,19,FALSE)="","",(VLOOKUP($AB199,変換表貼り付け用シート!$A$3:$AN$3000,19,FALSE)))</f>
        <v>#N/A</v>
      </c>
      <c r="AM199" s="75" t="e">
        <f>IF(VLOOKUP($AB199,変換表貼り付け用シート!$A$3:$AN$3000,20,FALSE)="","",(VLOOKUP($AB199,変換表貼り付け用シート!$A$3:$AN$3000,20,FALSE)))</f>
        <v>#N/A</v>
      </c>
    </row>
    <row r="200" spans="2:39" ht="21" customHeight="1" x14ac:dyDescent="0.35">
      <c r="B200" s="39"/>
      <c r="C200" s="117" t="s">
        <v>904</v>
      </c>
      <c r="D200" s="96" t="s">
        <v>402</v>
      </c>
      <c r="E200" s="27" t="s">
        <v>44</v>
      </c>
      <c r="F200" s="37" t="s">
        <v>45</v>
      </c>
      <c r="G200" s="33" t="s">
        <v>206</v>
      </c>
      <c r="H200" s="27" t="s">
        <v>314</v>
      </c>
      <c r="I200" s="27" t="s">
        <v>206</v>
      </c>
      <c r="J200" s="37" t="s">
        <v>314</v>
      </c>
      <c r="K200" s="39" t="s">
        <v>159</v>
      </c>
      <c r="L200" s="28" t="s">
        <v>169</v>
      </c>
      <c r="M200" s="28" t="s">
        <v>48</v>
      </c>
      <c r="N200" s="41" t="s">
        <v>168</v>
      </c>
      <c r="O200" s="39">
        <v>-135</v>
      </c>
      <c r="P200" s="28"/>
      <c r="Q200" s="28"/>
      <c r="R200" s="41"/>
      <c r="S200" s="39"/>
      <c r="T200" s="41"/>
      <c r="U200" s="39"/>
      <c r="V200" s="41"/>
      <c r="W200" s="43" t="s">
        <v>711</v>
      </c>
      <c r="X200" s="33"/>
      <c r="Y200" s="27"/>
      <c r="Z200" s="29"/>
      <c r="AB200" s="73" t="str">
        <f t="shared" si="4"/>
        <v>ePTFR MOT制限設定トルク下限(第四象限)－</v>
      </c>
      <c r="AC200" s="74" t="e">
        <f>VLOOKUP($AB200,変換表貼り付け用シート!$A$3:$AN$1133,3,FALSE)</f>
        <v>#N/A</v>
      </c>
      <c r="AD200" s="74" t="e">
        <f t="shared" si="5"/>
        <v>#N/A</v>
      </c>
      <c r="AE200" s="79" t="e">
        <f>IF(VLOOKUP($AB200,変換表貼り付け用シート!$A$3:$AN$3000,12,FALSE)="","",(VLOOKUP($AB200,変換表貼り付け用シート!$A$3:$AN$3000,12,FALSE)))</f>
        <v>#N/A</v>
      </c>
      <c r="AF200" s="80" t="e">
        <f>IF(VLOOKUP($AB200,変換表貼り付け用シート!$A$3:$AN$3000,13,FALSE)="","",(VLOOKUP($AB200,変換表貼り付け用シート!$A$3:$AN$3000,13,FALSE)))</f>
        <v>#N/A</v>
      </c>
      <c r="AG200" s="80" t="e">
        <f>IF(VLOOKUP($AB200,変換表貼り付け用シート!$A$3:$AN$3000,14,FALSE)="","",(VLOOKUP($AB200,変換表貼り付け用シート!$A$3:$AN$3000,14,FALSE)))</f>
        <v>#N/A</v>
      </c>
      <c r="AH200" s="85" t="e">
        <f>IF(VLOOKUP($AB200,変換表貼り付け用シート!$A$3:$AN$3000,15,FALSE)="","",(VLOOKUP($AB200,変換表貼り付け用シート!$A$3:$AN$3000,15,FALSE)))</f>
        <v>#N/A</v>
      </c>
      <c r="AI200" s="79" t="e">
        <f>IF(VLOOKUP($AB200,変換表貼り付け用シート!$A$3:$AN$3000,16,FALSE)="","",(VLOOKUP($AB200,変換表貼り付け用シート!$A$3:$AN$3000,16,FALSE)))</f>
        <v>#N/A</v>
      </c>
      <c r="AJ200" s="81" t="e">
        <f>IF(VLOOKUP($AB200,変換表貼り付け用シート!$A$3:$AN$3000,17,FALSE)="","",(VLOOKUP($AB200,変換表貼り付け用シート!$A$3:$AN$3000,17,FALSE)))</f>
        <v>#N/A</v>
      </c>
      <c r="AK200" s="88" t="e">
        <f>IF(VLOOKUP($AB200,変換表貼り付け用シート!$A$3:$AN$3000,18,FALSE)="","",(VLOOKUP($AB200,変換表貼り付け用シート!$A$3:$AN$3000,18,FALSE)))</f>
        <v>#N/A</v>
      </c>
      <c r="AL200" s="81" t="e">
        <f>IF(VLOOKUP($AB200,変換表貼り付け用シート!$A$3:$AN$3000,19,FALSE)="","",(VLOOKUP($AB200,変換表貼り付け用シート!$A$3:$AN$3000,19,FALSE)))</f>
        <v>#N/A</v>
      </c>
      <c r="AM200" s="75" t="e">
        <f>IF(VLOOKUP($AB200,変換表貼り付け用シート!$A$3:$AN$3000,20,FALSE)="","",(VLOOKUP($AB200,変換表貼り付け用シート!$A$3:$AN$3000,20,FALSE)))</f>
        <v>#N/A</v>
      </c>
    </row>
    <row r="201" spans="2:39" ht="21" customHeight="1" x14ac:dyDescent="0.35">
      <c r="B201" s="39"/>
      <c r="C201" s="117" t="s">
        <v>905</v>
      </c>
      <c r="D201" s="96" t="s">
        <v>403</v>
      </c>
      <c r="E201" s="27" t="s">
        <v>44</v>
      </c>
      <c r="F201" s="37" t="s">
        <v>45</v>
      </c>
      <c r="G201" s="33" t="s">
        <v>206</v>
      </c>
      <c r="H201" s="27" t="s">
        <v>314</v>
      </c>
      <c r="I201" s="27" t="s">
        <v>206</v>
      </c>
      <c r="J201" s="37" t="s">
        <v>314</v>
      </c>
      <c r="K201" s="39" t="s">
        <v>159</v>
      </c>
      <c r="L201" s="28" t="s">
        <v>170</v>
      </c>
      <c r="M201" s="28" t="s">
        <v>48</v>
      </c>
      <c r="N201" s="41" t="s">
        <v>48</v>
      </c>
      <c r="O201" s="39">
        <v>12.728</v>
      </c>
      <c r="P201" s="28"/>
      <c r="Q201" s="28"/>
      <c r="R201" s="41"/>
      <c r="S201" s="39"/>
      <c r="T201" s="41"/>
      <c r="U201" s="39"/>
      <c r="V201" s="41"/>
      <c r="W201" s="43" t="s">
        <v>711</v>
      </c>
      <c r="X201" s="33"/>
      <c r="Y201" s="27"/>
      <c r="Z201" s="29"/>
      <c r="AB201" s="73" t="str">
        <f t="shared" si="4"/>
        <v>ePTFR GB減速比－</v>
      </c>
      <c r="AC201" s="74" t="e">
        <f>VLOOKUP($AB201,変換表貼り付け用シート!$A$3:$AN$1133,3,FALSE)</f>
        <v>#N/A</v>
      </c>
      <c r="AD201" s="74" t="e">
        <f t="shared" si="5"/>
        <v>#N/A</v>
      </c>
      <c r="AE201" s="79" t="e">
        <f>IF(VLOOKUP($AB201,変換表貼り付け用シート!$A$3:$AN$3000,12,FALSE)="","",(VLOOKUP($AB201,変換表貼り付け用シート!$A$3:$AN$3000,12,FALSE)))</f>
        <v>#N/A</v>
      </c>
      <c r="AF201" s="80" t="e">
        <f>IF(VLOOKUP($AB201,変換表貼り付け用シート!$A$3:$AN$3000,13,FALSE)="","",(VLOOKUP($AB201,変換表貼り付け用シート!$A$3:$AN$3000,13,FALSE)))</f>
        <v>#N/A</v>
      </c>
      <c r="AG201" s="80" t="e">
        <f>IF(VLOOKUP($AB201,変換表貼り付け用シート!$A$3:$AN$3000,14,FALSE)="","",(VLOOKUP($AB201,変換表貼り付け用シート!$A$3:$AN$3000,14,FALSE)))</f>
        <v>#N/A</v>
      </c>
      <c r="AH201" s="85" t="e">
        <f>IF(VLOOKUP($AB201,変換表貼り付け用シート!$A$3:$AN$3000,15,FALSE)="","",(VLOOKUP($AB201,変換表貼り付け用シート!$A$3:$AN$3000,15,FALSE)))</f>
        <v>#N/A</v>
      </c>
      <c r="AI201" s="79" t="e">
        <f>IF(VLOOKUP($AB201,変換表貼り付け用シート!$A$3:$AN$3000,16,FALSE)="","",(VLOOKUP($AB201,変換表貼り付け用シート!$A$3:$AN$3000,16,FALSE)))</f>
        <v>#N/A</v>
      </c>
      <c r="AJ201" s="81" t="e">
        <f>IF(VLOOKUP($AB201,変換表貼り付け用シート!$A$3:$AN$3000,17,FALSE)="","",(VLOOKUP($AB201,変換表貼り付け用シート!$A$3:$AN$3000,17,FALSE)))</f>
        <v>#N/A</v>
      </c>
      <c r="AK201" s="88" t="e">
        <f>IF(VLOOKUP($AB201,変換表貼り付け用シート!$A$3:$AN$3000,18,FALSE)="","",(VLOOKUP($AB201,変換表貼り付け用シート!$A$3:$AN$3000,18,FALSE)))</f>
        <v>#N/A</v>
      </c>
      <c r="AL201" s="81" t="e">
        <f>IF(VLOOKUP($AB201,変換表貼り付け用シート!$A$3:$AN$3000,19,FALSE)="","",(VLOOKUP($AB201,変換表貼り付け用シート!$A$3:$AN$3000,19,FALSE)))</f>
        <v>#N/A</v>
      </c>
      <c r="AM201" s="75" t="e">
        <f>IF(VLOOKUP($AB201,変換表貼り付け用シート!$A$3:$AN$3000,20,FALSE)="","",(VLOOKUP($AB201,変換表貼り付け用シート!$A$3:$AN$3000,20,FALSE)))</f>
        <v>#N/A</v>
      </c>
    </row>
    <row r="202" spans="2:39" ht="21" customHeight="1" x14ac:dyDescent="0.35">
      <c r="B202" s="39"/>
      <c r="C202" s="117" t="s">
        <v>906</v>
      </c>
      <c r="D202" s="96" t="s">
        <v>404</v>
      </c>
      <c r="E202" s="27" t="s">
        <v>44</v>
      </c>
      <c r="F202" s="37" t="s">
        <v>45</v>
      </c>
      <c r="G202" s="33" t="s">
        <v>206</v>
      </c>
      <c r="H202" s="27" t="s">
        <v>314</v>
      </c>
      <c r="I202" s="27" t="s">
        <v>206</v>
      </c>
      <c r="J202" s="37" t="s">
        <v>314</v>
      </c>
      <c r="K202" s="39" t="s">
        <v>159</v>
      </c>
      <c r="L202" s="28" t="s">
        <v>171</v>
      </c>
      <c r="M202" s="28" t="s">
        <v>48</v>
      </c>
      <c r="N202" s="41" t="s">
        <v>168</v>
      </c>
      <c r="O202" s="39" t="s">
        <v>53</v>
      </c>
      <c r="P202" s="28"/>
      <c r="Q202" s="28"/>
      <c r="R202" s="41"/>
      <c r="S202" s="39"/>
      <c r="T202" s="41"/>
      <c r="U202" s="39"/>
      <c r="V202" s="41"/>
      <c r="W202" s="43" t="s">
        <v>711</v>
      </c>
      <c r="X202" s="33"/>
      <c r="Y202" s="27"/>
      <c r="Z202" s="29"/>
      <c r="AB202" s="73" t="str">
        <f t="shared" ref="AB202:AB265" si="6">K202&amp;L202&amp;M202</f>
        <v>ePTRR MOT制限設定トルク上限(第一象限)－</v>
      </c>
      <c r="AC202" s="74" t="e">
        <f>VLOOKUP($AB202,変換表貼り付け用シート!$A$3:$AN$1133,3,FALSE)</f>
        <v>#N/A</v>
      </c>
      <c r="AD202" s="74" t="e">
        <f t="shared" ref="AD202:AD265" si="7">IF(AE202&amp;AF202&amp;AG202&amp;AH202&amp;AI202&amp;AJ202&amp;AK202&amp;AL202&amp;AM202=O202&amp;P202&amp;Q202&amp;R202&amp;S202&amp;T202&amp;U202&amp;V202&amp;W202,"","更新")</f>
        <v>#N/A</v>
      </c>
      <c r="AE202" s="79" t="e">
        <f>IF(VLOOKUP($AB202,変換表貼り付け用シート!$A$3:$AN$3000,12,FALSE)="","",(VLOOKUP($AB202,変換表貼り付け用シート!$A$3:$AN$3000,12,FALSE)))</f>
        <v>#N/A</v>
      </c>
      <c r="AF202" s="80" t="e">
        <f>IF(VLOOKUP($AB202,変換表貼り付け用シート!$A$3:$AN$3000,13,FALSE)="","",(VLOOKUP($AB202,変換表貼り付け用シート!$A$3:$AN$3000,13,FALSE)))</f>
        <v>#N/A</v>
      </c>
      <c r="AG202" s="80" t="e">
        <f>IF(VLOOKUP($AB202,変換表貼り付け用シート!$A$3:$AN$3000,14,FALSE)="","",(VLOOKUP($AB202,変換表貼り付け用シート!$A$3:$AN$3000,14,FALSE)))</f>
        <v>#N/A</v>
      </c>
      <c r="AH202" s="85" t="e">
        <f>IF(VLOOKUP($AB202,変換表貼り付け用シート!$A$3:$AN$3000,15,FALSE)="","",(VLOOKUP($AB202,変換表貼り付け用シート!$A$3:$AN$3000,15,FALSE)))</f>
        <v>#N/A</v>
      </c>
      <c r="AI202" s="79" t="e">
        <f>IF(VLOOKUP($AB202,変換表貼り付け用シート!$A$3:$AN$3000,16,FALSE)="","",(VLOOKUP($AB202,変換表貼り付け用シート!$A$3:$AN$3000,16,FALSE)))</f>
        <v>#N/A</v>
      </c>
      <c r="AJ202" s="81" t="e">
        <f>IF(VLOOKUP($AB202,変換表貼り付け用シート!$A$3:$AN$3000,17,FALSE)="","",(VLOOKUP($AB202,変換表貼り付け用シート!$A$3:$AN$3000,17,FALSE)))</f>
        <v>#N/A</v>
      </c>
      <c r="AK202" s="88" t="e">
        <f>IF(VLOOKUP($AB202,変換表貼り付け用シート!$A$3:$AN$3000,18,FALSE)="","",(VLOOKUP($AB202,変換表貼り付け用シート!$A$3:$AN$3000,18,FALSE)))</f>
        <v>#N/A</v>
      </c>
      <c r="AL202" s="81" t="e">
        <f>IF(VLOOKUP($AB202,変換表貼り付け用シート!$A$3:$AN$3000,19,FALSE)="","",(VLOOKUP($AB202,変換表貼り付け用シート!$A$3:$AN$3000,19,FALSE)))</f>
        <v>#N/A</v>
      </c>
      <c r="AM202" s="75" t="e">
        <f>IF(VLOOKUP($AB202,変換表貼り付け用シート!$A$3:$AN$3000,20,FALSE)="","",(VLOOKUP($AB202,変換表貼り付け用シート!$A$3:$AN$3000,20,FALSE)))</f>
        <v>#N/A</v>
      </c>
    </row>
    <row r="203" spans="2:39" ht="21" customHeight="1" x14ac:dyDescent="0.35">
      <c r="B203" s="39"/>
      <c r="C203" s="117" t="s">
        <v>907</v>
      </c>
      <c r="D203" s="96" t="s">
        <v>405</v>
      </c>
      <c r="E203" s="27" t="s">
        <v>44</v>
      </c>
      <c r="F203" s="37" t="s">
        <v>45</v>
      </c>
      <c r="G203" s="33" t="s">
        <v>206</v>
      </c>
      <c r="H203" s="27" t="s">
        <v>314</v>
      </c>
      <c r="I203" s="27" t="s">
        <v>206</v>
      </c>
      <c r="J203" s="37" t="s">
        <v>314</v>
      </c>
      <c r="K203" s="39" t="s">
        <v>159</v>
      </c>
      <c r="L203" s="28" t="s">
        <v>172</v>
      </c>
      <c r="M203" s="28" t="s">
        <v>48</v>
      </c>
      <c r="N203" s="41" t="s">
        <v>168</v>
      </c>
      <c r="O203" s="39" t="s">
        <v>53</v>
      </c>
      <c r="P203" s="28"/>
      <c r="Q203" s="28"/>
      <c r="R203" s="41"/>
      <c r="S203" s="39"/>
      <c r="T203" s="41"/>
      <c r="U203" s="39"/>
      <c r="V203" s="41"/>
      <c r="W203" s="43" t="s">
        <v>711</v>
      </c>
      <c r="X203" s="33"/>
      <c r="Y203" s="27"/>
      <c r="Z203" s="29"/>
      <c r="AB203" s="73" t="str">
        <f t="shared" si="6"/>
        <v>ePTRR MOT制限設定トルク下限(第四象限)－</v>
      </c>
      <c r="AC203" s="74" t="e">
        <f>VLOOKUP($AB203,変換表貼り付け用シート!$A$3:$AN$1133,3,FALSE)</f>
        <v>#N/A</v>
      </c>
      <c r="AD203" s="74" t="e">
        <f t="shared" si="7"/>
        <v>#N/A</v>
      </c>
      <c r="AE203" s="79" t="e">
        <f>IF(VLOOKUP($AB203,変換表貼り付け用シート!$A$3:$AN$3000,12,FALSE)="","",(VLOOKUP($AB203,変換表貼り付け用シート!$A$3:$AN$3000,12,FALSE)))</f>
        <v>#N/A</v>
      </c>
      <c r="AF203" s="80" t="e">
        <f>IF(VLOOKUP($AB203,変換表貼り付け用シート!$A$3:$AN$3000,13,FALSE)="","",(VLOOKUP($AB203,変換表貼り付け用シート!$A$3:$AN$3000,13,FALSE)))</f>
        <v>#N/A</v>
      </c>
      <c r="AG203" s="80" t="e">
        <f>IF(VLOOKUP($AB203,変換表貼り付け用シート!$A$3:$AN$3000,14,FALSE)="","",(VLOOKUP($AB203,変換表貼り付け用シート!$A$3:$AN$3000,14,FALSE)))</f>
        <v>#N/A</v>
      </c>
      <c r="AH203" s="85" t="e">
        <f>IF(VLOOKUP($AB203,変換表貼り付け用シート!$A$3:$AN$3000,15,FALSE)="","",(VLOOKUP($AB203,変換表貼り付け用シート!$A$3:$AN$3000,15,FALSE)))</f>
        <v>#N/A</v>
      </c>
      <c r="AI203" s="79" t="e">
        <f>IF(VLOOKUP($AB203,変換表貼り付け用シート!$A$3:$AN$3000,16,FALSE)="","",(VLOOKUP($AB203,変換表貼り付け用シート!$A$3:$AN$3000,16,FALSE)))</f>
        <v>#N/A</v>
      </c>
      <c r="AJ203" s="81" t="e">
        <f>IF(VLOOKUP($AB203,変換表貼り付け用シート!$A$3:$AN$3000,17,FALSE)="","",(VLOOKUP($AB203,変換表貼り付け用シート!$A$3:$AN$3000,17,FALSE)))</f>
        <v>#N/A</v>
      </c>
      <c r="AK203" s="88" t="e">
        <f>IF(VLOOKUP($AB203,変換表貼り付け用シート!$A$3:$AN$3000,18,FALSE)="","",(VLOOKUP($AB203,変換表貼り付け用シート!$A$3:$AN$3000,18,FALSE)))</f>
        <v>#N/A</v>
      </c>
      <c r="AL203" s="81" t="e">
        <f>IF(VLOOKUP($AB203,変換表貼り付け用シート!$A$3:$AN$3000,19,FALSE)="","",(VLOOKUP($AB203,変換表貼り付け用シート!$A$3:$AN$3000,19,FALSE)))</f>
        <v>#N/A</v>
      </c>
      <c r="AM203" s="75" t="e">
        <f>IF(VLOOKUP($AB203,変換表貼り付け用シート!$A$3:$AN$3000,20,FALSE)="","",(VLOOKUP($AB203,変換表貼り付け用シート!$A$3:$AN$3000,20,FALSE)))</f>
        <v>#N/A</v>
      </c>
    </row>
    <row r="204" spans="2:39" ht="21" customHeight="1" x14ac:dyDescent="0.35">
      <c r="B204" s="39"/>
      <c r="C204" s="117" t="s">
        <v>908</v>
      </c>
      <c r="D204" s="96" t="s">
        <v>406</v>
      </c>
      <c r="E204" s="27" t="s">
        <v>44</v>
      </c>
      <c r="F204" s="37" t="s">
        <v>45</v>
      </c>
      <c r="G204" s="33" t="s">
        <v>206</v>
      </c>
      <c r="H204" s="27" t="s">
        <v>314</v>
      </c>
      <c r="I204" s="27" t="s">
        <v>206</v>
      </c>
      <c r="J204" s="37" t="s">
        <v>314</v>
      </c>
      <c r="K204" s="39" t="s">
        <v>159</v>
      </c>
      <c r="L204" s="28" t="s">
        <v>173</v>
      </c>
      <c r="M204" s="28" t="s">
        <v>48</v>
      </c>
      <c r="N204" s="41" t="s">
        <v>48</v>
      </c>
      <c r="O204" s="39" t="s">
        <v>53</v>
      </c>
      <c r="P204" s="28"/>
      <c r="Q204" s="28"/>
      <c r="R204" s="41"/>
      <c r="S204" s="39"/>
      <c r="T204" s="41"/>
      <c r="U204" s="39"/>
      <c r="V204" s="41"/>
      <c r="W204" s="43" t="s">
        <v>711</v>
      </c>
      <c r="X204" s="33"/>
      <c r="Y204" s="27"/>
      <c r="Z204" s="29"/>
      <c r="AB204" s="73" t="str">
        <f t="shared" si="6"/>
        <v>ePTRR GB減速比－</v>
      </c>
      <c r="AC204" s="74" t="e">
        <f>VLOOKUP($AB204,変換表貼り付け用シート!$A$3:$AN$1133,3,FALSE)</f>
        <v>#N/A</v>
      </c>
      <c r="AD204" s="74" t="e">
        <f t="shared" si="7"/>
        <v>#N/A</v>
      </c>
      <c r="AE204" s="79" t="e">
        <f>IF(VLOOKUP($AB204,変換表貼り付け用シート!$A$3:$AN$3000,12,FALSE)="","",(VLOOKUP($AB204,変換表貼り付け用シート!$A$3:$AN$3000,12,FALSE)))</f>
        <v>#N/A</v>
      </c>
      <c r="AF204" s="80" t="e">
        <f>IF(VLOOKUP($AB204,変換表貼り付け用シート!$A$3:$AN$3000,13,FALSE)="","",(VLOOKUP($AB204,変換表貼り付け用シート!$A$3:$AN$3000,13,FALSE)))</f>
        <v>#N/A</v>
      </c>
      <c r="AG204" s="80" t="e">
        <f>IF(VLOOKUP($AB204,変換表貼り付け用シート!$A$3:$AN$3000,14,FALSE)="","",(VLOOKUP($AB204,変換表貼り付け用シート!$A$3:$AN$3000,14,FALSE)))</f>
        <v>#N/A</v>
      </c>
      <c r="AH204" s="85" t="e">
        <f>IF(VLOOKUP($AB204,変換表貼り付け用シート!$A$3:$AN$3000,15,FALSE)="","",(VLOOKUP($AB204,変換表貼り付け用シート!$A$3:$AN$3000,15,FALSE)))</f>
        <v>#N/A</v>
      </c>
      <c r="AI204" s="79" t="e">
        <f>IF(VLOOKUP($AB204,変換表貼り付け用シート!$A$3:$AN$3000,16,FALSE)="","",(VLOOKUP($AB204,変換表貼り付け用シート!$A$3:$AN$3000,16,FALSE)))</f>
        <v>#N/A</v>
      </c>
      <c r="AJ204" s="81" t="e">
        <f>IF(VLOOKUP($AB204,変換表貼り付け用シート!$A$3:$AN$3000,17,FALSE)="","",(VLOOKUP($AB204,変換表貼り付け用シート!$A$3:$AN$3000,17,FALSE)))</f>
        <v>#N/A</v>
      </c>
      <c r="AK204" s="88" t="e">
        <f>IF(VLOOKUP($AB204,変換表貼り付け用シート!$A$3:$AN$3000,18,FALSE)="","",(VLOOKUP($AB204,変換表貼り付け用シート!$A$3:$AN$3000,18,FALSE)))</f>
        <v>#N/A</v>
      </c>
      <c r="AL204" s="81" t="e">
        <f>IF(VLOOKUP($AB204,変換表貼り付け用シート!$A$3:$AN$3000,19,FALSE)="","",(VLOOKUP($AB204,変換表貼り付け用シート!$A$3:$AN$3000,19,FALSE)))</f>
        <v>#N/A</v>
      </c>
      <c r="AM204" s="75" t="e">
        <f>IF(VLOOKUP($AB204,変換表貼り付け用シート!$A$3:$AN$3000,20,FALSE)="","",(VLOOKUP($AB204,変換表貼り付け用シート!$A$3:$AN$3000,20,FALSE)))</f>
        <v>#N/A</v>
      </c>
    </row>
    <row r="205" spans="2:39" ht="21" customHeight="1" x14ac:dyDescent="0.35">
      <c r="B205" s="39"/>
      <c r="C205" s="117" t="s">
        <v>909</v>
      </c>
      <c r="D205" s="96" t="s">
        <v>407</v>
      </c>
      <c r="E205" s="27" t="s">
        <v>44</v>
      </c>
      <c r="F205" s="37" t="s">
        <v>45</v>
      </c>
      <c r="G205" s="33" t="s">
        <v>206</v>
      </c>
      <c r="H205" s="27" t="s">
        <v>314</v>
      </c>
      <c r="I205" s="27" t="s">
        <v>206</v>
      </c>
      <c r="J205" s="37" t="s">
        <v>314</v>
      </c>
      <c r="K205" s="39" t="s">
        <v>174</v>
      </c>
      <c r="L205" s="28" t="s">
        <v>175</v>
      </c>
      <c r="M205" s="28" t="s">
        <v>48</v>
      </c>
      <c r="N205" s="41" t="s">
        <v>78</v>
      </c>
      <c r="O205" s="39" t="s">
        <v>301</v>
      </c>
      <c r="P205" s="28"/>
      <c r="Q205" s="28"/>
      <c r="R205" s="41"/>
      <c r="S205" s="39"/>
      <c r="T205" s="41"/>
      <c r="U205" s="39"/>
      <c r="V205" s="41"/>
      <c r="W205" s="43" t="s">
        <v>711</v>
      </c>
      <c r="X205" s="33"/>
      <c r="Y205" s="27"/>
      <c r="Z205" s="29"/>
      <c r="AB205" s="73" t="str">
        <f t="shared" si="6"/>
        <v>ドライブシャフトFR右ドライブシャフトイナーシャ－</v>
      </c>
      <c r="AC205" s="74" t="e">
        <f>VLOOKUP($AB205,変換表貼り付け用シート!$A$3:$AN$1133,3,FALSE)</f>
        <v>#N/A</v>
      </c>
      <c r="AD205" s="74" t="e">
        <f t="shared" si="7"/>
        <v>#N/A</v>
      </c>
      <c r="AE205" s="79" t="e">
        <f>IF(VLOOKUP($AB205,変換表貼り付け用シート!$A$3:$AN$3000,12,FALSE)="","",(VLOOKUP($AB205,変換表貼り付け用シート!$A$3:$AN$3000,12,FALSE)))</f>
        <v>#N/A</v>
      </c>
      <c r="AF205" s="80" t="e">
        <f>IF(VLOOKUP($AB205,変換表貼り付け用シート!$A$3:$AN$3000,13,FALSE)="","",(VLOOKUP($AB205,変換表貼り付け用シート!$A$3:$AN$3000,13,FALSE)))</f>
        <v>#N/A</v>
      </c>
      <c r="AG205" s="80" t="e">
        <f>IF(VLOOKUP($AB205,変換表貼り付け用シート!$A$3:$AN$3000,14,FALSE)="","",(VLOOKUP($AB205,変換表貼り付け用シート!$A$3:$AN$3000,14,FALSE)))</f>
        <v>#N/A</v>
      </c>
      <c r="AH205" s="85" t="e">
        <f>IF(VLOOKUP($AB205,変換表貼り付け用シート!$A$3:$AN$3000,15,FALSE)="","",(VLOOKUP($AB205,変換表貼り付け用シート!$A$3:$AN$3000,15,FALSE)))</f>
        <v>#N/A</v>
      </c>
      <c r="AI205" s="79" t="e">
        <f>IF(VLOOKUP($AB205,変換表貼り付け用シート!$A$3:$AN$3000,16,FALSE)="","",(VLOOKUP($AB205,変換表貼り付け用シート!$A$3:$AN$3000,16,FALSE)))</f>
        <v>#N/A</v>
      </c>
      <c r="AJ205" s="81" t="e">
        <f>IF(VLOOKUP($AB205,変換表貼り付け用シート!$A$3:$AN$3000,17,FALSE)="","",(VLOOKUP($AB205,変換表貼り付け用シート!$A$3:$AN$3000,17,FALSE)))</f>
        <v>#N/A</v>
      </c>
      <c r="AK205" s="88" t="e">
        <f>IF(VLOOKUP($AB205,変換表貼り付け用シート!$A$3:$AN$3000,18,FALSE)="","",(VLOOKUP($AB205,変換表貼り付け用シート!$A$3:$AN$3000,18,FALSE)))</f>
        <v>#N/A</v>
      </c>
      <c r="AL205" s="81" t="e">
        <f>IF(VLOOKUP($AB205,変換表貼り付け用シート!$A$3:$AN$3000,19,FALSE)="","",(VLOOKUP($AB205,変換表貼り付け用シート!$A$3:$AN$3000,19,FALSE)))</f>
        <v>#N/A</v>
      </c>
      <c r="AM205" s="75" t="e">
        <f>IF(VLOOKUP($AB205,変換表貼り付け用シート!$A$3:$AN$3000,20,FALSE)="","",(VLOOKUP($AB205,変換表貼り付け用シート!$A$3:$AN$3000,20,FALSE)))</f>
        <v>#N/A</v>
      </c>
    </row>
    <row r="206" spans="2:39" ht="21" customHeight="1" x14ac:dyDescent="0.35">
      <c r="B206" s="39"/>
      <c r="C206" s="117" t="s">
        <v>910</v>
      </c>
      <c r="D206" s="96" t="s">
        <v>408</v>
      </c>
      <c r="E206" s="27" t="s">
        <v>44</v>
      </c>
      <c r="F206" s="37" t="s">
        <v>45</v>
      </c>
      <c r="G206" s="33" t="s">
        <v>206</v>
      </c>
      <c r="H206" s="27" t="s">
        <v>314</v>
      </c>
      <c r="I206" s="27" t="s">
        <v>206</v>
      </c>
      <c r="J206" s="37" t="s">
        <v>314</v>
      </c>
      <c r="K206" s="39" t="s">
        <v>174</v>
      </c>
      <c r="L206" s="28" t="s">
        <v>176</v>
      </c>
      <c r="M206" s="28" t="s">
        <v>48</v>
      </c>
      <c r="N206" s="41" t="s">
        <v>78</v>
      </c>
      <c r="O206" s="39" t="s">
        <v>303</v>
      </c>
      <c r="P206" s="28"/>
      <c r="Q206" s="28"/>
      <c r="R206" s="41"/>
      <c r="S206" s="39"/>
      <c r="T206" s="41"/>
      <c r="U206" s="39"/>
      <c r="V206" s="41"/>
      <c r="W206" s="43" t="s">
        <v>711</v>
      </c>
      <c r="X206" s="33"/>
      <c r="Y206" s="27"/>
      <c r="Z206" s="29"/>
      <c r="AB206" s="73" t="str">
        <f t="shared" si="6"/>
        <v>ドライブシャフトFR左ドライブシャフトイナーシャ－</v>
      </c>
      <c r="AC206" s="74" t="e">
        <f>VLOOKUP($AB206,変換表貼り付け用シート!$A$3:$AN$1133,3,FALSE)</f>
        <v>#N/A</v>
      </c>
      <c r="AD206" s="74" t="e">
        <f t="shared" si="7"/>
        <v>#N/A</v>
      </c>
      <c r="AE206" s="79" t="e">
        <f>IF(VLOOKUP($AB206,変換表貼り付け用シート!$A$3:$AN$3000,12,FALSE)="","",(VLOOKUP($AB206,変換表貼り付け用シート!$A$3:$AN$3000,12,FALSE)))</f>
        <v>#N/A</v>
      </c>
      <c r="AF206" s="80" t="e">
        <f>IF(VLOOKUP($AB206,変換表貼り付け用シート!$A$3:$AN$3000,13,FALSE)="","",(VLOOKUP($AB206,変換表貼り付け用シート!$A$3:$AN$3000,13,FALSE)))</f>
        <v>#N/A</v>
      </c>
      <c r="AG206" s="80" t="e">
        <f>IF(VLOOKUP($AB206,変換表貼り付け用シート!$A$3:$AN$3000,14,FALSE)="","",(VLOOKUP($AB206,変換表貼り付け用シート!$A$3:$AN$3000,14,FALSE)))</f>
        <v>#N/A</v>
      </c>
      <c r="AH206" s="85" t="e">
        <f>IF(VLOOKUP($AB206,変換表貼り付け用シート!$A$3:$AN$3000,15,FALSE)="","",(VLOOKUP($AB206,変換表貼り付け用シート!$A$3:$AN$3000,15,FALSE)))</f>
        <v>#N/A</v>
      </c>
      <c r="AI206" s="79" t="e">
        <f>IF(VLOOKUP($AB206,変換表貼り付け用シート!$A$3:$AN$3000,16,FALSE)="","",(VLOOKUP($AB206,変換表貼り付け用シート!$A$3:$AN$3000,16,FALSE)))</f>
        <v>#N/A</v>
      </c>
      <c r="AJ206" s="81" t="e">
        <f>IF(VLOOKUP($AB206,変換表貼り付け用シート!$A$3:$AN$3000,17,FALSE)="","",(VLOOKUP($AB206,変換表貼り付け用シート!$A$3:$AN$3000,17,FALSE)))</f>
        <v>#N/A</v>
      </c>
      <c r="AK206" s="88" t="e">
        <f>IF(VLOOKUP($AB206,変換表貼り付け用シート!$A$3:$AN$3000,18,FALSE)="","",(VLOOKUP($AB206,変換表貼り付け用シート!$A$3:$AN$3000,18,FALSE)))</f>
        <v>#N/A</v>
      </c>
      <c r="AL206" s="81" t="e">
        <f>IF(VLOOKUP($AB206,変換表貼り付け用シート!$A$3:$AN$3000,19,FALSE)="","",(VLOOKUP($AB206,変換表貼り付け用シート!$A$3:$AN$3000,19,FALSE)))</f>
        <v>#N/A</v>
      </c>
      <c r="AM206" s="75" t="e">
        <f>IF(VLOOKUP($AB206,変換表貼り付け用シート!$A$3:$AN$3000,20,FALSE)="","",(VLOOKUP($AB206,変換表貼り付け用シート!$A$3:$AN$3000,20,FALSE)))</f>
        <v>#N/A</v>
      </c>
    </row>
    <row r="207" spans="2:39" ht="21" customHeight="1" x14ac:dyDescent="0.35">
      <c r="B207" s="39"/>
      <c r="C207" s="117" t="s">
        <v>911</v>
      </c>
      <c r="D207" s="96" t="s">
        <v>409</v>
      </c>
      <c r="E207" s="27" t="s">
        <v>44</v>
      </c>
      <c r="F207" s="37" t="s">
        <v>45</v>
      </c>
      <c r="G207" s="33" t="s">
        <v>206</v>
      </c>
      <c r="H207" s="27" t="s">
        <v>314</v>
      </c>
      <c r="I207" s="27" t="s">
        <v>206</v>
      </c>
      <c r="J207" s="37" t="s">
        <v>314</v>
      </c>
      <c r="K207" s="39" t="s">
        <v>174</v>
      </c>
      <c r="L207" s="28" t="s">
        <v>177</v>
      </c>
      <c r="M207" s="28" t="s">
        <v>48</v>
      </c>
      <c r="N207" s="41" t="s">
        <v>78</v>
      </c>
      <c r="O207" s="39" t="s">
        <v>53</v>
      </c>
      <c r="P207" s="28"/>
      <c r="Q207" s="28"/>
      <c r="R207" s="41"/>
      <c r="S207" s="39"/>
      <c r="T207" s="41"/>
      <c r="U207" s="39"/>
      <c r="V207" s="41"/>
      <c r="W207" s="43" t="s">
        <v>711</v>
      </c>
      <c r="X207" s="33"/>
      <c r="Y207" s="27"/>
      <c r="Z207" s="29"/>
      <c r="AB207" s="73" t="str">
        <f t="shared" si="6"/>
        <v>ドライブシャフトRR右ドライブシャフトイナーシャ－</v>
      </c>
      <c r="AC207" s="74" t="e">
        <f>VLOOKUP($AB207,変換表貼り付け用シート!$A$3:$AN$1133,3,FALSE)</f>
        <v>#N/A</v>
      </c>
      <c r="AD207" s="74" t="e">
        <f t="shared" si="7"/>
        <v>#N/A</v>
      </c>
      <c r="AE207" s="79" t="e">
        <f>IF(VLOOKUP($AB207,変換表貼り付け用シート!$A$3:$AN$3000,12,FALSE)="","",(VLOOKUP($AB207,変換表貼り付け用シート!$A$3:$AN$3000,12,FALSE)))</f>
        <v>#N/A</v>
      </c>
      <c r="AF207" s="80" t="e">
        <f>IF(VLOOKUP($AB207,変換表貼り付け用シート!$A$3:$AN$3000,13,FALSE)="","",(VLOOKUP($AB207,変換表貼り付け用シート!$A$3:$AN$3000,13,FALSE)))</f>
        <v>#N/A</v>
      </c>
      <c r="AG207" s="80" t="e">
        <f>IF(VLOOKUP($AB207,変換表貼り付け用シート!$A$3:$AN$3000,14,FALSE)="","",(VLOOKUP($AB207,変換表貼り付け用シート!$A$3:$AN$3000,14,FALSE)))</f>
        <v>#N/A</v>
      </c>
      <c r="AH207" s="85" t="e">
        <f>IF(VLOOKUP($AB207,変換表貼り付け用シート!$A$3:$AN$3000,15,FALSE)="","",(VLOOKUP($AB207,変換表貼り付け用シート!$A$3:$AN$3000,15,FALSE)))</f>
        <v>#N/A</v>
      </c>
      <c r="AI207" s="79" t="e">
        <f>IF(VLOOKUP($AB207,変換表貼り付け用シート!$A$3:$AN$3000,16,FALSE)="","",(VLOOKUP($AB207,変換表貼り付け用シート!$A$3:$AN$3000,16,FALSE)))</f>
        <v>#N/A</v>
      </c>
      <c r="AJ207" s="81" t="e">
        <f>IF(VLOOKUP($AB207,変換表貼り付け用シート!$A$3:$AN$3000,17,FALSE)="","",(VLOOKUP($AB207,変換表貼り付け用シート!$A$3:$AN$3000,17,FALSE)))</f>
        <v>#N/A</v>
      </c>
      <c r="AK207" s="88" t="e">
        <f>IF(VLOOKUP($AB207,変換表貼り付け用シート!$A$3:$AN$3000,18,FALSE)="","",(VLOOKUP($AB207,変換表貼り付け用シート!$A$3:$AN$3000,18,FALSE)))</f>
        <v>#N/A</v>
      </c>
      <c r="AL207" s="81" t="e">
        <f>IF(VLOOKUP($AB207,変換表貼り付け用シート!$A$3:$AN$3000,19,FALSE)="","",(VLOOKUP($AB207,変換表貼り付け用シート!$A$3:$AN$3000,19,FALSE)))</f>
        <v>#N/A</v>
      </c>
      <c r="AM207" s="75" t="e">
        <f>IF(VLOOKUP($AB207,変換表貼り付け用シート!$A$3:$AN$3000,20,FALSE)="","",(VLOOKUP($AB207,変換表貼り付け用シート!$A$3:$AN$3000,20,FALSE)))</f>
        <v>#N/A</v>
      </c>
    </row>
    <row r="208" spans="2:39" ht="21" customHeight="1" x14ac:dyDescent="0.35">
      <c r="B208" s="39"/>
      <c r="C208" s="117" t="s">
        <v>912</v>
      </c>
      <c r="D208" s="96" t="s">
        <v>410</v>
      </c>
      <c r="E208" s="27" t="s">
        <v>44</v>
      </c>
      <c r="F208" s="37" t="s">
        <v>45</v>
      </c>
      <c r="G208" s="33" t="s">
        <v>206</v>
      </c>
      <c r="H208" s="27" t="s">
        <v>314</v>
      </c>
      <c r="I208" s="27" t="s">
        <v>206</v>
      </c>
      <c r="J208" s="37" t="s">
        <v>314</v>
      </c>
      <c r="K208" s="39" t="s">
        <v>174</v>
      </c>
      <c r="L208" s="28" t="s">
        <v>178</v>
      </c>
      <c r="M208" s="28" t="s">
        <v>48</v>
      </c>
      <c r="N208" s="41" t="s">
        <v>78</v>
      </c>
      <c r="O208" s="39" t="s">
        <v>53</v>
      </c>
      <c r="P208" s="28"/>
      <c r="Q208" s="28"/>
      <c r="R208" s="41"/>
      <c r="S208" s="39"/>
      <c r="T208" s="41"/>
      <c r="U208" s="39"/>
      <c r="V208" s="41"/>
      <c r="W208" s="43" t="s">
        <v>711</v>
      </c>
      <c r="X208" s="33"/>
      <c r="Y208" s="27"/>
      <c r="Z208" s="29"/>
      <c r="AB208" s="73" t="str">
        <f t="shared" si="6"/>
        <v>ドライブシャフトRR左ドライブシャフトイナーシャ－</v>
      </c>
      <c r="AC208" s="74" t="e">
        <f>VLOOKUP($AB208,変換表貼り付け用シート!$A$3:$AN$1133,3,FALSE)</f>
        <v>#N/A</v>
      </c>
      <c r="AD208" s="74" t="e">
        <f t="shared" si="7"/>
        <v>#N/A</v>
      </c>
      <c r="AE208" s="79" t="e">
        <f>IF(VLOOKUP($AB208,変換表貼り付け用シート!$A$3:$AN$3000,12,FALSE)="","",(VLOOKUP($AB208,変換表貼り付け用シート!$A$3:$AN$3000,12,FALSE)))</f>
        <v>#N/A</v>
      </c>
      <c r="AF208" s="80" t="e">
        <f>IF(VLOOKUP($AB208,変換表貼り付け用シート!$A$3:$AN$3000,13,FALSE)="","",(VLOOKUP($AB208,変換表貼り付け用シート!$A$3:$AN$3000,13,FALSE)))</f>
        <v>#N/A</v>
      </c>
      <c r="AG208" s="80" t="e">
        <f>IF(VLOOKUP($AB208,変換表貼り付け用シート!$A$3:$AN$3000,14,FALSE)="","",(VLOOKUP($AB208,変換表貼り付け用シート!$A$3:$AN$3000,14,FALSE)))</f>
        <v>#N/A</v>
      </c>
      <c r="AH208" s="85" t="e">
        <f>IF(VLOOKUP($AB208,変換表貼り付け用シート!$A$3:$AN$3000,15,FALSE)="","",(VLOOKUP($AB208,変換表貼り付け用シート!$A$3:$AN$3000,15,FALSE)))</f>
        <v>#N/A</v>
      </c>
      <c r="AI208" s="79" t="e">
        <f>IF(VLOOKUP($AB208,変換表貼り付け用シート!$A$3:$AN$3000,16,FALSE)="","",(VLOOKUP($AB208,変換表貼り付け用シート!$A$3:$AN$3000,16,FALSE)))</f>
        <v>#N/A</v>
      </c>
      <c r="AJ208" s="81" t="e">
        <f>IF(VLOOKUP($AB208,変換表貼り付け用シート!$A$3:$AN$3000,17,FALSE)="","",(VLOOKUP($AB208,変換表貼り付け用シート!$A$3:$AN$3000,17,FALSE)))</f>
        <v>#N/A</v>
      </c>
      <c r="AK208" s="88" t="e">
        <f>IF(VLOOKUP($AB208,変換表貼り付け用シート!$A$3:$AN$3000,18,FALSE)="","",(VLOOKUP($AB208,変換表貼り付け用シート!$A$3:$AN$3000,18,FALSE)))</f>
        <v>#N/A</v>
      </c>
      <c r="AL208" s="81" t="e">
        <f>IF(VLOOKUP($AB208,変換表貼り付け用シート!$A$3:$AN$3000,19,FALSE)="","",(VLOOKUP($AB208,変換表貼り付け用シート!$A$3:$AN$3000,19,FALSE)))</f>
        <v>#N/A</v>
      </c>
      <c r="AM208" s="75" t="e">
        <f>IF(VLOOKUP($AB208,変換表貼り付け用シート!$A$3:$AN$3000,20,FALSE)="","",(VLOOKUP($AB208,変換表貼り付け用シート!$A$3:$AN$3000,20,FALSE)))</f>
        <v>#N/A</v>
      </c>
    </row>
    <row r="209" spans="2:39" ht="21" customHeight="1" x14ac:dyDescent="0.35">
      <c r="B209" s="39"/>
      <c r="C209" s="117" t="s">
        <v>913</v>
      </c>
      <c r="D209" s="96" t="s">
        <v>411</v>
      </c>
      <c r="E209" s="27" t="s">
        <v>44</v>
      </c>
      <c r="F209" s="37" t="s">
        <v>45</v>
      </c>
      <c r="G209" s="33" t="s">
        <v>206</v>
      </c>
      <c r="H209" s="27" t="s">
        <v>314</v>
      </c>
      <c r="I209" s="27" t="s">
        <v>206</v>
      </c>
      <c r="J209" s="37" t="s">
        <v>314</v>
      </c>
      <c r="K209" s="39" t="s">
        <v>179</v>
      </c>
      <c r="L209" s="28" t="s">
        <v>180</v>
      </c>
      <c r="M209" s="28" t="s">
        <v>48</v>
      </c>
      <c r="N209" s="41" t="s">
        <v>181</v>
      </c>
      <c r="O209" s="39">
        <v>75</v>
      </c>
      <c r="P209" s="28"/>
      <c r="Q209" s="28"/>
      <c r="R209" s="41"/>
      <c r="S209" s="39"/>
      <c r="T209" s="41"/>
      <c r="U209" s="39"/>
      <c r="V209" s="41"/>
      <c r="W209" s="43" t="s">
        <v>711</v>
      </c>
      <c r="X209" s="33"/>
      <c r="Y209" s="27"/>
      <c r="Z209" s="29"/>
      <c r="AB209" s="73" t="str">
        <f t="shared" si="6"/>
        <v>DCDCDCDC効率(走行時弱電220W,355V入力(SOC20%),13V出力)－</v>
      </c>
      <c r="AC209" s="74" t="e">
        <f>VLOOKUP($AB209,変換表貼り付け用シート!$A$3:$AN$1133,3,FALSE)</f>
        <v>#N/A</v>
      </c>
      <c r="AD209" s="74" t="e">
        <f t="shared" si="7"/>
        <v>#N/A</v>
      </c>
      <c r="AE209" s="79" t="e">
        <f>IF(VLOOKUP($AB209,変換表貼り付け用シート!$A$3:$AN$3000,12,FALSE)="","",(VLOOKUP($AB209,変換表貼り付け用シート!$A$3:$AN$3000,12,FALSE)))</f>
        <v>#N/A</v>
      </c>
      <c r="AF209" s="80" t="e">
        <f>IF(VLOOKUP($AB209,変換表貼り付け用シート!$A$3:$AN$3000,13,FALSE)="","",(VLOOKUP($AB209,変換表貼り付け用シート!$A$3:$AN$3000,13,FALSE)))</f>
        <v>#N/A</v>
      </c>
      <c r="AG209" s="80" t="e">
        <f>IF(VLOOKUP($AB209,変換表貼り付け用シート!$A$3:$AN$3000,14,FALSE)="","",(VLOOKUP($AB209,変換表貼り付け用シート!$A$3:$AN$3000,14,FALSE)))</f>
        <v>#N/A</v>
      </c>
      <c r="AH209" s="85" t="e">
        <f>IF(VLOOKUP($AB209,変換表貼り付け用シート!$A$3:$AN$3000,15,FALSE)="","",(VLOOKUP($AB209,変換表貼り付け用シート!$A$3:$AN$3000,15,FALSE)))</f>
        <v>#N/A</v>
      </c>
      <c r="AI209" s="79" t="e">
        <f>IF(VLOOKUP($AB209,変換表貼り付け用シート!$A$3:$AN$3000,16,FALSE)="","",(VLOOKUP($AB209,変換表貼り付け用シート!$A$3:$AN$3000,16,FALSE)))</f>
        <v>#N/A</v>
      </c>
      <c r="AJ209" s="81" t="e">
        <f>IF(VLOOKUP($AB209,変換表貼り付け用シート!$A$3:$AN$3000,17,FALSE)="","",(VLOOKUP($AB209,変換表貼り付け用シート!$A$3:$AN$3000,17,FALSE)))</f>
        <v>#N/A</v>
      </c>
      <c r="AK209" s="88" t="e">
        <f>IF(VLOOKUP($AB209,変換表貼り付け用シート!$A$3:$AN$3000,18,FALSE)="","",(VLOOKUP($AB209,変換表貼り付け用シート!$A$3:$AN$3000,18,FALSE)))</f>
        <v>#N/A</v>
      </c>
      <c r="AL209" s="81" t="e">
        <f>IF(VLOOKUP($AB209,変換表貼り付け用シート!$A$3:$AN$3000,19,FALSE)="","",(VLOOKUP($AB209,変換表貼り付け用シート!$A$3:$AN$3000,19,FALSE)))</f>
        <v>#N/A</v>
      </c>
      <c r="AM209" s="75" t="e">
        <f>IF(VLOOKUP($AB209,変換表貼り付け用シート!$A$3:$AN$3000,20,FALSE)="","",(VLOOKUP($AB209,変換表貼り付け用シート!$A$3:$AN$3000,20,FALSE)))</f>
        <v>#N/A</v>
      </c>
    </row>
    <row r="210" spans="2:39" ht="21" customHeight="1" x14ac:dyDescent="0.35">
      <c r="B210" s="39"/>
      <c r="C210" s="117" t="s">
        <v>914</v>
      </c>
      <c r="D210" s="96" t="s">
        <v>412</v>
      </c>
      <c r="E210" s="27" t="s">
        <v>44</v>
      </c>
      <c r="F210" s="37" t="s">
        <v>45</v>
      </c>
      <c r="G210" s="33" t="s">
        <v>206</v>
      </c>
      <c r="H210" s="27" t="s">
        <v>314</v>
      </c>
      <c r="I210" s="27" t="s">
        <v>206</v>
      </c>
      <c r="J210" s="37" t="s">
        <v>314</v>
      </c>
      <c r="K210" s="39" t="s">
        <v>182</v>
      </c>
      <c r="L210" s="28" t="s">
        <v>183</v>
      </c>
      <c r="M210" s="28" t="s">
        <v>48</v>
      </c>
      <c r="N210" s="41" t="s">
        <v>161</v>
      </c>
      <c r="O210" s="39">
        <v>227</v>
      </c>
      <c r="P210" s="28"/>
      <c r="Q210" s="28"/>
      <c r="R210" s="41"/>
      <c r="S210" s="39"/>
      <c r="T210" s="41"/>
      <c r="U210" s="39"/>
      <c r="V210" s="41"/>
      <c r="W210" s="43" t="s">
        <v>711</v>
      </c>
      <c r="X210" s="33"/>
      <c r="Y210" s="27"/>
      <c r="Z210" s="29"/>
      <c r="AB210" s="73" t="str">
        <f t="shared" si="6"/>
        <v>LV BATT消費電力(電費試験時WLTCモード)－</v>
      </c>
      <c r="AC210" s="74" t="e">
        <f>VLOOKUP($AB210,変換表貼り付け用シート!$A$3:$AN$1133,3,FALSE)</f>
        <v>#N/A</v>
      </c>
      <c r="AD210" s="74" t="e">
        <f t="shared" si="7"/>
        <v>#N/A</v>
      </c>
      <c r="AE210" s="79" t="e">
        <f>IF(VLOOKUP($AB210,変換表貼り付け用シート!$A$3:$AN$3000,12,FALSE)="","",(VLOOKUP($AB210,変換表貼り付け用シート!$A$3:$AN$3000,12,FALSE)))</f>
        <v>#N/A</v>
      </c>
      <c r="AF210" s="80" t="e">
        <f>IF(VLOOKUP($AB210,変換表貼り付け用シート!$A$3:$AN$3000,13,FALSE)="","",(VLOOKUP($AB210,変換表貼り付け用シート!$A$3:$AN$3000,13,FALSE)))</f>
        <v>#N/A</v>
      </c>
      <c r="AG210" s="80" t="e">
        <f>IF(VLOOKUP($AB210,変換表貼り付け用シート!$A$3:$AN$3000,14,FALSE)="","",(VLOOKUP($AB210,変換表貼り付け用シート!$A$3:$AN$3000,14,FALSE)))</f>
        <v>#N/A</v>
      </c>
      <c r="AH210" s="85" t="e">
        <f>IF(VLOOKUP($AB210,変換表貼り付け用シート!$A$3:$AN$3000,15,FALSE)="","",(VLOOKUP($AB210,変換表貼り付け用シート!$A$3:$AN$3000,15,FALSE)))</f>
        <v>#N/A</v>
      </c>
      <c r="AI210" s="79" t="e">
        <f>IF(VLOOKUP($AB210,変換表貼り付け用シート!$A$3:$AN$3000,16,FALSE)="","",(VLOOKUP($AB210,変換表貼り付け用シート!$A$3:$AN$3000,16,FALSE)))</f>
        <v>#N/A</v>
      </c>
      <c r="AJ210" s="81" t="e">
        <f>IF(VLOOKUP($AB210,変換表貼り付け用シート!$A$3:$AN$3000,17,FALSE)="","",(VLOOKUP($AB210,変換表貼り付け用シート!$A$3:$AN$3000,17,FALSE)))</f>
        <v>#N/A</v>
      </c>
      <c r="AK210" s="88" t="e">
        <f>IF(VLOOKUP($AB210,変換表貼り付け用シート!$A$3:$AN$3000,18,FALSE)="","",(VLOOKUP($AB210,変換表貼り付け用シート!$A$3:$AN$3000,18,FALSE)))</f>
        <v>#N/A</v>
      </c>
      <c r="AL210" s="81" t="e">
        <f>IF(VLOOKUP($AB210,変換表貼り付け用シート!$A$3:$AN$3000,19,FALSE)="","",(VLOOKUP($AB210,変換表貼り付け用シート!$A$3:$AN$3000,19,FALSE)))</f>
        <v>#N/A</v>
      </c>
      <c r="AM210" s="75" t="e">
        <f>IF(VLOOKUP($AB210,変換表貼り付け用シート!$A$3:$AN$3000,20,FALSE)="","",(VLOOKUP($AB210,変換表貼り付け用シート!$A$3:$AN$3000,20,FALSE)))</f>
        <v>#N/A</v>
      </c>
    </row>
    <row r="211" spans="2:39" ht="21" customHeight="1" x14ac:dyDescent="0.35">
      <c r="B211" s="39"/>
      <c r="C211" s="117" t="s">
        <v>915</v>
      </c>
      <c r="D211" s="96" t="s">
        <v>413</v>
      </c>
      <c r="E211" s="27" t="s">
        <v>44</v>
      </c>
      <c r="F211" s="37" t="s">
        <v>45</v>
      </c>
      <c r="G211" s="33" t="s">
        <v>206</v>
      </c>
      <c r="H211" s="27" t="s">
        <v>314</v>
      </c>
      <c r="I211" s="27" t="s">
        <v>206</v>
      </c>
      <c r="J211" s="37" t="s">
        <v>314</v>
      </c>
      <c r="K211" s="39" t="s">
        <v>184</v>
      </c>
      <c r="L211" s="28" t="s">
        <v>185</v>
      </c>
      <c r="M211" s="28" t="s">
        <v>48</v>
      </c>
      <c r="N211" s="41" t="s">
        <v>186</v>
      </c>
      <c r="O211" s="39">
        <v>100</v>
      </c>
      <c r="P211" s="28"/>
      <c r="Q211" s="28"/>
      <c r="R211" s="41"/>
      <c r="S211" s="39"/>
      <c r="T211" s="41"/>
      <c r="U211" s="39"/>
      <c r="V211" s="41"/>
      <c r="W211" s="43" t="s">
        <v>711</v>
      </c>
      <c r="X211" s="33"/>
      <c r="Y211" s="27"/>
      <c r="Z211" s="29"/>
      <c r="AB211" s="73" t="str">
        <f t="shared" si="6"/>
        <v>HV BATT直列セル数－</v>
      </c>
      <c r="AC211" s="74" t="e">
        <f>VLOOKUP($AB211,変換表貼り付け用シート!$A$3:$AN$1133,3,FALSE)</f>
        <v>#N/A</v>
      </c>
      <c r="AD211" s="74" t="e">
        <f t="shared" si="7"/>
        <v>#N/A</v>
      </c>
      <c r="AE211" s="79" t="e">
        <f>IF(VLOOKUP($AB211,変換表貼り付け用シート!$A$3:$AN$3000,12,FALSE)="","",(VLOOKUP($AB211,変換表貼り付け用シート!$A$3:$AN$3000,12,FALSE)))</f>
        <v>#N/A</v>
      </c>
      <c r="AF211" s="80" t="e">
        <f>IF(VLOOKUP($AB211,変換表貼り付け用シート!$A$3:$AN$3000,13,FALSE)="","",(VLOOKUP($AB211,変換表貼り付け用シート!$A$3:$AN$3000,13,FALSE)))</f>
        <v>#N/A</v>
      </c>
      <c r="AG211" s="80" t="e">
        <f>IF(VLOOKUP($AB211,変換表貼り付け用シート!$A$3:$AN$3000,14,FALSE)="","",(VLOOKUP($AB211,変換表貼り付け用シート!$A$3:$AN$3000,14,FALSE)))</f>
        <v>#N/A</v>
      </c>
      <c r="AH211" s="85" t="e">
        <f>IF(VLOOKUP($AB211,変換表貼り付け用シート!$A$3:$AN$3000,15,FALSE)="","",(VLOOKUP($AB211,変換表貼り付け用シート!$A$3:$AN$3000,15,FALSE)))</f>
        <v>#N/A</v>
      </c>
      <c r="AI211" s="79" t="e">
        <f>IF(VLOOKUP($AB211,変換表貼り付け用シート!$A$3:$AN$3000,16,FALSE)="","",(VLOOKUP($AB211,変換表貼り付け用シート!$A$3:$AN$3000,16,FALSE)))</f>
        <v>#N/A</v>
      </c>
      <c r="AJ211" s="81" t="e">
        <f>IF(VLOOKUP($AB211,変換表貼り付け用シート!$A$3:$AN$3000,17,FALSE)="","",(VLOOKUP($AB211,変換表貼り付け用シート!$A$3:$AN$3000,17,FALSE)))</f>
        <v>#N/A</v>
      </c>
      <c r="AK211" s="88" t="e">
        <f>IF(VLOOKUP($AB211,変換表貼り付け用シート!$A$3:$AN$3000,18,FALSE)="","",(VLOOKUP($AB211,変換表貼り付け用シート!$A$3:$AN$3000,18,FALSE)))</f>
        <v>#N/A</v>
      </c>
      <c r="AL211" s="81" t="e">
        <f>IF(VLOOKUP($AB211,変換表貼り付け用シート!$A$3:$AN$3000,19,FALSE)="","",(VLOOKUP($AB211,変換表貼り付け用シート!$A$3:$AN$3000,19,FALSE)))</f>
        <v>#N/A</v>
      </c>
      <c r="AM211" s="75" t="e">
        <f>IF(VLOOKUP($AB211,変換表貼り付け用シート!$A$3:$AN$3000,20,FALSE)="","",(VLOOKUP($AB211,変換表貼り付け用シート!$A$3:$AN$3000,20,FALSE)))</f>
        <v>#N/A</v>
      </c>
    </row>
    <row r="212" spans="2:39" ht="21" customHeight="1" x14ac:dyDescent="0.35">
      <c r="B212" s="39"/>
      <c r="C212" s="117" t="s">
        <v>916</v>
      </c>
      <c r="D212" s="96" t="s">
        <v>414</v>
      </c>
      <c r="E212" s="27" t="s">
        <v>44</v>
      </c>
      <c r="F212" s="37" t="s">
        <v>45</v>
      </c>
      <c r="G212" s="33" t="s">
        <v>206</v>
      </c>
      <c r="H212" s="27" t="s">
        <v>314</v>
      </c>
      <c r="I212" s="27" t="s">
        <v>206</v>
      </c>
      <c r="J212" s="37" t="s">
        <v>314</v>
      </c>
      <c r="K212" s="39" t="s">
        <v>184</v>
      </c>
      <c r="L212" s="28" t="s">
        <v>187</v>
      </c>
      <c r="M212" s="28" t="s">
        <v>48</v>
      </c>
      <c r="N212" s="41" t="s">
        <v>188</v>
      </c>
      <c r="O212" s="39">
        <v>1</v>
      </c>
      <c r="P212" s="28"/>
      <c r="Q212" s="28"/>
      <c r="R212" s="41"/>
      <c r="S212" s="39"/>
      <c r="T212" s="41"/>
      <c r="U212" s="39"/>
      <c r="V212" s="41"/>
      <c r="W212" s="43" t="s">
        <v>711</v>
      </c>
      <c r="X212" s="33"/>
      <c r="Y212" s="27"/>
      <c r="Z212" s="29"/>
      <c r="AB212" s="73" t="str">
        <f t="shared" si="6"/>
        <v>HV BATT並列セル数－</v>
      </c>
      <c r="AC212" s="74" t="e">
        <f>VLOOKUP($AB212,変換表貼り付け用シート!$A$3:$AN$1133,3,FALSE)</f>
        <v>#N/A</v>
      </c>
      <c r="AD212" s="74" t="e">
        <f t="shared" si="7"/>
        <v>#N/A</v>
      </c>
      <c r="AE212" s="79" t="e">
        <f>IF(VLOOKUP($AB212,変換表貼り付け用シート!$A$3:$AN$3000,12,FALSE)="","",(VLOOKUP($AB212,変換表貼り付け用シート!$A$3:$AN$3000,12,FALSE)))</f>
        <v>#N/A</v>
      </c>
      <c r="AF212" s="80" t="e">
        <f>IF(VLOOKUP($AB212,変換表貼り付け用シート!$A$3:$AN$3000,13,FALSE)="","",(VLOOKUP($AB212,変換表貼り付け用シート!$A$3:$AN$3000,13,FALSE)))</f>
        <v>#N/A</v>
      </c>
      <c r="AG212" s="80" t="e">
        <f>IF(VLOOKUP($AB212,変換表貼り付け用シート!$A$3:$AN$3000,14,FALSE)="","",(VLOOKUP($AB212,変換表貼り付け用シート!$A$3:$AN$3000,14,FALSE)))</f>
        <v>#N/A</v>
      </c>
      <c r="AH212" s="85" t="e">
        <f>IF(VLOOKUP($AB212,変換表貼り付け用シート!$A$3:$AN$3000,15,FALSE)="","",(VLOOKUP($AB212,変換表貼り付け用シート!$A$3:$AN$3000,15,FALSE)))</f>
        <v>#N/A</v>
      </c>
      <c r="AI212" s="79" t="e">
        <f>IF(VLOOKUP($AB212,変換表貼り付け用シート!$A$3:$AN$3000,16,FALSE)="","",(VLOOKUP($AB212,変換表貼り付け用シート!$A$3:$AN$3000,16,FALSE)))</f>
        <v>#N/A</v>
      </c>
      <c r="AJ212" s="81" t="e">
        <f>IF(VLOOKUP($AB212,変換表貼り付け用シート!$A$3:$AN$3000,17,FALSE)="","",(VLOOKUP($AB212,変換表貼り付け用シート!$A$3:$AN$3000,17,FALSE)))</f>
        <v>#N/A</v>
      </c>
      <c r="AK212" s="88" t="e">
        <f>IF(VLOOKUP($AB212,変換表貼り付け用シート!$A$3:$AN$3000,18,FALSE)="","",(VLOOKUP($AB212,変換表貼り付け用シート!$A$3:$AN$3000,18,FALSE)))</f>
        <v>#N/A</v>
      </c>
      <c r="AL212" s="81" t="e">
        <f>IF(VLOOKUP($AB212,変換表貼り付け用シート!$A$3:$AN$3000,19,FALSE)="","",(VLOOKUP($AB212,変換表貼り付け用シート!$A$3:$AN$3000,19,FALSE)))</f>
        <v>#N/A</v>
      </c>
      <c r="AM212" s="75" t="e">
        <f>IF(VLOOKUP($AB212,変換表貼り付け用シート!$A$3:$AN$3000,20,FALSE)="","",(VLOOKUP($AB212,変換表貼り付け用シート!$A$3:$AN$3000,20,FALSE)))</f>
        <v>#N/A</v>
      </c>
    </row>
    <row r="213" spans="2:39" ht="21" customHeight="1" x14ac:dyDescent="0.35">
      <c r="B213" s="39"/>
      <c r="C213" s="117" t="s">
        <v>917</v>
      </c>
      <c r="D213" s="96" t="s">
        <v>415</v>
      </c>
      <c r="E213" s="27" t="s">
        <v>44</v>
      </c>
      <c r="F213" s="37" t="s">
        <v>45</v>
      </c>
      <c r="G213" s="33" t="s">
        <v>206</v>
      </c>
      <c r="H213" s="27" t="s">
        <v>314</v>
      </c>
      <c r="I213" s="27" t="s">
        <v>206</v>
      </c>
      <c r="J213" s="37" t="s">
        <v>314</v>
      </c>
      <c r="K213" s="39" t="s">
        <v>184</v>
      </c>
      <c r="L213" s="28" t="s">
        <v>189</v>
      </c>
      <c r="M213" s="28" t="s">
        <v>48</v>
      </c>
      <c r="N213" s="41" t="s">
        <v>190</v>
      </c>
      <c r="O213" s="39">
        <v>72</v>
      </c>
      <c r="P213" s="28"/>
      <c r="Q213" s="28"/>
      <c r="R213" s="41"/>
      <c r="S213" s="39"/>
      <c r="T213" s="41"/>
      <c r="U213" s="39"/>
      <c r="V213" s="41"/>
      <c r="W213" s="43" t="s">
        <v>711</v>
      </c>
      <c r="X213" s="33"/>
      <c r="Y213" s="27"/>
      <c r="Z213" s="29"/>
      <c r="AB213" s="73" t="str">
        <f t="shared" si="6"/>
        <v>HV BATTセル容量－</v>
      </c>
      <c r="AC213" s="74" t="e">
        <f>VLOOKUP($AB213,変換表貼り付け用シート!$A$3:$AN$1133,3,FALSE)</f>
        <v>#N/A</v>
      </c>
      <c r="AD213" s="74" t="e">
        <f t="shared" si="7"/>
        <v>#N/A</v>
      </c>
      <c r="AE213" s="79" t="e">
        <f>IF(VLOOKUP($AB213,変換表貼り付け用シート!$A$3:$AN$3000,12,FALSE)="","",(VLOOKUP($AB213,変換表貼り付け用シート!$A$3:$AN$3000,12,FALSE)))</f>
        <v>#N/A</v>
      </c>
      <c r="AF213" s="80" t="e">
        <f>IF(VLOOKUP($AB213,変換表貼り付け用シート!$A$3:$AN$3000,13,FALSE)="","",(VLOOKUP($AB213,変換表貼り付け用シート!$A$3:$AN$3000,13,FALSE)))</f>
        <v>#N/A</v>
      </c>
      <c r="AG213" s="80" t="e">
        <f>IF(VLOOKUP($AB213,変換表貼り付け用シート!$A$3:$AN$3000,14,FALSE)="","",(VLOOKUP($AB213,変換表貼り付け用シート!$A$3:$AN$3000,14,FALSE)))</f>
        <v>#N/A</v>
      </c>
      <c r="AH213" s="85" t="e">
        <f>IF(VLOOKUP($AB213,変換表貼り付け用シート!$A$3:$AN$3000,15,FALSE)="","",(VLOOKUP($AB213,変換表貼り付け用シート!$A$3:$AN$3000,15,FALSE)))</f>
        <v>#N/A</v>
      </c>
      <c r="AI213" s="79" t="e">
        <f>IF(VLOOKUP($AB213,変換表貼り付け用シート!$A$3:$AN$3000,16,FALSE)="","",(VLOOKUP($AB213,変換表貼り付け用シート!$A$3:$AN$3000,16,FALSE)))</f>
        <v>#N/A</v>
      </c>
      <c r="AJ213" s="81" t="e">
        <f>IF(VLOOKUP($AB213,変換表貼り付け用シート!$A$3:$AN$3000,17,FALSE)="","",(VLOOKUP($AB213,変換表貼り付け用シート!$A$3:$AN$3000,17,FALSE)))</f>
        <v>#N/A</v>
      </c>
      <c r="AK213" s="88" t="e">
        <f>IF(VLOOKUP($AB213,変換表貼り付け用シート!$A$3:$AN$3000,18,FALSE)="","",(VLOOKUP($AB213,変換表貼り付け用シート!$A$3:$AN$3000,18,FALSE)))</f>
        <v>#N/A</v>
      </c>
      <c r="AL213" s="81" t="e">
        <f>IF(VLOOKUP($AB213,変換表貼り付け用シート!$A$3:$AN$3000,19,FALSE)="","",(VLOOKUP($AB213,変換表貼り付け用シート!$A$3:$AN$3000,19,FALSE)))</f>
        <v>#N/A</v>
      </c>
      <c r="AM213" s="75" t="e">
        <f>IF(VLOOKUP($AB213,変換表貼り付け用シート!$A$3:$AN$3000,20,FALSE)="","",(VLOOKUP($AB213,変換表貼り付け用シート!$A$3:$AN$3000,20,FALSE)))</f>
        <v>#N/A</v>
      </c>
    </row>
    <row r="214" spans="2:39" ht="21" customHeight="1" x14ac:dyDescent="0.35">
      <c r="B214" s="39"/>
      <c r="C214" s="117" t="s">
        <v>918</v>
      </c>
      <c r="D214" s="96" t="s">
        <v>416</v>
      </c>
      <c r="E214" s="27" t="s">
        <v>44</v>
      </c>
      <c r="F214" s="37" t="s">
        <v>45</v>
      </c>
      <c r="G214" s="33" t="s">
        <v>206</v>
      </c>
      <c r="H214" s="27" t="s">
        <v>314</v>
      </c>
      <c r="I214" s="27" t="s">
        <v>206</v>
      </c>
      <c r="J214" s="37" t="s">
        <v>314</v>
      </c>
      <c r="K214" s="39" t="s">
        <v>184</v>
      </c>
      <c r="L214" s="28" t="s">
        <v>191</v>
      </c>
      <c r="M214" s="28" t="s">
        <v>48</v>
      </c>
      <c r="N214" s="41" t="s">
        <v>192</v>
      </c>
      <c r="O214" s="39" t="s">
        <v>193</v>
      </c>
      <c r="P214" s="28"/>
      <c r="Q214" s="28"/>
      <c r="R214" s="41"/>
      <c r="S214" s="39"/>
      <c r="T214" s="41"/>
      <c r="U214" s="39"/>
      <c r="V214" s="41"/>
      <c r="W214" s="43" t="s">
        <v>711</v>
      </c>
      <c r="X214" s="33"/>
      <c r="Y214" s="27"/>
      <c r="Z214" s="29"/>
      <c r="AB214" s="73" t="str">
        <f t="shared" si="6"/>
        <v>HV BATTパック繋ぎ抵抗－</v>
      </c>
      <c r="AC214" s="74" t="e">
        <f>VLOOKUP($AB214,変換表貼り付け用シート!$A$3:$AN$1133,3,FALSE)</f>
        <v>#N/A</v>
      </c>
      <c r="AD214" s="74" t="e">
        <f t="shared" si="7"/>
        <v>#N/A</v>
      </c>
      <c r="AE214" s="79" t="e">
        <f>IF(VLOOKUP($AB214,変換表貼り付け用シート!$A$3:$AN$3000,12,FALSE)="","",(VLOOKUP($AB214,変換表貼り付け用シート!$A$3:$AN$3000,12,FALSE)))</f>
        <v>#N/A</v>
      </c>
      <c r="AF214" s="80" t="e">
        <f>IF(VLOOKUP($AB214,変換表貼り付け用シート!$A$3:$AN$3000,13,FALSE)="","",(VLOOKUP($AB214,変換表貼り付け用シート!$A$3:$AN$3000,13,FALSE)))</f>
        <v>#N/A</v>
      </c>
      <c r="AG214" s="80" t="e">
        <f>IF(VLOOKUP($AB214,変換表貼り付け用シート!$A$3:$AN$3000,14,FALSE)="","",(VLOOKUP($AB214,変換表貼り付け用シート!$A$3:$AN$3000,14,FALSE)))</f>
        <v>#N/A</v>
      </c>
      <c r="AH214" s="85" t="e">
        <f>IF(VLOOKUP($AB214,変換表貼り付け用シート!$A$3:$AN$3000,15,FALSE)="","",(VLOOKUP($AB214,変換表貼り付け用シート!$A$3:$AN$3000,15,FALSE)))</f>
        <v>#N/A</v>
      </c>
      <c r="AI214" s="79" t="e">
        <f>IF(VLOOKUP($AB214,変換表貼り付け用シート!$A$3:$AN$3000,16,FALSE)="","",(VLOOKUP($AB214,変換表貼り付け用シート!$A$3:$AN$3000,16,FALSE)))</f>
        <v>#N/A</v>
      </c>
      <c r="AJ214" s="81" t="e">
        <f>IF(VLOOKUP($AB214,変換表貼り付け用シート!$A$3:$AN$3000,17,FALSE)="","",(VLOOKUP($AB214,変換表貼り付け用シート!$A$3:$AN$3000,17,FALSE)))</f>
        <v>#N/A</v>
      </c>
      <c r="AK214" s="88" t="e">
        <f>IF(VLOOKUP($AB214,変換表貼り付け用シート!$A$3:$AN$3000,18,FALSE)="","",(VLOOKUP($AB214,変換表貼り付け用シート!$A$3:$AN$3000,18,FALSE)))</f>
        <v>#N/A</v>
      </c>
      <c r="AL214" s="81" t="e">
        <f>IF(VLOOKUP($AB214,変換表貼り付け用シート!$A$3:$AN$3000,19,FALSE)="","",(VLOOKUP($AB214,変換表貼り付け用シート!$A$3:$AN$3000,19,FALSE)))</f>
        <v>#N/A</v>
      </c>
      <c r="AM214" s="75" t="e">
        <f>IF(VLOOKUP($AB214,変換表貼り付け用シート!$A$3:$AN$3000,20,FALSE)="","",(VLOOKUP($AB214,変換表貼り付け用シート!$A$3:$AN$3000,20,FALSE)))</f>
        <v>#N/A</v>
      </c>
    </row>
    <row r="215" spans="2:39" ht="21" customHeight="1" x14ac:dyDescent="0.35">
      <c r="B215" s="39"/>
      <c r="C215" s="117" t="s">
        <v>919</v>
      </c>
      <c r="D215" s="96" t="s">
        <v>417</v>
      </c>
      <c r="E215" s="27" t="s">
        <v>44</v>
      </c>
      <c r="F215" s="37" t="s">
        <v>45</v>
      </c>
      <c r="G215" s="33" t="s">
        <v>206</v>
      </c>
      <c r="H215" s="27" t="s">
        <v>314</v>
      </c>
      <c r="I215" s="27" t="s">
        <v>206</v>
      </c>
      <c r="J215" s="37" t="s">
        <v>314</v>
      </c>
      <c r="K215" s="39" t="s">
        <v>184</v>
      </c>
      <c r="L215" s="28" t="s">
        <v>194</v>
      </c>
      <c r="M215" s="28" t="s">
        <v>48</v>
      </c>
      <c r="N215" s="41" t="s">
        <v>192</v>
      </c>
      <c r="O215" s="39" t="s">
        <v>108</v>
      </c>
      <c r="P215" s="28"/>
      <c r="Q215" s="28"/>
      <c r="R215" s="41"/>
      <c r="S215" s="39"/>
      <c r="T215" s="41"/>
      <c r="U215" s="39"/>
      <c r="V215" s="41"/>
      <c r="W215" s="43" t="s">
        <v>711</v>
      </c>
      <c r="X215" s="33"/>
      <c r="Y215" s="27"/>
      <c r="Z215" s="29"/>
      <c r="AB215" s="73" t="str">
        <f t="shared" si="6"/>
        <v>HV BATTDCハーネスの抵抗－</v>
      </c>
      <c r="AC215" s="74" t="e">
        <f>VLOOKUP($AB215,変換表貼り付け用シート!$A$3:$AN$1133,3,FALSE)</f>
        <v>#N/A</v>
      </c>
      <c r="AD215" s="74" t="e">
        <f t="shared" si="7"/>
        <v>#N/A</v>
      </c>
      <c r="AE215" s="79" t="e">
        <f>IF(VLOOKUP($AB215,変換表貼り付け用シート!$A$3:$AN$3000,12,FALSE)="","",(VLOOKUP($AB215,変換表貼り付け用シート!$A$3:$AN$3000,12,FALSE)))</f>
        <v>#N/A</v>
      </c>
      <c r="AF215" s="80" t="e">
        <f>IF(VLOOKUP($AB215,変換表貼り付け用シート!$A$3:$AN$3000,13,FALSE)="","",(VLOOKUP($AB215,変換表貼り付け用シート!$A$3:$AN$3000,13,FALSE)))</f>
        <v>#N/A</v>
      </c>
      <c r="AG215" s="80" t="e">
        <f>IF(VLOOKUP($AB215,変換表貼り付け用シート!$A$3:$AN$3000,14,FALSE)="","",(VLOOKUP($AB215,変換表貼り付け用シート!$A$3:$AN$3000,14,FALSE)))</f>
        <v>#N/A</v>
      </c>
      <c r="AH215" s="85" t="e">
        <f>IF(VLOOKUP($AB215,変換表貼り付け用シート!$A$3:$AN$3000,15,FALSE)="","",(VLOOKUP($AB215,変換表貼り付け用シート!$A$3:$AN$3000,15,FALSE)))</f>
        <v>#N/A</v>
      </c>
      <c r="AI215" s="79" t="e">
        <f>IF(VLOOKUP($AB215,変換表貼り付け用シート!$A$3:$AN$3000,16,FALSE)="","",(VLOOKUP($AB215,変換表貼り付け用シート!$A$3:$AN$3000,16,FALSE)))</f>
        <v>#N/A</v>
      </c>
      <c r="AJ215" s="81" t="e">
        <f>IF(VLOOKUP($AB215,変換表貼り付け用シート!$A$3:$AN$3000,17,FALSE)="","",(VLOOKUP($AB215,変換表貼り付け用シート!$A$3:$AN$3000,17,FALSE)))</f>
        <v>#N/A</v>
      </c>
      <c r="AK215" s="88" t="e">
        <f>IF(VLOOKUP($AB215,変換表貼り付け用シート!$A$3:$AN$3000,18,FALSE)="","",(VLOOKUP($AB215,変換表貼り付け用シート!$A$3:$AN$3000,18,FALSE)))</f>
        <v>#N/A</v>
      </c>
      <c r="AL215" s="81" t="e">
        <f>IF(VLOOKUP($AB215,変換表貼り付け用シート!$A$3:$AN$3000,19,FALSE)="","",(VLOOKUP($AB215,変換表貼り付け用シート!$A$3:$AN$3000,19,FALSE)))</f>
        <v>#N/A</v>
      </c>
      <c r="AM215" s="75" t="e">
        <f>IF(VLOOKUP($AB215,変換表貼り付け用シート!$A$3:$AN$3000,20,FALSE)="","",(VLOOKUP($AB215,変換表貼り付け用シート!$A$3:$AN$3000,20,FALSE)))</f>
        <v>#N/A</v>
      </c>
    </row>
    <row r="216" spans="2:39" ht="21" customHeight="1" x14ac:dyDescent="0.35">
      <c r="B216" s="39"/>
      <c r="C216" s="117" t="s">
        <v>920</v>
      </c>
      <c r="D216" s="96" t="s">
        <v>418</v>
      </c>
      <c r="E216" s="27" t="s">
        <v>44</v>
      </c>
      <c r="F216" s="37" t="s">
        <v>45</v>
      </c>
      <c r="G216" s="33" t="s">
        <v>206</v>
      </c>
      <c r="H216" s="27" t="s">
        <v>419</v>
      </c>
      <c r="I216" s="27" t="s">
        <v>206</v>
      </c>
      <c r="J216" s="37" t="s">
        <v>419</v>
      </c>
      <c r="K216" s="39" t="s">
        <v>46</v>
      </c>
      <c r="L216" s="28" t="s">
        <v>47</v>
      </c>
      <c r="M216" s="28" t="s">
        <v>48</v>
      </c>
      <c r="N216" s="41" t="s">
        <v>49</v>
      </c>
      <c r="O216" s="39">
        <v>1102</v>
      </c>
      <c r="P216" s="28"/>
      <c r="Q216" s="28"/>
      <c r="R216" s="41"/>
      <c r="S216" s="39"/>
      <c r="T216" s="41"/>
      <c r="U216" s="39"/>
      <c r="V216" s="41"/>
      <c r="W216" s="43" t="s">
        <v>711</v>
      </c>
      <c r="X216" s="33"/>
      <c r="Y216" s="27"/>
      <c r="Z216" s="29"/>
      <c r="AB216" s="73" t="str">
        <f t="shared" si="6"/>
        <v>Vehicle WeightMin.C.W.－</v>
      </c>
      <c r="AC216" s="74" t="e">
        <f>VLOOKUP($AB216,変換表貼り付け用シート!$A$3:$AN$1133,3,FALSE)</f>
        <v>#N/A</v>
      </c>
      <c r="AD216" s="74" t="e">
        <f t="shared" si="7"/>
        <v>#N/A</v>
      </c>
      <c r="AE216" s="79" t="e">
        <f>IF(VLOOKUP($AB216,変換表貼り付け用シート!$A$3:$AN$3000,12,FALSE)="","",(VLOOKUP($AB216,変換表貼り付け用シート!$A$3:$AN$3000,12,FALSE)))</f>
        <v>#N/A</v>
      </c>
      <c r="AF216" s="80" t="e">
        <f>IF(VLOOKUP($AB216,変換表貼り付け用シート!$A$3:$AN$3000,13,FALSE)="","",(VLOOKUP($AB216,変換表貼り付け用シート!$A$3:$AN$3000,13,FALSE)))</f>
        <v>#N/A</v>
      </c>
      <c r="AG216" s="80" t="e">
        <f>IF(VLOOKUP($AB216,変換表貼り付け用シート!$A$3:$AN$3000,14,FALSE)="","",(VLOOKUP($AB216,変換表貼り付け用シート!$A$3:$AN$3000,14,FALSE)))</f>
        <v>#N/A</v>
      </c>
      <c r="AH216" s="85" t="e">
        <f>IF(VLOOKUP($AB216,変換表貼り付け用シート!$A$3:$AN$3000,15,FALSE)="","",(VLOOKUP($AB216,変換表貼り付け用シート!$A$3:$AN$3000,15,FALSE)))</f>
        <v>#N/A</v>
      </c>
      <c r="AI216" s="79" t="e">
        <f>IF(VLOOKUP($AB216,変換表貼り付け用シート!$A$3:$AN$3000,16,FALSE)="","",(VLOOKUP($AB216,変換表貼り付け用シート!$A$3:$AN$3000,16,FALSE)))</f>
        <v>#N/A</v>
      </c>
      <c r="AJ216" s="81" t="e">
        <f>IF(VLOOKUP($AB216,変換表貼り付け用シート!$A$3:$AN$3000,17,FALSE)="","",(VLOOKUP($AB216,変換表貼り付け用シート!$A$3:$AN$3000,17,FALSE)))</f>
        <v>#N/A</v>
      </c>
      <c r="AK216" s="88" t="e">
        <f>IF(VLOOKUP($AB216,変換表貼り付け用シート!$A$3:$AN$3000,18,FALSE)="","",(VLOOKUP($AB216,変換表貼り付け用シート!$A$3:$AN$3000,18,FALSE)))</f>
        <v>#N/A</v>
      </c>
      <c r="AL216" s="81" t="e">
        <f>IF(VLOOKUP($AB216,変換表貼り付け用シート!$A$3:$AN$3000,19,FALSE)="","",(VLOOKUP($AB216,変換表貼り付け用シート!$A$3:$AN$3000,19,FALSE)))</f>
        <v>#N/A</v>
      </c>
      <c r="AM216" s="75" t="e">
        <f>IF(VLOOKUP($AB216,変換表貼り付け用シート!$A$3:$AN$3000,20,FALSE)="","",(VLOOKUP($AB216,変換表貼り付け用シート!$A$3:$AN$3000,20,FALSE)))</f>
        <v>#N/A</v>
      </c>
    </row>
    <row r="217" spans="2:39" ht="21" customHeight="1" x14ac:dyDescent="0.35">
      <c r="B217" s="39"/>
      <c r="C217" s="117" t="s">
        <v>921</v>
      </c>
      <c r="D217" s="96" t="s">
        <v>420</v>
      </c>
      <c r="E217" s="27" t="s">
        <v>44</v>
      </c>
      <c r="F217" s="37" t="s">
        <v>45</v>
      </c>
      <c r="G217" s="33" t="s">
        <v>206</v>
      </c>
      <c r="H217" s="27" t="s">
        <v>419</v>
      </c>
      <c r="I217" s="27" t="s">
        <v>206</v>
      </c>
      <c r="J217" s="37" t="s">
        <v>419</v>
      </c>
      <c r="K217" s="39" t="s">
        <v>46</v>
      </c>
      <c r="L217" s="28" t="s">
        <v>50</v>
      </c>
      <c r="M217" s="28" t="s">
        <v>48</v>
      </c>
      <c r="N217" s="41" t="s">
        <v>49</v>
      </c>
      <c r="O217" s="39">
        <v>1116</v>
      </c>
      <c r="P217" s="28"/>
      <c r="Q217" s="28"/>
      <c r="R217" s="41"/>
      <c r="S217" s="39"/>
      <c r="T217" s="41"/>
      <c r="U217" s="39"/>
      <c r="V217" s="41"/>
      <c r="W217" s="43" t="s">
        <v>711</v>
      </c>
      <c r="X217" s="33"/>
      <c r="Y217" s="27"/>
      <c r="Z217" s="29"/>
      <c r="AB217" s="73" t="str">
        <f t="shared" si="6"/>
        <v>Vehicle WeightMax.C.W.－</v>
      </c>
      <c r="AC217" s="74" t="e">
        <f>VLOOKUP($AB217,変換表貼り付け用シート!$A$3:$AN$1133,3,FALSE)</f>
        <v>#N/A</v>
      </c>
      <c r="AD217" s="74" t="e">
        <f t="shared" si="7"/>
        <v>#N/A</v>
      </c>
      <c r="AE217" s="79" t="e">
        <f>IF(VLOOKUP($AB217,変換表貼り付け用シート!$A$3:$AN$3000,12,FALSE)="","",(VLOOKUP($AB217,変換表貼り付け用シート!$A$3:$AN$3000,12,FALSE)))</f>
        <v>#N/A</v>
      </c>
      <c r="AF217" s="80" t="e">
        <f>IF(VLOOKUP($AB217,変換表貼り付け用シート!$A$3:$AN$3000,13,FALSE)="","",(VLOOKUP($AB217,変換表貼り付け用シート!$A$3:$AN$3000,13,FALSE)))</f>
        <v>#N/A</v>
      </c>
      <c r="AG217" s="80" t="e">
        <f>IF(VLOOKUP($AB217,変換表貼り付け用シート!$A$3:$AN$3000,14,FALSE)="","",(VLOOKUP($AB217,変換表貼り付け用シート!$A$3:$AN$3000,14,FALSE)))</f>
        <v>#N/A</v>
      </c>
      <c r="AH217" s="85" t="e">
        <f>IF(VLOOKUP($AB217,変換表貼り付け用シート!$A$3:$AN$3000,15,FALSE)="","",(VLOOKUP($AB217,変換表貼り付け用シート!$A$3:$AN$3000,15,FALSE)))</f>
        <v>#N/A</v>
      </c>
      <c r="AI217" s="79" t="e">
        <f>IF(VLOOKUP($AB217,変換表貼り付け用シート!$A$3:$AN$3000,16,FALSE)="","",(VLOOKUP($AB217,変換表貼り付け用シート!$A$3:$AN$3000,16,FALSE)))</f>
        <v>#N/A</v>
      </c>
      <c r="AJ217" s="81" t="e">
        <f>IF(VLOOKUP($AB217,変換表貼り付け用シート!$A$3:$AN$3000,17,FALSE)="","",(VLOOKUP($AB217,変換表貼り付け用シート!$A$3:$AN$3000,17,FALSE)))</f>
        <v>#N/A</v>
      </c>
      <c r="AK217" s="88" t="e">
        <f>IF(VLOOKUP($AB217,変換表貼り付け用シート!$A$3:$AN$3000,18,FALSE)="","",(VLOOKUP($AB217,変換表貼り付け用シート!$A$3:$AN$3000,18,FALSE)))</f>
        <v>#N/A</v>
      </c>
      <c r="AL217" s="81" t="e">
        <f>IF(VLOOKUP($AB217,変換表貼り付け用シート!$A$3:$AN$3000,19,FALSE)="","",(VLOOKUP($AB217,変換表貼り付け用シート!$A$3:$AN$3000,19,FALSE)))</f>
        <v>#N/A</v>
      </c>
      <c r="AM217" s="75" t="e">
        <f>IF(VLOOKUP($AB217,変換表貼り付け用シート!$A$3:$AN$3000,20,FALSE)="","",(VLOOKUP($AB217,変換表貼り付け用シート!$A$3:$AN$3000,20,FALSE)))</f>
        <v>#N/A</v>
      </c>
    </row>
    <row r="218" spans="2:39" ht="21" customHeight="1" x14ac:dyDescent="0.35">
      <c r="B218" s="39"/>
      <c r="C218" s="117" t="s">
        <v>922</v>
      </c>
      <c r="D218" s="96" t="s">
        <v>421</v>
      </c>
      <c r="E218" s="27" t="s">
        <v>44</v>
      </c>
      <c r="F218" s="37" t="s">
        <v>45</v>
      </c>
      <c r="G218" s="33" t="s">
        <v>206</v>
      </c>
      <c r="H218" s="27" t="s">
        <v>419</v>
      </c>
      <c r="I218" s="27" t="s">
        <v>206</v>
      </c>
      <c r="J218" s="37" t="s">
        <v>419</v>
      </c>
      <c r="K218" s="39" t="s">
        <v>46</v>
      </c>
      <c r="L218" s="28" t="s">
        <v>51</v>
      </c>
      <c r="M218" s="28" t="s">
        <v>48</v>
      </c>
      <c r="N218" s="41" t="s">
        <v>49</v>
      </c>
      <c r="O218" s="39">
        <v>1.6</v>
      </c>
      <c r="P218" s="28"/>
      <c r="Q218" s="28"/>
      <c r="R218" s="41"/>
      <c r="S218" s="39"/>
      <c r="T218" s="41"/>
      <c r="U218" s="39"/>
      <c r="V218" s="41"/>
      <c r="W218" s="43" t="s">
        <v>711</v>
      </c>
      <c r="X218" s="33"/>
      <c r="Y218" s="27"/>
      <c r="Z218" s="29"/>
      <c r="AB218" s="73" t="str">
        <f t="shared" si="6"/>
        <v>Vehicle Weightスペアタイヤ&amp;工具 －</v>
      </c>
      <c r="AC218" s="74" t="e">
        <f>VLOOKUP($AB218,変換表貼り付け用シート!$A$3:$AN$1133,3,FALSE)</f>
        <v>#N/A</v>
      </c>
      <c r="AD218" s="74" t="e">
        <f t="shared" si="7"/>
        <v>#N/A</v>
      </c>
      <c r="AE218" s="79" t="e">
        <f>IF(VLOOKUP($AB218,変換表貼り付け用シート!$A$3:$AN$3000,12,FALSE)="","",(VLOOKUP($AB218,変換表貼り付け用シート!$A$3:$AN$3000,12,FALSE)))</f>
        <v>#N/A</v>
      </c>
      <c r="AF218" s="80" t="e">
        <f>IF(VLOOKUP($AB218,変換表貼り付け用シート!$A$3:$AN$3000,13,FALSE)="","",(VLOOKUP($AB218,変換表貼り付け用シート!$A$3:$AN$3000,13,FALSE)))</f>
        <v>#N/A</v>
      </c>
      <c r="AG218" s="80" t="e">
        <f>IF(VLOOKUP($AB218,変換表貼り付け用シート!$A$3:$AN$3000,14,FALSE)="","",(VLOOKUP($AB218,変換表貼り付け用シート!$A$3:$AN$3000,14,FALSE)))</f>
        <v>#N/A</v>
      </c>
      <c r="AH218" s="85" t="e">
        <f>IF(VLOOKUP($AB218,変換表貼り付け用シート!$A$3:$AN$3000,15,FALSE)="","",(VLOOKUP($AB218,変換表貼り付け用シート!$A$3:$AN$3000,15,FALSE)))</f>
        <v>#N/A</v>
      </c>
      <c r="AI218" s="79" t="e">
        <f>IF(VLOOKUP($AB218,変換表貼り付け用シート!$A$3:$AN$3000,16,FALSE)="","",(VLOOKUP($AB218,変換表貼り付け用シート!$A$3:$AN$3000,16,FALSE)))</f>
        <v>#N/A</v>
      </c>
      <c r="AJ218" s="81" t="e">
        <f>IF(VLOOKUP($AB218,変換表貼り付け用シート!$A$3:$AN$3000,17,FALSE)="","",(VLOOKUP($AB218,変換表貼り付け用シート!$A$3:$AN$3000,17,FALSE)))</f>
        <v>#N/A</v>
      </c>
      <c r="AK218" s="88" t="e">
        <f>IF(VLOOKUP($AB218,変換表貼り付け用シート!$A$3:$AN$3000,18,FALSE)="","",(VLOOKUP($AB218,変換表貼り付け用シート!$A$3:$AN$3000,18,FALSE)))</f>
        <v>#N/A</v>
      </c>
      <c r="AL218" s="81" t="e">
        <f>IF(VLOOKUP($AB218,変換表貼り付け用シート!$A$3:$AN$3000,19,FALSE)="","",(VLOOKUP($AB218,変換表貼り付け用シート!$A$3:$AN$3000,19,FALSE)))</f>
        <v>#N/A</v>
      </c>
      <c r="AM218" s="75" t="e">
        <f>IF(VLOOKUP($AB218,変換表貼り付け用シート!$A$3:$AN$3000,20,FALSE)="","",(VLOOKUP($AB218,変換表貼り付け用シート!$A$3:$AN$3000,20,FALSE)))</f>
        <v>#N/A</v>
      </c>
    </row>
    <row r="219" spans="2:39" ht="21" customHeight="1" x14ac:dyDescent="0.35">
      <c r="B219" s="39"/>
      <c r="C219" s="117" t="s">
        <v>923</v>
      </c>
      <c r="D219" s="96" t="s">
        <v>422</v>
      </c>
      <c r="E219" s="27" t="s">
        <v>44</v>
      </c>
      <c r="F219" s="37" t="s">
        <v>45</v>
      </c>
      <c r="G219" s="33" t="s">
        <v>206</v>
      </c>
      <c r="H219" s="27" t="s">
        <v>419</v>
      </c>
      <c r="I219" s="27" t="s">
        <v>206</v>
      </c>
      <c r="J219" s="37" t="s">
        <v>419</v>
      </c>
      <c r="K219" s="39" t="s">
        <v>46</v>
      </c>
      <c r="L219" s="28" t="s">
        <v>52</v>
      </c>
      <c r="M219" s="28" t="s">
        <v>48</v>
      </c>
      <c r="N219" s="41" t="s">
        <v>49</v>
      </c>
      <c r="O219" s="39" t="s">
        <v>53</v>
      </c>
      <c r="P219" s="28"/>
      <c r="Q219" s="28"/>
      <c r="R219" s="41"/>
      <c r="S219" s="39"/>
      <c r="T219" s="41"/>
      <c r="U219" s="39"/>
      <c r="V219" s="41"/>
      <c r="W219" s="43" t="s">
        <v>711</v>
      </c>
      <c r="X219" s="33"/>
      <c r="Y219" s="27"/>
      <c r="Z219" s="29"/>
      <c r="AB219" s="73" t="str">
        <f t="shared" si="6"/>
        <v>Vehicle WeightEPA届出重量－</v>
      </c>
      <c r="AC219" s="74" t="e">
        <f>VLOOKUP($AB219,変換表貼り付け用シート!$A$3:$AN$1133,3,FALSE)</f>
        <v>#N/A</v>
      </c>
      <c r="AD219" s="74" t="e">
        <f t="shared" si="7"/>
        <v>#N/A</v>
      </c>
      <c r="AE219" s="79" t="e">
        <f>IF(VLOOKUP($AB219,変換表貼り付け用シート!$A$3:$AN$3000,12,FALSE)="","",(VLOOKUP($AB219,変換表貼り付け用シート!$A$3:$AN$3000,12,FALSE)))</f>
        <v>#N/A</v>
      </c>
      <c r="AF219" s="80" t="e">
        <f>IF(VLOOKUP($AB219,変換表貼り付け用シート!$A$3:$AN$3000,13,FALSE)="","",(VLOOKUP($AB219,変換表貼り付け用シート!$A$3:$AN$3000,13,FALSE)))</f>
        <v>#N/A</v>
      </c>
      <c r="AG219" s="80" t="e">
        <f>IF(VLOOKUP($AB219,変換表貼り付け用シート!$A$3:$AN$3000,14,FALSE)="","",(VLOOKUP($AB219,変換表貼り付け用シート!$A$3:$AN$3000,14,FALSE)))</f>
        <v>#N/A</v>
      </c>
      <c r="AH219" s="85" t="e">
        <f>IF(VLOOKUP($AB219,変換表貼り付け用シート!$A$3:$AN$3000,15,FALSE)="","",(VLOOKUP($AB219,変換表貼り付け用シート!$A$3:$AN$3000,15,FALSE)))</f>
        <v>#N/A</v>
      </c>
      <c r="AI219" s="79" t="e">
        <f>IF(VLOOKUP($AB219,変換表貼り付け用シート!$A$3:$AN$3000,16,FALSE)="","",(VLOOKUP($AB219,変換表貼り付け用シート!$A$3:$AN$3000,16,FALSE)))</f>
        <v>#N/A</v>
      </c>
      <c r="AJ219" s="81" t="e">
        <f>IF(VLOOKUP($AB219,変換表貼り付け用シート!$A$3:$AN$3000,17,FALSE)="","",(VLOOKUP($AB219,変換表貼り付け用シート!$A$3:$AN$3000,17,FALSE)))</f>
        <v>#N/A</v>
      </c>
      <c r="AK219" s="88" t="e">
        <f>IF(VLOOKUP($AB219,変換表貼り付け用シート!$A$3:$AN$3000,18,FALSE)="","",(VLOOKUP($AB219,変換表貼り付け用シート!$A$3:$AN$3000,18,FALSE)))</f>
        <v>#N/A</v>
      </c>
      <c r="AL219" s="81" t="e">
        <f>IF(VLOOKUP($AB219,変換表貼り付け用シート!$A$3:$AN$3000,19,FALSE)="","",(VLOOKUP($AB219,変換表貼り付け用シート!$A$3:$AN$3000,19,FALSE)))</f>
        <v>#N/A</v>
      </c>
      <c r="AM219" s="75" t="e">
        <f>IF(VLOOKUP($AB219,変換表貼り付け用シート!$A$3:$AN$3000,20,FALSE)="","",(VLOOKUP($AB219,変換表貼り付け用シート!$A$3:$AN$3000,20,FALSE)))</f>
        <v>#N/A</v>
      </c>
    </row>
    <row r="220" spans="2:39" ht="21" customHeight="1" x14ac:dyDescent="0.35">
      <c r="B220" s="39"/>
      <c r="C220" s="117" t="s">
        <v>924</v>
      </c>
      <c r="D220" s="96" t="s">
        <v>423</v>
      </c>
      <c r="E220" s="27" t="s">
        <v>44</v>
      </c>
      <c r="F220" s="37" t="s">
        <v>45</v>
      </c>
      <c r="G220" s="33" t="s">
        <v>206</v>
      </c>
      <c r="H220" s="27" t="s">
        <v>419</v>
      </c>
      <c r="I220" s="27" t="s">
        <v>206</v>
      </c>
      <c r="J220" s="37" t="s">
        <v>419</v>
      </c>
      <c r="K220" s="39" t="s">
        <v>54</v>
      </c>
      <c r="L220" s="28" t="s">
        <v>55</v>
      </c>
      <c r="M220" s="28" t="s">
        <v>48</v>
      </c>
      <c r="N220" s="41" t="s">
        <v>49</v>
      </c>
      <c r="O220" s="39">
        <v>1358</v>
      </c>
      <c r="P220" s="28"/>
      <c r="Q220" s="28"/>
      <c r="R220" s="41"/>
      <c r="S220" s="39"/>
      <c r="T220" s="41"/>
      <c r="U220" s="39"/>
      <c r="V220" s="41"/>
      <c r="W220" s="43" t="s">
        <v>711</v>
      </c>
      <c r="X220" s="33"/>
      <c r="Y220" s="27"/>
      <c r="Z220" s="29"/>
      <c r="AB220" s="73" t="str">
        <f t="shared" si="6"/>
        <v>Vehicle Severe WeightPTW or GVWR－</v>
      </c>
      <c r="AC220" s="74" t="e">
        <f>VLOOKUP($AB220,変換表貼り付け用シート!$A$3:$AN$1133,3,FALSE)</f>
        <v>#N/A</v>
      </c>
      <c r="AD220" s="74" t="e">
        <f t="shared" si="7"/>
        <v>#N/A</v>
      </c>
      <c r="AE220" s="79" t="e">
        <f>IF(VLOOKUP($AB220,変換表貼り付け用シート!$A$3:$AN$3000,12,FALSE)="","",(VLOOKUP($AB220,変換表貼り付け用シート!$A$3:$AN$3000,12,FALSE)))</f>
        <v>#N/A</v>
      </c>
      <c r="AF220" s="80" t="e">
        <f>IF(VLOOKUP($AB220,変換表貼り付け用シート!$A$3:$AN$3000,13,FALSE)="","",(VLOOKUP($AB220,変換表貼り付け用シート!$A$3:$AN$3000,13,FALSE)))</f>
        <v>#N/A</v>
      </c>
      <c r="AG220" s="80" t="e">
        <f>IF(VLOOKUP($AB220,変換表貼り付け用シート!$A$3:$AN$3000,14,FALSE)="","",(VLOOKUP($AB220,変換表貼り付け用シート!$A$3:$AN$3000,14,FALSE)))</f>
        <v>#N/A</v>
      </c>
      <c r="AH220" s="85" t="e">
        <f>IF(VLOOKUP($AB220,変換表貼り付け用シート!$A$3:$AN$3000,15,FALSE)="","",(VLOOKUP($AB220,変換表貼り付け用シート!$A$3:$AN$3000,15,FALSE)))</f>
        <v>#N/A</v>
      </c>
      <c r="AI220" s="79" t="e">
        <f>IF(VLOOKUP($AB220,変換表貼り付け用シート!$A$3:$AN$3000,16,FALSE)="","",(VLOOKUP($AB220,変換表貼り付け用シート!$A$3:$AN$3000,16,FALSE)))</f>
        <v>#N/A</v>
      </c>
      <c r="AJ220" s="81" t="e">
        <f>IF(VLOOKUP($AB220,変換表貼り付け用シート!$A$3:$AN$3000,17,FALSE)="","",(VLOOKUP($AB220,変換表貼り付け用シート!$A$3:$AN$3000,17,FALSE)))</f>
        <v>#N/A</v>
      </c>
      <c r="AK220" s="88" t="e">
        <f>IF(VLOOKUP($AB220,変換表貼り付け用シート!$A$3:$AN$3000,18,FALSE)="","",(VLOOKUP($AB220,変換表貼り付け用シート!$A$3:$AN$3000,18,FALSE)))</f>
        <v>#N/A</v>
      </c>
      <c r="AL220" s="81" t="e">
        <f>IF(VLOOKUP($AB220,変換表貼り付け用シート!$A$3:$AN$3000,19,FALSE)="","",(VLOOKUP($AB220,変換表貼り付け用シート!$A$3:$AN$3000,19,FALSE)))</f>
        <v>#N/A</v>
      </c>
      <c r="AM220" s="75" t="e">
        <f>IF(VLOOKUP($AB220,変換表貼り付け用シート!$A$3:$AN$3000,20,FALSE)="","",(VLOOKUP($AB220,変換表貼り付け用シート!$A$3:$AN$3000,20,FALSE)))</f>
        <v>#N/A</v>
      </c>
    </row>
    <row r="221" spans="2:39" ht="21" customHeight="1" x14ac:dyDescent="0.35">
      <c r="B221" s="39"/>
      <c r="C221" s="117" t="s">
        <v>925</v>
      </c>
      <c r="D221" s="96" t="s">
        <v>424</v>
      </c>
      <c r="E221" s="27" t="s">
        <v>44</v>
      </c>
      <c r="F221" s="37" t="s">
        <v>45</v>
      </c>
      <c r="G221" s="33" t="s">
        <v>206</v>
      </c>
      <c r="H221" s="27" t="s">
        <v>419</v>
      </c>
      <c r="I221" s="27" t="s">
        <v>206</v>
      </c>
      <c r="J221" s="37" t="s">
        <v>419</v>
      </c>
      <c r="K221" s="39" t="s">
        <v>54</v>
      </c>
      <c r="L221" s="28" t="s">
        <v>56</v>
      </c>
      <c r="M221" s="28" t="s">
        <v>48</v>
      </c>
      <c r="N221" s="41" t="s">
        <v>49</v>
      </c>
      <c r="O221" s="39" t="s">
        <v>57</v>
      </c>
      <c r="P221" s="28"/>
      <c r="Q221" s="28"/>
      <c r="R221" s="41"/>
      <c r="S221" s="39"/>
      <c r="T221" s="41"/>
      <c r="U221" s="39"/>
      <c r="V221" s="41"/>
      <c r="W221" s="43" t="s">
        <v>711</v>
      </c>
      <c r="X221" s="33"/>
      <c r="Y221" s="27"/>
      <c r="Z221" s="29"/>
      <c r="AB221" s="73" t="str">
        <f t="shared" si="6"/>
        <v>Vehicle Severe WeightGAWR FR－</v>
      </c>
      <c r="AC221" s="74" t="e">
        <f>VLOOKUP($AB221,変換表貼り付け用シート!$A$3:$AN$1133,3,FALSE)</f>
        <v>#N/A</v>
      </c>
      <c r="AD221" s="74" t="e">
        <f t="shared" si="7"/>
        <v>#N/A</v>
      </c>
      <c r="AE221" s="79" t="e">
        <f>IF(VLOOKUP($AB221,変換表貼り付け用シート!$A$3:$AN$3000,12,FALSE)="","",(VLOOKUP($AB221,変換表貼り付け用シート!$A$3:$AN$3000,12,FALSE)))</f>
        <v>#N/A</v>
      </c>
      <c r="AF221" s="80" t="e">
        <f>IF(VLOOKUP($AB221,変換表貼り付け用シート!$A$3:$AN$3000,13,FALSE)="","",(VLOOKUP($AB221,変換表貼り付け用シート!$A$3:$AN$3000,13,FALSE)))</f>
        <v>#N/A</v>
      </c>
      <c r="AG221" s="80" t="e">
        <f>IF(VLOOKUP($AB221,変換表貼り付け用シート!$A$3:$AN$3000,14,FALSE)="","",(VLOOKUP($AB221,変換表貼り付け用シート!$A$3:$AN$3000,14,FALSE)))</f>
        <v>#N/A</v>
      </c>
      <c r="AH221" s="85" t="e">
        <f>IF(VLOOKUP($AB221,変換表貼り付け用シート!$A$3:$AN$3000,15,FALSE)="","",(VLOOKUP($AB221,変換表貼り付け用シート!$A$3:$AN$3000,15,FALSE)))</f>
        <v>#N/A</v>
      </c>
      <c r="AI221" s="79" t="e">
        <f>IF(VLOOKUP($AB221,変換表貼り付け用シート!$A$3:$AN$3000,16,FALSE)="","",(VLOOKUP($AB221,変換表貼り付け用シート!$A$3:$AN$3000,16,FALSE)))</f>
        <v>#N/A</v>
      </c>
      <c r="AJ221" s="81" t="e">
        <f>IF(VLOOKUP($AB221,変換表貼り付け用シート!$A$3:$AN$3000,17,FALSE)="","",(VLOOKUP($AB221,変換表貼り付け用シート!$A$3:$AN$3000,17,FALSE)))</f>
        <v>#N/A</v>
      </c>
      <c r="AK221" s="88" t="e">
        <f>IF(VLOOKUP($AB221,変換表貼り付け用シート!$A$3:$AN$3000,18,FALSE)="","",(VLOOKUP($AB221,変換表貼り付け用シート!$A$3:$AN$3000,18,FALSE)))</f>
        <v>#N/A</v>
      </c>
      <c r="AL221" s="81" t="e">
        <f>IF(VLOOKUP($AB221,変換表貼り付け用シート!$A$3:$AN$3000,19,FALSE)="","",(VLOOKUP($AB221,変換表貼り付け用シート!$A$3:$AN$3000,19,FALSE)))</f>
        <v>#N/A</v>
      </c>
      <c r="AM221" s="75" t="e">
        <f>IF(VLOOKUP($AB221,変換表貼り付け用シート!$A$3:$AN$3000,20,FALSE)="","",(VLOOKUP($AB221,変換表貼り付け用シート!$A$3:$AN$3000,20,FALSE)))</f>
        <v>#N/A</v>
      </c>
    </row>
    <row r="222" spans="2:39" ht="21" customHeight="1" x14ac:dyDescent="0.35">
      <c r="B222" s="39"/>
      <c r="C222" s="117" t="s">
        <v>926</v>
      </c>
      <c r="D222" s="96" t="s">
        <v>425</v>
      </c>
      <c r="E222" s="27" t="s">
        <v>44</v>
      </c>
      <c r="F222" s="37" t="s">
        <v>45</v>
      </c>
      <c r="G222" s="33" t="s">
        <v>206</v>
      </c>
      <c r="H222" s="27" t="s">
        <v>419</v>
      </c>
      <c r="I222" s="27" t="s">
        <v>206</v>
      </c>
      <c r="J222" s="37" t="s">
        <v>419</v>
      </c>
      <c r="K222" s="39" t="s">
        <v>54</v>
      </c>
      <c r="L222" s="28" t="s">
        <v>58</v>
      </c>
      <c r="M222" s="28" t="s">
        <v>48</v>
      </c>
      <c r="N222" s="41" t="s">
        <v>49</v>
      </c>
      <c r="O222" s="39" t="s">
        <v>57</v>
      </c>
      <c r="P222" s="28"/>
      <c r="Q222" s="28"/>
      <c r="R222" s="41"/>
      <c r="S222" s="39"/>
      <c r="T222" s="41"/>
      <c r="U222" s="39"/>
      <c r="V222" s="41"/>
      <c r="W222" s="43" t="s">
        <v>711</v>
      </c>
      <c r="X222" s="33"/>
      <c r="Y222" s="27"/>
      <c r="Z222" s="29"/>
      <c r="AB222" s="73" t="str">
        <f t="shared" si="6"/>
        <v>Vehicle Severe WeightGAWR RR－</v>
      </c>
      <c r="AC222" s="74" t="e">
        <f>VLOOKUP($AB222,変換表貼り付け用シート!$A$3:$AN$1133,3,FALSE)</f>
        <v>#N/A</v>
      </c>
      <c r="AD222" s="74" t="e">
        <f t="shared" si="7"/>
        <v>#N/A</v>
      </c>
      <c r="AE222" s="79" t="e">
        <f>IF(VLOOKUP($AB222,変換表貼り付け用シート!$A$3:$AN$3000,12,FALSE)="","",(VLOOKUP($AB222,変換表貼り付け用シート!$A$3:$AN$3000,12,FALSE)))</f>
        <v>#N/A</v>
      </c>
      <c r="AF222" s="80" t="e">
        <f>IF(VLOOKUP($AB222,変換表貼り付け用シート!$A$3:$AN$3000,13,FALSE)="","",(VLOOKUP($AB222,変換表貼り付け用シート!$A$3:$AN$3000,13,FALSE)))</f>
        <v>#N/A</v>
      </c>
      <c r="AG222" s="80" t="e">
        <f>IF(VLOOKUP($AB222,変換表貼り付け用シート!$A$3:$AN$3000,14,FALSE)="","",(VLOOKUP($AB222,変換表貼り付け用シート!$A$3:$AN$3000,14,FALSE)))</f>
        <v>#N/A</v>
      </c>
      <c r="AH222" s="85" t="e">
        <f>IF(VLOOKUP($AB222,変換表貼り付け用シート!$A$3:$AN$3000,15,FALSE)="","",(VLOOKUP($AB222,変換表貼り付け用シート!$A$3:$AN$3000,15,FALSE)))</f>
        <v>#N/A</v>
      </c>
      <c r="AI222" s="79" t="e">
        <f>IF(VLOOKUP($AB222,変換表貼り付け用シート!$A$3:$AN$3000,16,FALSE)="","",(VLOOKUP($AB222,変換表貼り付け用シート!$A$3:$AN$3000,16,FALSE)))</f>
        <v>#N/A</v>
      </c>
      <c r="AJ222" s="81" t="e">
        <f>IF(VLOOKUP($AB222,変換表貼り付け用シート!$A$3:$AN$3000,17,FALSE)="","",(VLOOKUP($AB222,変換表貼り付け用シート!$A$3:$AN$3000,17,FALSE)))</f>
        <v>#N/A</v>
      </c>
      <c r="AK222" s="88" t="e">
        <f>IF(VLOOKUP($AB222,変換表貼り付け用シート!$A$3:$AN$3000,18,FALSE)="","",(VLOOKUP($AB222,変換表貼り付け用シート!$A$3:$AN$3000,18,FALSE)))</f>
        <v>#N/A</v>
      </c>
      <c r="AL222" s="81" t="e">
        <f>IF(VLOOKUP($AB222,変換表貼り付け用シート!$A$3:$AN$3000,19,FALSE)="","",(VLOOKUP($AB222,変換表貼り付け用シート!$A$3:$AN$3000,19,FALSE)))</f>
        <v>#N/A</v>
      </c>
      <c r="AM222" s="75" t="e">
        <f>IF(VLOOKUP($AB222,変換表貼り付け用シート!$A$3:$AN$3000,20,FALSE)="","",(VLOOKUP($AB222,変換表貼り付け用シート!$A$3:$AN$3000,20,FALSE)))</f>
        <v>#N/A</v>
      </c>
    </row>
    <row r="223" spans="2:39" ht="21" customHeight="1" x14ac:dyDescent="0.35">
      <c r="B223" s="39"/>
      <c r="C223" s="117" t="s">
        <v>927</v>
      </c>
      <c r="D223" s="96" t="s">
        <v>426</v>
      </c>
      <c r="E223" s="27" t="s">
        <v>44</v>
      </c>
      <c r="F223" s="37" t="s">
        <v>45</v>
      </c>
      <c r="G223" s="33" t="s">
        <v>206</v>
      </c>
      <c r="H223" s="27" t="s">
        <v>419</v>
      </c>
      <c r="I223" s="27" t="s">
        <v>206</v>
      </c>
      <c r="J223" s="37" t="s">
        <v>419</v>
      </c>
      <c r="K223" s="39" t="s">
        <v>54</v>
      </c>
      <c r="L223" s="28" t="s">
        <v>59</v>
      </c>
      <c r="M223" s="28" t="s">
        <v>48</v>
      </c>
      <c r="N223" s="41" t="s">
        <v>49</v>
      </c>
      <c r="O223" s="39" t="s">
        <v>53</v>
      </c>
      <c r="P223" s="28"/>
      <c r="Q223" s="28"/>
      <c r="R223" s="41"/>
      <c r="S223" s="39"/>
      <c r="T223" s="41"/>
      <c r="U223" s="39"/>
      <c r="V223" s="41"/>
      <c r="W223" s="43" t="s">
        <v>711</v>
      </c>
      <c r="X223" s="33"/>
      <c r="Y223" s="27"/>
      <c r="Z223" s="29"/>
      <c r="AB223" s="73" t="str">
        <f t="shared" si="6"/>
        <v>Vehicle Severe WeightTowing－</v>
      </c>
      <c r="AC223" s="74" t="e">
        <f>VLOOKUP($AB223,変換表貼り付け用シート!$A$3:$AN$1133,3,FALSE)</f>
        <v>#N/A</v>
      </c>
      <c r="AD223" s="74" t="e">
        <f t="shared" si="7"/>
        <v>#N/A</v>
      </c>
      <c r="AE223" s="79" t="e">
        <f>IF(VLOOKUP($AB223,変換表貼り付け用シート!$A$3:$AN$3000,12,FALSE)="","",(VLOOKUP($AB223,変換表貼り付け用シート!$A$3:$AN$3000,12,FALSE)))</f>
        <v>#N/A</v>
      </c>
      <c r="AF223" s="80" t="e">
        <f>IF(VLOOKUP($AB223,変換表貼り付け用シート!$A$3:$AN$3000,13,FALSE)="","",(VLOOKUP($AB223,変換表貼り付け用シート!$A$3:$AN$3000,13,FALSE)))</f>
        <v>#N/A</v>
      </c>
      <c r="AG223" s="80" t="e">
        <f>IF(VLOOKUP($AB223,変換表貼り付け用シート!$A$3:$AN$3000,14,FALSE)="","",(VLOOKUP($AB223,変換表貼り付け用シート!$A$3:$AN$3000,14,FALSE)))</f>
        <v>#N/A</v>
      </c>
      <c r="AH223" s="85" t="e">
        <f>IF(VLOOKUP($AB223,変換表貼り付け用シート!$A$3:$AN$3000,15,FALSE)="","",(VLOOKUP($AB223,変換表貼り付け用シート!$A$3:$AN$3000,15,FALSE)))</f>
        <v>#N/A</v>
      </c>
      <c r="AI223" s="79" t="e">
        <f>IF(VLOOKUP($AB223,変換表貼り付け用シート!$A$3:$AN$3000,16,FALSE)="","",(VLOOKUP($AB223,変換表貼り付け用シート!$A$3:$AN$3000,16,FALSE)))</f>
        <v>#N/A</v>
      </c>
      <c r="AJ223" s="81" t="e">
        <f>IF(VLOOKUP($AB223,変換表貼り付け用シート!$A$3:$AN$3000,17,FALSE)="","",(VLOOKUP($AB223,変換表貼り付け用シート!$A$3:$AN$3000,17,FALSE)))</f>
        <v>#N/A</v>
      </c>
      <c r="AK223" s="88" t="e">
        <f>IF(VLOOKUP($AB223,変換表貼り付け用シート!$A$3:$AN$3000,18,FALSE)="","",(VLOOKUP($AB223,変換表貼り付け用シート!$A$3:$AN$3000,18,FALSE)))</f>
        <v>#N/A</v>
      </c>
      <c r="AL223" s="81" t="e">
        <f>IF(VLOOKUP($AB223,変換表貼り付け用シート!$A$3:$AN$3000,19,FALSE)="","",(VLOOKUP($AB223,変換表貼り付け用シート!$A$3:$AN$3000,19,FALSE)))</f>
        <v>#N/A</v>
      </c>
      <c r="AM223" s="75" t="e">
        <f>IF(VLOOKUP($AB223,変換表貼り付け用シート!$A$3:$AN$3000,20,FALSE)="","",(VLOOKUP($AB223,変換表貼り付け用シート!$A$3:$AN$3000,20,FALSE)))</f>
        <v>#N/A</v>
      </c>
    </row>
    <row r="224" spans="2:39" ht="21" customHeight="1" x14ac:dyDescent="0.35">
      <c r="B224" s="39"/>
      <c r="C224" s="117" t="s">
        <v>928</v>
      </c>
      <c r="D224" s="96" t="s">
        <v>427</v>
      </c>
      <c r="E224" s="27" t="s">
        <v>44</v>
      </c>
      <c r="F224" s="37" t="s">
        <v>45</v>
      </c>
      <c r="G224" s="33" t="s">
        <v>206</v>
      </c>
      <c r="H224" s="27" t="s">
        <v>419</v>
      </c>
      <c r="I224" s="27" t="s">
        <v>206</v>
      </c>
      <c r="J224" s="37" t="s">
        <v>419</v>
      </c>
      <c r="K224" s="39" t="s">
        <v>60</v>
      </c>
      <c r="L224" s="28" t="s">
        <v>61</v>
      </c>
      <c r="M224" s="28" t="s">
        <v>48</v>
      </c>
      <c r="N224" s="41" t="s">
        <v>48</v>
      </c>
      <c r="O224" s="100" t="s">
        <v>216</v>
      </c>
      <c r="P224" s="28"/>
      <c r="Q224" s="28"/>
      <c r="R224" s="41"/>
      <c r="S224" s="39"/>
      <c r="T224" s="41"/>
      <c r="U224" s="39"/>
      <c r="V224" s="41"/>
      <c r="W224" s="43" t="s">
        <v>711</v>
      </c>
      <c r="X224" s="33"/>
      <c r="Y224" s="27"/>
      <c r="Z224" s="29"/>
      <c r="AB224" s="73" t="str">
        <f t="shared" si="6"/>
        <v>空力Cd －</v>
      </c>
      <c r="AC224" s="74" t="e">
        <f>VLOOKUP($AB224,変換表貼り付け用シート!$A$3:$AN$1133,3,FALSE)</f>
        <v>#N/A</v>
      </c>
      <c r="AD224" s="74" t="e">
        <f t="shared" si="7"/>
        <v>#N/A</v>
      </c>
      <c r="AE224" s="79" t="e">
        <f>IF(VLOOKUP($AB224,変換表貼り付け用シート!$A$3:$AN$3000,12,FALSE)="","",(VLOOKUP($AB224,変換表貼り付け用シート!$A$3:$AN$3000,12,FALSE)))</f>
        <v>#N/A</v>
      </c>
      <c r="AF224" s="80" t="e">
        <f>IF(VLOOKUP($AB224,変換表貼り付け用シート!$A$3:$AN$3000,13,FALSE)="","",(VLOOKUP($AB224,変換表貼り付け用シート!$A$3:$AN$3000,13,FALSE)))</f>
        <v>#N/A</v>
      </c>
      <c r="AG224" s="80" t="e">
        <f>IF(VLOOKUP($AB224,変換表貼り付け用シート!$A$3:$AN$3000,14,FALSE)="","",(VLOOKUP($AB224,変換表貼り付け用シート!$A$3:$AN$3000,14,FALSE)))</f>
        <v>#N/A</v>
      </c>
      <c r="AH224" s="85" t="e">
        <f>IF(VLOOKUP($AB224,変換表貼り付け用シート!$A$3:$AN$3000,15,FALSE)="","",(VLOOKUP($AB224,変換表貼り付け用シート!$A$3:$AN$3000,15,FALSE)))</f>
        <v>#N/A</v>
      </c>
      <c r="AI224" s="79" t="e">
        <f>IF(VLOOKUP($AB224,変換表貼り付け用シート!$A$3:$AN$3000,16,FALSE)="","",(VLOOKUP($AB224,変換表貼り付け用シート!$A$3:$AN$3000,16,FALSE)))</f>
        <v>#N/A</v>
      </c>
      <c r="AJ224" s="81" t="e">
        <f>IF(VLOOKUP($AB224,変換表貼り付け用シート!$A$3:$AN$3000,17,FALSE)="","",(VLOOKUP($AB224,変換表貼り付け用シート!$A$3:$AN$3000,17,FALSE)))</f>
        <v>#N/A</v>
      </c>
      <c r="AK224" s="88" t="e">
        <f>IF(VLOOKUP($AB224,変換表貼り付け用シート!$A$3:$AN$3000,18,FALSE)="","",(VLOOKUP($AB224,変換表貼り付け用シート!$A$3:$AN$3000,18,FALSE)))</f>
        <v>#N/A</v>
      </c>
      <c r="AL224" s="81" t="e">
        <f>IF(VLOOKUP($AB224,変換表貼り付け用シート!$A$3:$AN$3000,19,FALSE)="","",(VLOOKUP($AB224,変換表貼り付け用シート!$A$3:$AN$3000,19,FALSE)))</f>
        <v>#N/A</v>
      </c>
      <c r="AM224" s="75" t="e">
        <f>IF(VLOOKUP($AB224,変換表貼り付け用シート!$A$3:$AN$3000,20,FALSE)="","",(VLOOKUP($AB224,変換表貼り付け用シート!$A$3:$AN$3000,20,FALSE)))</f>
        <v>#N/A</v>
      </c>
    </row>
    <row r="225" spans="2:39" ht="21" customHeight="1" x14ac:dyDescent="0.35">
      <c r="B225" s="39"/>
      <c r="C225" s="117" t="s">
        <v>929</v>
      </c>
      <c r="D225" s="96" t="s">
        <v>428</v>
      </c>
      <c r="E225" s="27" t="s">
        <v>44</v>
      </c>
      <c r="F225" s="37" t="s">
        <v>45</v>
      </c>
      <c r="G225" s="33" t="s">
        <v>206</v>
      </c>
      <c r="H225" s="27" t="s">
        <v>419</v>
      </c>
      <c r="I225" s="27" t="s">
        <v>206</v>
      </c>
      <c r="J225" s="37" t="s">
        <v>419</v>
      </c>
      <c r="K225" s="39" t="s">
        <v>60</v>
      </c>
      <c r="L225" s="28" t="s">
        <v>62</v>
      </c>
      <c r="M225" s="28" t="s">
        <v>48</v>
      </c>
      <c r="N225" s="41" t="s">
        <v>63</v>
      </c>
      <c r="O225" s="39">
        <v>2.21</v>
      </c>
      <c r="P225" s="28"/>
      <c r="Q225" s="28"/>
      <c r="R225" s="41"/>
      <c r="S225" s="39"/>
      <c r="T225" s="41"/>
      <c r="U225" s="39"/>
      <c r="V225" s="41"/>
      <c r="W225" s="43" t="s">
        <v>711</v>
      </c>
      <c r="X225" s="33"/>
      <c r="Y225" s="27"/>
      <c r="Z225" s="29"/>
      <c r="AB225" s="73" t="str">
        <f t="shared" si="6"/>
        <v>空力A－</v>
      </c>
      <c r="AC225" s="74" t="e">
        <f>VLOOKUP($AB225,変換表貼り付け用シート!$A$3:$AN$1133,3,FALSE)</f>
        <v>#N/A</v>
      </c>
      <c r="AD225" s="74" t="e">
        <f t="shared" si="7"/>
        <v>#N/A</v>
      </c>
      <c r="AE225" s="79" t="e">
        <f>IF(VLOOKUP($AB225,変換表貼り付け用シート!$A$3:$AN$3000,12,FALSE)="","",(VLOOKUP($AB225,変換表貼り付け用シート!$A$3:$AN$3000,12,FALSE)))</f>
        <v>#N/A</v>
      </c>
      <c r="AF225" s="80" t="e">
        <f>IF(VLOOKUP($AB225,変換表貼り付け用シート!$A$3:$AN$3000,13,FALSE)="","",(VLOOKUP($AB225,変換表貼り付け用シート!$A$3:$AN$3000,13,FALSE)))</f>
        <v>#N/A</v>
      </c>
      <c r="AG225" s="80" t="e">
        <f>IF(VLOOKUP($AB225,変換表貼り付け用シート!$A$3:$AN$3000,14,FALSE)="","",(VLOOKUP($AB225,変換表貼り付け用シート!$A$3:$AN$3000,14,FALSE)))</f>
        <v>#N/A</v>
      </c>
      <c r="AH225" s="85" t="e">
        <f>IF(VLOOKUP($AB225,変換表貼り付け用シート!$A$3:$AN$3000,15,FALSE)="","",(VLOOKUP($AB225,変換表貼り付け用シート!$A$3:$AN$3000,15,FALSE)))</f>
        <v>#N/A</v>
      </c>
      <c r="AI225" s="79" t="e">
        <f>IF(VLOOKUP($AB225,変換表貼り付け用シート!$A$3:$AN$3000,16,FALSE)="","",(VLOOKUP($AB225,変換表貼り付け用シート!$A$3:$AN$3000,16,FALSE)))</f>
        <v>#N/A</v>
      </c>
      <c r="AJ225" s="81" t="e">
        <f>IF(VLOOKUP($AB225,変換表貼り付け用シート!$A$3:$AN$3000,17,FALSE)="","",(VLOOKUP($AB225,変換表貼り付け用シート!$A$3:$AN$3000,17,FALSE)))</f>
        <v>#N/A</v>
      </c>
      <c r="AK225" s="88" t="e">
        <f>IF(VLOOKUP($AB225,変換表貼り付け用シート!$A$3:$AN$3000,18,FALSE)="","",(VLOOKUP($AB225,変換表貼り付け用シート!$A$3:$AN$3000,18,FALSE)))</f>
        <v>#N/A</v>
      </c>
      <c r="AL225" s="81" t="e">
        <f>IF(VLOOKUP($AB225,変換表貼り付け用シート!$A$3:$AN$3000,19,FALSE)="","",(VLOOKUP($AB225,変換表貼り付け用シート!$A$3:$AN$3000,19,FALSE)))</f>
        <v>#N/A</v>
      </c>
      <c r="AM225" s="75" t="e">
        <f>IF(VLOOKUP($AB225,変換表貼り付け用シート!$A$3:$AN$3000,20,FALSE)="","",(VLOOKUP($AB225,変換表貼り付け用シート!$A$3:$AN$3000,20,FALSE)))</f>
        <v>#N/A</v>
      </c>
    </row>
    <row r="226" spans="2:39" ht="21" customHeight="1" x14ac:dyDescent="0.35">
      <c r="B226" s="39"/>
      <c r="C226" s="117" t="s">
        <v>930</v>
      </c>
      <c r="D226" s="96" t="s">
        <v>429</v>
      </c>
      <c r="E226" s="27" t="s">
        <v>44</v>
      </c>
      <c r="F226" s="37" t="s">
        <v>45</v>
      </c>
      <c r="G226" s="33" t="s">
        <v>206</v>
      </c>
      <c r="H226" s="27" t="s">
        <v>419</v>
      </c>
      <c r="I226" s="27" t="s">
        <v>206</v>
      </c>
      <c r="J226" s="37" t="s">
        <v>419</v>
      </c>
      <c r="K226" s="39" t="s">
        <v>60</v>
      </c>
      <c r="L226" s="28" t="s">
        <v>64</v>
      </c>
      <c r="M226" s="28" t="s">
        <v>48</v>
      </c>
      <c r="N226" s="41" t="s">
        <v>48</v>
      </c>
      <c r="O226" s="39" t="s">
        <v>57</v>
      </c>
      <c r="P226" s="28"/>
      <c r="Q226" s="28"/>
      <c r="R226" s="41"/>
      <c r="S226" s="39"/>
      <c r="T226" s="41"/>
      <c r="U226" s="39"/>
      <c r="V226" s="41"/>
      <c r="W226" s="43" t="s">
        <v>711</v>
      </c>
      <c r="X226" s="33"/>
      <c r="Y226" s="27"/>
      <c r="Z226" s="29"/>
      <c r="AB226" s="73" t="str">
        <f t="shared" si="6"/>
        <v>空力ΔCd (AGS閉→全開)－</v>
      </c>
      <c r="AC226" s="74" t="e">
        <f>VLOOKUP($AB226,変換表貼り付け用シート!$A$3:$AN$1133,3,FALSE)</f>
        <v>#N/A</v>
      </c>
      <c r="AD226" s="74" t="e">
        <f t="shared" si="7"/>
        <v>#N/A</v>
      </c>
      <c r="AE226" s="79" t="e">
        <f>IF(VLOOKUP($AB226,変換表貼り付け用シート!$A$3:$AN$3000,12,FALSE)="","",(VLOOKUP($AB226,変換表貼り付け用シート!$A$3:$AN$3000,12,FALSE)))</f>
        <v>#N/A</v>
      </c>
      <c r="AF226" s="80" t="e">
        <f>IF(VLOOKUP($AB226,変換表貼り付け用シート!$A$3:$AN$3000,13,FALSE)="","",(VLOOKUP($AB226,変換表貼り付け用シート!$A$3:$AN$3000,13,FALSE)))</f>
        <v>#N/A</v>
      </c>
      <c r="AG226" s="80" t="e">
        <f>IF(VLOOKUP($AB226,変換表貼り付け用シート!$A$3:$AN$3000,14,FALSE)="","",(VLOOKUP($AB226,変換表貼り付け用シート!$A$3:$AN$3000,14,FALSE)))</f>
        <v>#N/A</v>
      </c>
      <c r="AH226" s="85" t="e">
        <f>IF(VLOOKUP($AB226,変換表貼り付け用シート!$A$3:$AN$3000,15,FALSE)="","",(VLOOKUP($AB226,変換表貼り付け用シート!$A$3:$AN$3000,15,FALSE)))</f>
        <v>#N/A</v>
      </c>
      <c r="AI226" s="79" t="e">
        <f>IF(VLOOKUP($AB226,変換表貼り付け用シート!$A$3:$AN$3000,16,FALSE)="","",(VLOOKUP($AB226,変換表貼り付け用シート!$A$3:$AN$3000,16,FALSE)))</f>
        <v>#N/A</v>
      </c>
      <c r="AJ226" s="81" t="e">
        <f>IF(VLOOKUP($AB226,変換表貼り付け用シート!$A$3:$AN$3000,17,FALSE)="","",(VLOOKUP($AB226,変換表貼り付け用シート!$A$3:$AN$3000,17,FALSE)))</f>
        <v>#N/A</v>
      </c>
      <c r="AK226" s="88" t="e">
        <f>IF(VLOOKUP($AB226,変換表貼り付け用シート!$A$3:$AN$3000,18,FALSE)="","",(VLOOKUP($AB226,変換表貼り付け用シート!$A$3:$AN$3000,18,FALSE)))</f>
        <v>#N/A</v>
      </c>
      <c r="AL226" s="81" t="e">
        <f>IF(VLOOKUP($AB226,変換表貼り付け用シート!$A$3:$AN$3000,19,FALSE)="","",(VLOOKUP($AB226,変換表貼り付け用シート!$A$3:$AN$3000,19,FALSE)))</f>
        <v>#N/A</v>
      </c>
      <c r="AM226" s="75" t="e">
        <f>IF(VLOOKUP($AB226,変換表貼り付け用シート!$A$3:$AN$3000,20,FALSE)="","",(VLOOKUP($AB226,変換表貼り付け用シート!$A$3:$AN$3000,20,FALSE)))</f>
        <v>#N/A</v>
      </c>
    </row>
    <row r="227" spans="2:39" ht="21" customHeight="1" x14ac:dyDescent="0.35">
      <c r="B227" s="39"/>
      <c r="C227" s="117" t="s">
        <v>931</v>
      </c>
      <c r="D227" s="96" t="s">
        <v>430</v>
      </c>
      <c r="E227" s="27" t="s">
        <v>44</v>
      </c>
      <c r="F227" s="37" t="s">
        <v>45</v>
      </c>
      <c r="G227" s="33" t="s">
        <v>206</v>
      </c>
      <c r="H227" s="27" t="s">
        <v>419</v>
      </c>
      <c r="I227" s="27" t="s">
        <v>206</v>
      </c>
      <c r="J227" s="37" t="s">
        <v>419</v>
      </c>
      <c r="K227" s="39" t="s">
        <v>60</v>
      </c>
      <c r="L227" s="28" t="s">
        <v>65</v>
      </c>
      <c r="M227" s="28" t="s">
        <v>48</v>
      </c>
      <c r="N227" s="41" t="s">
        <v>66</v>
      </c>
      <c r="O227" s="39" t="s">
        <v>57</v>
      </c>
      <c r="P227" s="28"/>
      <c r="Q227" s="28"/>
      <c r="R227" s="41"/>
      <c r="S227" s="39"/>
      <c r="T227" s="41"/>
      <c r="U227" s="39"/>
      <c r="V227" s="41"/>
      <c r="W227" s="43" t="s">
        <v>711</v>
      </c>
      <c r="X227" s="33"/>
      <c r="Y227" s="27"/>
      <c r="Z227" s="29"/>
      <c r="AB227" s="73" t="str">
        <f t="shared" si="6"/>
        <v>空力Grill shutter車速閾値 高速側 (閉→開)/(開→閉)－</v>
      </c>
      <c r="AC227" s="74" t="e">
        <f>VLOOKUP($AB227,変換表貼り付け用シート!$A$3:$AN$1133,3,FALSE)</f>
        <v>#N/A</v>
      </c>
      <c r="AD227" s="74" t="e">
        <f t="shared" si="7"/>
        <v>#N/A</v>
      </c>
      <c r="AE227" s="79" t="e">
        <f>IF(VLOOKUP($AB227,変換表貼り付け用シート!$A$3:$AN$3000,12,FALSE)="","",(VLOOKUP($AB227,変換表貼り付け用シート!$A$3:$AN$3000,12,FALSE)))</f>
        <v>#N/A</v>
      </c>
      <c r="AF227" s="80" t="e">
        <f>IF(VLOOKUP($AB227,変換表貼り付け用シート!$A$3:$AN$3000,13,FALSE)="","",(VLOOKUP($AB227,変換表貼り付け用シート!$A$3:$AN$3000,13,FALSE)))</f>
        <v>#N/A</v>
      </c>
      <c r="AG227" s="80" t="e">
        <f>IF(VLOOKUP($AB227,変換表貼り付け用シート!$A$3:$AN$3000,14,FALSE)="","",(VLOOKUP($AB227,変換表貼り付け用シート!$A$3:$AN$3000,14,FALSE)))</f>
        <v>#N/A</v>
      </c>
      <c r="AH227" s="85" t="e">
        <f>IF(VLOOKUP($AB227,変換表貼り付け用シート!$A$3:$AN$3000,15,FALSE)="","",(VLOOKUP($AB227,変換表貼り付け用シート!$A$3:$AN$3000,15,FALSE)))</f>
        <v>#N/A</v>
      </c>
      <c r="AI227" s="79" t="e">
        <f>IF(VLOOKUP($AB227,変換表貼り付け用シート!$A$3:$AN$3000,16,FALSE)="","",(VLOOKUP($AB227,変換表貼り付け用シート!$A$3:$AN$3000,16,FALSE)))</f>
        <v>#N/A</v>
      </c>
      <c r="AJ227" s="81" t="e">
        <f>IF(VLOOKUP($AB227,変換表貼り付け用シート!$A$3:$AN$3000,17,FALSE)="","",(VLOOKUP($AB227,変換表貼り付け用シート!$A$3:$AN$3000,17,FALSE)))</f>
        <v>#N/A</v>
      </c>
      <c r="AK227" s="88" t="e">
        <f>IF(VLOOKUP($AB227,変換表貼り付け用シート!$A$3:$AN$3000,18,FALSE)="","",(VLOOKUP($AB227,変換表貼り付け用シート!$A$3:$AN$3000,18,FALSE)))</f>
        <v>#N/A</v>
      </c>
      <c r="AL227" s="81" t="e">
        <f>IF(VLOOKUP($AB227,変換表貼り付け用シート!$A$3:$AN$3000,19,FALSE)="","",(VLOOKUP($AB227,変換表貼り付け用シート!$A$3:$AN$3000,19,FALSE)))</f>
        <v>#N/A</v>
      </c>
      <c r="AM227" s="75" t="e">
        <f>IF(VLOOKUP($AB227,変換表貼り付け用シート!$A$3:$AN$3000,20,FALSE)="","",(VLOOKUP($AB227,変換表貼り付け用シート!$A$3:$AN$3000,20,FALSE)))</f>
        <v>#N/A</v>
      </c>
    </row>
    <row r="228" spans="2:39" ht="21" customHeight="1" x14ac:dyDescent="0.35">
      <c r="B228" s="39"/>
      <c r="C228" s="117" t="s">
        <v>932</v>
      </c>
      <c r="D228" s="96" t="s">
        <v>431</v>
      </c>
      <c r="E228" s="27" t="s">
        <v>44</v>
      </c>
      <c r="F228" s="37" t="s">
        <v>45</v>
      </c>
      <c r="G228" s="33" t="s">
        <v>206</v>
      </c>
      <c r="H228" s="27" t="s">
        <v>419</v>
      </c>
      <c r="I228" s="27" t="s">
        <v>206</v>
      </c>
      <c r="J228" s="37" t="s">
        <v>419</v>
      </c>
      <c r="K228" s="39" t="s">
        <v>60</v>
      </c>
      <c r="L228" s="28" t="s">
        <v>67</v>
      </c>
      <c r="M228" s="28" t="s">
        <v>48</v>
      </c>
      <c r="N228" s="41" t="s">
        <v>66</v>
      </c>
      <c r="O228" s="39" t="s">
        <v>57</v>
      </c>
      <c r="P228" s="28"/>
      <c r="Q228" s="28"/>
      <c r="R228" s="41"/>
      <c r="S228" s="39"/>
      <c r="T228" s="41"/>
      <c r="U228" s="39"/>
      <c r="V228" s="41"/>
      <c r="W228" s="43" t="s">
        <v>711</v>
      </c>
      <c r="X228" s="33"/>
      <c r="Y228" s="27"/>
      <c r="Z228" s="29"/>
      <c r="AB228" s="73" t="str">
        <f t="shared" si="6"/>
        <v>空力Grill shutter車速閾値 低速側 (閉→開)/(開→閉)－</v>
      </c>
      <c r="AC228" s="74" t="e">
        <f>VLOOKUP($AB228,変換表貼り付け用シート!$A$3:$AN$1133,3,FALSE)</f>
        <v>#N/A</v>
      </c>
      <c r="AD228" s="74" t="e">
        <f t="shared" si="7"/>
        <v>#N/A</v>
      </c>
      <c r="AE228" s="79" t="e">
        <f>IF(VLOOKUP($AB228,変換表貼り付け用シート!$A$3:$AN$3000,12,FALSE)="","",(VLOOKUP($AB228,変換表貼り付け用シート!$A$3:$AN$3000,12,FALSE)))</f>
        <v>#N/A</v>
      </c>
      <c r="AF228" s="80" t="e">
        <f>IF(VLOOKUP($AB228,変換表貼り付け用シート!$A$3:$AN$3000,13,FALSE)="","",(VLOOKUP($AB228,変換表貼り付け用シート!$A$3:$AN$3000,13,FALSE)))</f>
        <v>#N/A</v>
      </c>
      <c r="AG228" s="80" t="e">
        <f>IF(VLOOKUP($AB228,変換表貼り付け用シート!$A$3:$AN$3000,14,FALSE)="","",(VLOOKUP($AB228,変換表貼り付け用シート!$A$3:$AN$3000,14,FALSE)))</f>
        <v>#N/A</v>
      </c>
      <c r="AH228" s="85" t="e">
        <f>IF(VLOOKUP($AB228,変換表貼り付け用シート!$A$3:$AN$3000,15,FALSE)="","",(VLOOKUP($AB228,変換表貼り付け用シート!$A$3:$AN$3000,15,FALSE)))</f>
        <v>#N/A</v>
      </c>
      <c r="AI228" s="79" t="e">
        <f>IF(VLOOKUP($AB228,変換表貼り付け用シート!$A$3:$AN$3000,16,FALSE)="","",(VLOOKUP($AB228,変換表貼り付け用シート!$A$3:$AN$3000,16,FALSE)))</f>
        <v>#N/A</v>
      </c>
      <c r="AJ228" s="81" t="e">
        <f>IF(VLOOKUP($AB228,変換表貼り付け用シート!$A$3:$AN$3000,17,FALSE)="","",(VLOOKUP($AB228,変換表貼り付け用シート!$A$3:$AN$3000,17,FALSE)))</f>
        <v>#N/A</v>
      </c>
      <c r="AK228" s="88" t="e">
        <f>IF(VLOOKUP($AB228,変換表貼り付け用シート!$A$3:$AN$3000,18,FALSE)="","",(VLOOKUP($AB228,変換表貼り付け用シート!$A$3:$AN$3000,18,FALSE)))</f>
        <v>#N/A</v>
      </c>
      <c r="AL228" s="81" t="e">
        <f>IF(VLOOKUP($AB228,変換表貼り付け用シート!$A$3:$AN$3000,19,FALSE)="","",(VLOOKUP($AB228,変換表貼り付け用シート!$A$3:$AN$3000,19,FALSE)))</f>
        <v>#N/A</v>
      </c>
      <c r="AM228" s="75" t="e">
        <f>IF(VLOOKUP($AB228,変換表貼り付け用シート!$A$3:$AN$3000,20,FALSE)="","",(VLOOKUP($AB228,変換表貼り付け用シート!$A$3:$AN$3000,20,FALSE)))</f>
        <v>#N/A</v>
      </c>
    </row>
    <row r="229" spans="2:39" ht="21" customHeight="1" x14ac:dyDescent="0.35">
      <c r="B229" s="39"/>
      <c r="C229" s="117" t="s">
        <v>933</v>
      </c>
      <c r="D229" s="96" t="s">
        <v>432</v>
      </c>
      <c r="E229" s="27" t="s">
        <v>44</v>
      </c>
      <c r="F229" s="37" t="s">
        <v>45</v>
      </c>
      <c r="G229" s="33" t="s">
        <v>206</v>
      </c>
      <c r="H229" s="27" t="s">
        <v>419</v>
      </c>
      <c r="I229" s="27" t="s">
        <v>206</v>
      </c>
      <c r="J229" s="37" t="s">
        <v>419</v>
      </c>
      <c r="K229" s="39" t="s">
        <v>68</v>
      </c>
      <c r="L229" s="28" t="s">
        <v>69</v>
      </c>
      <c r="M229" s="28" t="s">
        <v>48</v>
      </c>
      <c r="N229" s="41" t="s">
        <v>48</v>
      </c>
      <c r="O229" s="39" t="s">
        <v>70</v>
      </c>
      <c r="P229" s="28"/>
      <c r="Q229" s="28"/>
      <c r="R229" s="41"/>
      <c r="S229" s="39"/>
      <c r="T229" s="41"/>
      <c r="U229" s="39"/>
      <c r="V229" s="41"/>
      <c r="W229" s="43" t="s">
        <v>711</v>
      </c>
      <c r="X229" s="33"/>
      <c r="Y229" s="27"/>
      <c r="Z229" s="29"/>
      <c r="AB229" s="73" t="str">
        <f t="shared" si="6"/>
        <v>タイヤFRサイズ－</v>
      </c>
      <c r="AC229" s="74" t="e">
        <f>VLOOKUP($AB229,変換表貼り付け用シート!$A$3:$AN$1133,3,FALSE)</f>
        <v>#N/A</v>
      </c>
      <c r="AD229" s="74" t="e">
        <f t="shared" si="7"/>
        <v>#N/A</v>
      </c>
      <c r="AE229" s="79" t="e">
        <f>IF(VLOOKUP($AB229,変換表貼り付け用シート!$A$3:$AN$3000,12,FALSE)="","",(VLOOKUP($AB229,変換表貼り付け用シート!$A$3:$AN$3000,12,FALSE)))</f>
        <v>#N/A</v>
      </c>
      <c r="AF229" s="80" t="e">
        <f>IF(VLOOKUP($AB229,変換表貼り付け用シート!$A$3:$AN$3000,13,FALSE)="","",(VLOOKUP($AB229,変換表貼り付け用シート!$A$3:$AN$3000,13,FALSE)))</f>
        <v>#N/A</v>
      </c>
      <c r="AG229" s="80" t="e">
        <f>IF(VLOOKUP($AB229,変換表貼り付け用シート!$A$3:$AN$3000,14,FALSE)="","",(VLOOKUP($AB229,変換表貼り付け用シート!$A$3:$AN$3000,14,FALSE)))</f>
        <v>#N/A</v>
      </c>
      <c r="AH229" s="85" t="e">
        <f>IF(VLOOKUP($AB229,変換表貼り付け用シート!$A$3:$AN$3000,15,FALSE)="","",(VLOOKUP($AB229,変換表貼り付け用シート!$A$3:$AN$3000,15,FALSE)))</f>
        <v>#N/A</v>
      </c>
      <c r="AI229" s="79" t="e">
        <f>IF(VLOOKUP($AB229,変換表貼り付け用シート!$A$3:$AN$3000,16,FALSE)="","",(VLOOKUP($AB229,変換表貼り付け用シート!$A$3:$AN$3000,16,FALSE)))</f>
        <v>#N/A</v>
      </c>
      <c r="AJ229" s="81" t="e">
        <f>IF(VLOOKUP($AB229,変換表貼り付け用シート!$A$3:$AN$3000,17,FALSE)="","",(VLOOKUP($AB229,変換表貼り付け用シート!$A$3:$AN$3000,17,FALSE)))</f>
        <v>#N/A</v>
      </c>
      <c r="AK229" s="88" t="e">
        <f>IF(VLOOKUP($AB229,変換表貼り付け用シート!$A$3:$AN$3000,18,FALSE)="","",(VLOOKUP($AB229,変換表貼り付け用シート!$A$3:$AN$3000,18,FALSE)))</f>
        <v>#N/A</v>
      </c>
      <c r="AL229" s="81" t="e">
        <f>IF(VLOOKUP($AB229,変換表貼り付け用シート!$A$3:$AN$3000,19,FALSE)="","",(VLOOKUP($AB229,変換表貼り付け用シート!$A$3:$AN$3000,19,FALSE)))</f>
        <v>#N/A</v>
      </c>
      <c r="AM229" s="75" t="e">
        <f>IF(VLOOKUP($AB229,変換表貼り付け用シート!$A$3:$AN$3000,20,FALSE)="","",(VLOOKUP($AB229,変換表貼り付け用シート!$A$3:$AN$3000,20,FALSE)))</f>
        <v>#N/A</v>
      </c>
    </row>
    <row r="230" spans="2:39" ht="21" customHeight="1" x14ac:dyDescent="0.35">
      <c r="B230" s="39"/>
      <c r="C230" s="117" t="s">
        <v>934</v>
      </c>
      <c r="D230" s="96" t="s">
        <v>433</v>
      </c>
      <c r="E230" s="27" t="s">
        <v>44</v>
      </c>
      <c r="F230" s="37" t="s">
        <v>45</v>
      </c>
      <c r="G230" s="33" t="s">
        <v>206</v>
      </c>
      <c r="H230" s="27" t="s">
        <v>419</v>
      </c>
      <c r="I230" s="27" t="s">
        <v>206</v>
      </c>
      <c r="J230" s="37" t="s">
        <v>419</v>
      </c>
      <c r="K230" s="39" t="s">
        <v>68</v>
      </c>
      <c r="L230" s="28" t="s">
        <v>71</v>
      </c>
      <c r="M230" s="28" t="s">
        <v>48</v>
      </c>
      <c r="N230" s="41" t="s">
        <v>72</v>
      </c>
      <c r="O230" s="39">
        <v>0.27100000000000002</v>
      </c>
      <c r="P230" s="28"/>
      <c r="Q230" s="28"/>
      <c r="R230" s="41"/>
      <c r="S230" s="39"/>
      <c r="T230" s="41"/>
      <c r="U230" s="39"/>
      <c r="V230" s="41"/>
      <c r="W230" s="43" t="s">
        <v>711</v>
      </c>
      <c r="X230" s="33"/>
      <c r="Y230" s="27"/>
      <c r="Z230" s="29"/>
      <c r="AB230" s="73" t="str">
        <f t="shared" si="6"/>
        <v>タイヤFR動半径－</v>
      </c>
      <c r="AC230" s="74" t="e">
        <f>VLOOKUP($AB230,変換表貼り付け用シート!$A$3:$AN$1133,3,FALSE)</f>
        <v>#N/A</v>
      </c>
      <c r="AD230" s="74" t="e">
        <f t="shared" si="7"/>
        <v>#N/A</v>
      </c>
      <c r="AE230" s="79" t="e">
        <f>IF(VLOOKUP($AB230,変換表貼り付け用シート!$A$3:$AN$3000,12,FALSE)="","",(VLOOKUP($AB230,変換表貼り付け用シート!$A$3:$AN$3000,12,FALSE)))</f>
        <v>#N/A</v>
      </c>
      <c r="AF230" s="80" t="e">
        <f>IF(VLOOKUP($AB230,変換表貼り付け用シート!$A$3:$AN$3000,13,FALSE)="","",(VLOOKUP($AB230,変換表貼り付け用シート!$A$3:$AN$3000,13,FALSE)))</f>
        <v>#N/A</v>
      </c>
      <c r="AG230" s="80" t="e">
        <f>IF(VLOOKUP($AB230,変換表貼り付け用シート!$A$3:$AN$3000,14,FALSE)="","",(VLOOKUP($AB230,変換表貼り付け用シート!$A$3:$AN$3000,14,FALSE)))</f>
        <v>#N/A</v>
      </c>
      <c r="AH230" s="85" t="e">
        <f>IF(VLOOKUP($AB230,変換表貼り付け用シート!$A$3:$AN$3000,15,FALSE)="","",(VLOOKUP($AB230,変換表貼り付け用シート!$A$3:$AN$3000,15,FALSE)))</f>
        <v>#N/A</v>
      </c>
      <c r="AI230" s="79" t="e">
        <f>IF(VLOOKUP($AB230,変換表貼り付け用シート!$A$3:$AN$3000,16,FALSE)="","",(VLOOKUP($AB230,変換表貼り付け用シート!$A$3:$AN$3000,16,FALSE)))</f>
        <v>#N/A</v>
      </c>
      <c r="AJ230" s="81" t="e">
        <f>IF(VLOOKUP($AB230,変換表貼り付け用シート!$A$3:$AN$3000,17,FALSE)="","",(VLOOKUP($AB230,変換表貼り付け用シート!$A$3:$AN$3000,17,FALSE)))</f>
        <v>#N/A</v>
      </c>
      <c r="AK230" s="88" t="e">
        <f>IF(VLOOKUP($AB230,変換表貼り付け用シート!$A$3:$AN$3000,18,FALSE)="","",(VLOOKUP($AB230,変換表貼り付け用シート!$A$3:$AN$3000,18,FALSE)))</f>
        <v>#N/A</v>
      </c>
      <c r="AL230" s="81" t="e">
        <f>IF(VLOOKUP($AB230,変換表貼り付け用シート!$A$3:$AN$3000,19,FALSE)="","",(VLOOKUP($AB230,変換表貼り付け用シート!$A$3:$AN$3000,19,FALSE)))</f>
        <v>#N/A</v>
      </c>
      <c r="AM230" s="75" t="e">
        <f>IF(VLOOKUP($AB230,変換表貼り付け用シート!$A$3:$AN$3000,20,FALSE)="","",(VLOOKUP($AB230,変換表貼り付け用シート!$A$3:$AN$3000,20,FALSE)))</f>
        <v>#N/A</v>
      </c>
    </row>
    <row r="231" spans="2:39" ht="21" customHeight="1" x14ac:dyDescent="0.35">
      <c r="B231" s="39"/>
      <c r="C231" s="117" t="s">
        <v>935</v>
      </c>
      <c r="D231" s="96" t="s">
        <v>434</v>
      </c>
      <c r="E231" s="27" t="s">
        <v>44</v>
      </c>
      <c r="F231" s="37" t="s">
        <v>45</v>
      </c>
      <c r="G231" s="33" t="s">
        <v>206</v>
      </c>
      <c r="H231" s="27" t="s">
        <v>419</v>
      </c>
      <c r="I231" s="27" t="s">
        <v>206</v>
      </c>
      <c r="J231" s="37" t="s">
        <v>419</v>
      </c>
      <c r="K231" s="39" t="s">
        <v>68</v>
      </c>
      <c r="L231" s="28" t="s">
        <v>73</v>
      </c>
      <c r="M231" s="28" t="s">
        <v>48</v>
      </c>
      <c r="N231" s="41" t="s">
        <v>48</v>
      </c>
      <c r="O231" s="39">
        <v>7.2</v>
      </c>
      <c r="P231" s="28"/>
      <c r="Q231" s="28"/>
      <c r="R231" s="41"/>
      <c r="S231" s="39"/>
      <c r="T231" s="41"/>
      <c r="U231" s="39"/>
      <c r="V231" s="41"/>
      <c r="W231" s="43" t="s">
        <v>711</v>
      </c>
      <c r="X231" s="33"/>
      <c r="Y231" s="27"/>
      <c r="Z231" s="29"/>
      <c r="AB231" s="73" t="str">
        <f t="shared" si="6"/>
        <v>タイヤFR RRC (ISO 28560 80kmh,210kPa)－</v>
      </c>
      <c r="AC231" s="74" t="e">
        <f>VLOOKUP($AB231,変換表貼り付け用シート!$A$3:$AN$1133,3,FALSE)</f>
        <v>#N/A</v>
      </c>
      <c r="AD231" s="74" t="e">
        <f t="shared" si="7"/>
        <v>#N/A</v>
      </c>
      <c r="AE231" s="79" t="e">
        <f>IF(VLOOKUP($AB231,変換表貼り付け用シート!$A$3:$AN$3000,12,FALSE)="","",(VLOOKUP($AB231,変換表貼り付け用シート!$A$3:$AN$3000,12,FALSE)))</f>
        <v>#N/A</v>
      </c>
      <c r="AF231" s="80" t="e">
        <f>IF(VLOOKUP($AB231,変換表貼り付け用シート!$A$3:$AN$3000,13,FALSE)="","",(VLOOKUP($AB231,変換表貼り付け用シート!$A$3:$AN$3000,13,FALSE)))</f>
        <v>#N/A</v>
      </c>
      <c r="AG231" s="80" t="e">
        <f>IF(VLOOKUP($AB231,変換表貼り付け用シート!$A$3:$AN$3000,14,FALSE)="","",(VLOOKUP($AB231,変換表貼り付け用シート!$A$3:$AN$3000,14,FALSE)))</f>
        <v>#N/A</v>
      </c>
      <c r="AH231" s="85" t="e">
        <f>IF(VLOOKUP($AB231,変換表貼り付け用シート!$A$3:$AN$3000,15,FALSE)="","",(VLOOKUP($AB231,変換表貼り付け用シート!$A$3:$AN$3000,15,FALSE)))</f>
        <v>#N/A</v>
      </c>
      <c r="AI231" s="79" t="e">
        <f>IF(VLOOKUP($AB231,変換表貼り付け用シート!$A$3:$AN$3000,16,FALSE)="","",(VLOOKUP($AB231,変換表貼り付け用シート!$A$3:$AN$3000,16,FALSE)))</f>
        <v>#N/A</v>
      </c>
      <c r="AJ231" s="81" t="e">
        <f>IF(VLOOKUP($AB231,変換表貼り付け用シート!$A$3:$AN$3000,17,FALSE)="","",(VLOOKUP($AB231,変換表貼り付け用シート!$A$3:$AN$3000,17,FALSE)))</f>
        <v>#N/A</v>
      </c>
      <c r="AK231" s="88" t="e">
        <f>IF(VLOOKUP($AB231,変換表貼り付け用シート!$A$3:$AN$3000,18,FALSE)="","",(VLOOKUP($AB231,変換表貼り付け用シート!$A$3:$AN$3000,18,FALSE)))</f>
        <v>#N/A</v>
      </c>
      <c r="AL231" s="81" t="e">
        <f>IF(VLOOKUP($AB231,変換表貼り付け用シート!$A$3:$AN$3000,19,FALSE)="","",(VLOOKUP($AB231,変換表貼り付け用シート!$A$3:$AN$3000,19,FALSE)))</f>
        <v>#N/A</v>
      </c>
      <c r="AM231" s="75" t="e">
        <f>IF(VLOOKUP($AB231,変換表貼り付け用シート!$A$3:$AN$3000,20,FALSE)="","",(VLOOKUP($AB231,変換表貼り付け用シート!$A$3:$AN$3000,20,FALSE)))</f>
        <v>#N/A</v>
      </c>
    </row>
    <row r="232" spans="2:39" ht="21" customHeight="1" x14ac:dyDescent="0.35">
      <c r="B232" s="39"/>
      <c r="C232" s="117" t="s">
        <v>936</v>
      </c>
      <c r="D232" s="96" t="s">
        <v>435</v>
      </c>
      <c r="E232" s="27" t="s">
        <v>44</v>
      </c>
      <c r="F232" s="37" t="s">
        <v>45</v>
      </c>
      <c r="G232" s="33" t="s">
        <v>206</v>
      </c>
      <c r="H232" s="27" t="s">
        <v>419</v>
      </c>
      <c r="I232" s="27" t="s">
        <v>206</v>
      </c>
      <c r="J232" s="37" t="s">
        <v>419</v>
      </c>
      <c r="K232" s="39" t="s">
        <v>68</v>
      </c>
      <c r="L232" s="28" t="s">
        <v>74</v>
      </c>
      <c r="M232" s="28" t="s">
        <v>48</v>
      </c>
      <c r="N232" s="41" t="s">
        <v>48</v>
      </c>
      <c r="O232" s="39">
        <v>68</v>
      </c>
      <c r="P232" s="28"/>
      <c r="Q232" s="28"/>
      <c r="R232" s="41"/>
      <c r="S232" s="39"/>
      <c r="T232" s="41"/>
      <c r="U232" s="39"/>
      <c r="V232" s="41"/>
      <c r="W232" s="43" t="s">
        <v>711</v>
      </c>
      <c r="X232" s="33"/>
      <c r="Y232" s="27"/>
      <c r="Z232" s="29"/>
      <c r="AB232" s="73" t="str">
        <f t="shared" si="6"/>
        <v>タイヤFR RRC (車両状態)－</v>
      </c>
      <c r="AC232" s="74" t="e">
        <f>VLOOKUP($AB232,変換表貼り付け用シート!$A$3:$AN$1133,3,FALSE)</f>
        <v>#N/A</v>
      </c>
      <c r="AD232" s="74" t="e">
        <f t="shared" si="7"/>
        <v>#N/A</v>
      </c>
      <c r="AE232" s="79" t="e">
        <f>IF(VLOOKUP($AB232,変換表貼り付け用シート!$A$3:$AN$3000,12,FALSE)="","",(VLOOKUP($AB232,変換表貼り付け用シート!$A$3:$AN$3000,12,FALSE)))</f>
        <v>#N/A</v>
      </c>
      <c r="AF232" s="80" t="e">
        <f>IF(VLOOKUP($AB232,変換表貼り付け用シート!$A$3:$AN$3000,13,FALSE)="","",(VLOOKUP($AB232,変換表貼り付け用シート!$A$3:$AN$3000,13,FALSE)))</f>
        <v>#N/A</v>
      </c>
      <c r="AG232" s="80" t="e">
        <f>IF(VLOOKUP($AB232,変換表貼り付け用シート!$A$3:$AN$3000,14,FALSE)="","",(VLOOKUP($AB232,変換表貼り付け用シート!$A$3:$AN$3000,14,FALSE)))</f>
        <v>#N/A</v>
      </c>
      <c r="AH232" s="85" t="e">
        <f>IF(VLOOKUP($AB232,変換表貼り付け用シート!$A$3:$AN$3000,15,FALSE)="","",(VLOOKUP($AB232,変換表貼り付け用シート!$A$3:$AN$3000,15,FALSE)))</f>
        <v>#N/A</v>
      </c>
      <c r="AI232" s="79" t="e">
        <f>IF(VLOOKUP($AB232,変換表貼り付け用シート!$A$3:$AN$3000,16,FALSE)="","",(VLOOKUP($AB232,変換表貼り付け用シート!$A$3:$AN$3000,16,FALSE)))</f>
        <v>#N/A</v>
      </c>
      <c r="AJ232" s="81" t="e">
        <f>IF(VLOOKUP($AB232,変換表貼り付け用シート!$A$3:$AN$3000,17,FALSE)="","",(VLOOKUP($AB232,変換表貼り付け用シート!$A$3:$AN$3000,17,FALSE)))</f>
        <v>#N/A</v>
      </c>
      <c r="AK232" s="88" t="e">
        <f>IF(VLOOKUP($AB232,変換表貼り付け用シート!$A$3:$AN$3000,18,FALSE)="","",(VLOOKUP($AB232,変換表貼り付け用シート!$A$3:$AN$3000,18,FALSE)))</f>
        <v>#N/A</v>
      </c>
      <c r="AL232" s="81" t="e">
        <f>IF(VLOOKUP($AB232,変換表貼り付け用シート!$A$3:$AN$3000,19,FALSE)="","",(VLOOKUP($AB232,変換表貼り付け用シート!$A$3:$AN$3000,19,FALSE)))</f>
        <v>#N/A</v>
      </c>
      <c r="AM232" s="75" t="e">
        <f>IF(VLOOKUP($AB232,変換表貼り付け用シート!$A$3:$AN$3000,20,FALSE)="","",(VLOOKUP($AB232,変換表貼り付け用シート!$A$3:$AN$3000,20,FALSE)))</f>
        <v>#N/A</v>
      </c>
    </row>
    <row r="233" spans="2:39" ht="21" customHeight="1" x14ac:dyDescent="0.35">
      <c r="B233" s="39"/>
      <c r="C233" s="117" t="s">
        <v>937</v>
      </c>
      <c r="D233" s="96" t="s">
        <v>436</v>
      </c>
      <c r="E233" s="27" t="s">
        <v>44</v>
      </c>
      <c r="F233" s="37" t="s">
        <v>45</v>
      </c>
      <c r="G233" s="33" t="s">
        <v>206</v>
      </c>
      <c r="H233" s="27" t="s">
        <v>419</v>
      </c>
      <c r="I233" s="27" t="s">
        <v>206</v>
      </c>
      <c r="J233" s="37" t="s">
        <v>419</v>
      </c>
      <c r="K233" s="39" t="s">
        <v>68</v>
      </c>
      <c r="L233" s="28" t="s">
        <v>75</v>
      </c>
      <c r="M233" s="28" t="s">
        <v>48</v>
      </c>
      <c r="N233" s="41" t="s">
        <v>76</v>
      </c>
      <c r="O233" s="39">
        <v>240</v>
      </c>
      <c r="P233" s="28"/>
      <c r="Q233" s="28"/>
      <c r="R233" s="41"/>
      <c r="S233" s="39"/>
      <c r="T233" s="41"/>
      <c r="U233" s="39"/>
      <c r="V233" s="41"/>
      <c r="W233" s="43" t="s">
        <v>711</v>
      </c>
      <c r="X233" s="33"/>
      <c r="Y233" s="27"/>
      <c r="Z233" s="29"/>
      <c r="AB233" s="73" t="str">
        <f t="shared" si="6"/>
        <v>タイヤFR RRC (車両状態)空気圧－</v>
      </c>
      <c r="AC233" s="74" t="e">
        <f>VLOOKUP($AB233,変換表貼り付け用シート!$A$3:$AN$1133,3,FALSE)</f>
        <v>#N/A</v>
      </c>
      <c r="AD233" s="74" t="e">
        <f t="shared" si="7"/>
        <v>#N/A</v>
      </c>
      <c r="AE233" s="79" t="e">
        <f>IF(VLOOKUP($AB233,変換表貼り付け用シート!$A$3:$AN$3000,12,FALSE)="","",(VLOOKUP($AB233,変換表貼り付け用シート!$A$3:$AN$3000,12,FALSE)))</f>
        <v>#N/A</v>
      </c>
      <c r="AF233" s="80" t="e">
        <f>IF(VLOOKUP($AB233,変換表貼り付け用シート!$A$3:$AN$3000,13,FALSE)="","",(VLOOKUP($AB233,変換表貼り付け用シート!$A$3:$AN$3000,13,FALSE)))</f>
        <v>#N/A</v>
      </c>
      <c r="AG233" s="80" t="e">
        <f>IF(VLOOKUP($AB233,変換表貼り付け用シート!$A$3:$AN$3000,14,FALSE)="","",(VLOOKUP($AB233,変換表貼り付け用シート!$A$3:$AN$3000,14,FALSE)))</f>
        <v>#N/A</v>
      </c>
      <c r="AH233" s="85" t="e">
        <f>IF(VLOOKUP($AB233,変換表貼り付け用シート!$A$3:$AN$3000,15,FALSE)="","",(VLOOKUP($AB233,変換表貼り付け用シート!$A$3:$AN$3000,15,FALSE)))</f>
        <v>#N/A</v>
      </c>
      <c r="AI233" s="79" t="e">
        <f>IF(VLOOKUP($AB233,変換表貼り付け用シート!$A$3:$AN$3000,16,FALSE)="","",(VLOOKUP($AB233,変換表貼り付け用シート!$A$3:$AN$3000,16,FALSE)))</f>
        <v>#N/A</v>
      </c>
      <c r="AJ233" s="81" t="e">
        <f>IF(VLOOKUP($AB233,変換表貼り付け用シート!$A$3:$AN$3000,17,FALSE)="","",(VLOOKUP($AB233,変換表貼り付け用シート!$A$3:$AN$3000,17,FALSE)))</f>
        <v>#N/A</v>
      </c>
      <c r="AK233" s="88" t="e">
        <f>IF(VLOOKUP($AB233,変換表貼り付け用シート!$A$3:$AN$3000,18,FALSE)="","",(VLOOKUP($AB233,変換表貼り付け用シート!$A$3:$AN$3000,18,FALSE)))</f>
        <v>#N/A</v>
      </c>
      <c r="AL233" s="81" t="e">
        <f>IF(VLOOKUP($AB233,変換表貼り付け用シート!$A$3:$AN$3000,19,FALSE)="","",(VLOOKUP($AB233,変換表貼り付け用シート!$A$3:$AN$3000,19,FALSE)))</f>
        <v>#N/A</v>
      </c>
      <c r="AM233" s="75" t="e">
        <f>IF(VLOOKUP($AB233,変換表貼り付け用シート!$A$3:$AN$3000,20,FALSE)="","",(VLOOKUP($AB233,変換表貼り付け用シート!$A$3:$AN$3000,20,FALSE)))</f>
        <v>#N/A</v>
      </c>
    </row>
    <row r="234" spans="2:39" ht="21" customHeight="1" x14ac:dyDescent="0.35">
      <c r="B234" s="39"/>
      <c r="C234" s="117" t="s">
        <v>938</v>
      </c>
      <c r="D234" s="96" t="s">
        <v>437</v>
      </c>
      <c r="E234" s="27" t="s">
        <v>44</v>
      </c>
      <c r="F234" s="37" t="s">
        <v>45</v>
      </c>
      <c r="G234" s="33" t="s">
        <v>206</v>
      </c>
      <c r="H234" s="27" t="s">
        <v>419</v>
      </c>
      <c r="I234" s="27" t="s">
        <v>206</v>
      </c>
      <c r="J234" s="37" t="s">
        <v>419</v>
      </c>
      <c r="K234" s="39" t="s">
        <v>68</v>
      </c>
      <c r="L234" s="28" t="s">
        <v>77</v>
      </c>
      <c r="M234" s="28" t="s">
        <v>48</v>
      </c>
      <c r="N234" s="41" t="s">
        <v>78</v>
      </c>
      <c r="O234" s="39">
        <v>0.49</v>
      </c>
      <c r="P234" s="28"/>
      <c r="Q234" s="28"/>
      <c r="R234" s="41"/>
      <c r="S234" s="39"/>
      <c r="T234" s="41"/>
      <c r="U234" s="39"/>
      <c r="V234" s="41"/>
      <c r="W234" s="43" t="s">
        <v>711</v>
      </c>
      <c r="X234" s="33"/>
      <c r="Y234" s="27"/>
      <c r="Z234" s="29"/>
      <c r="AB234" s="73" t="str">
        <f t="shared" si="6"/>
        <v>タイヤFR イナーシャ(1本) －</v>
      </c>
      <c r="AC234" s="74" t="e">
        <f>VLOOKUP($AB234,変換表貼り付け用シート!$A$3:$AN$1133,3,FALSE)</f>
        <v>#N/A</v>
      </c>
      <c r="AD234" s="74" t="e">
        <f t="shared" si="7"/>
        <v>#N/A</v>
      </c>
      <c r="AE234" s="79" t="e">
        <f>IF(VLOOKUP($AB234,変換表貼り付け用シート!$A$3:$AN$3000,12,FALSE)="","",(VLOOKUP($AB234,変換表貼り付け用シート!$A$3:$AN$3000,12,FALSE)))</f>
        <v>#N/A</v>
      </c>
      <c r="AF234" s="80" t="e">
        <f>IF(VLOOKUP($AB234,変換表貼り付け用シート!$A$3:$AN$3000,13,FALSE)="","",(VLOOKUP($AB234,変換表貼り付け用シート!$A$3:$AN$3000,13,FALSE)))</f>
        <v>#N/A</v>
      </c>
      <c r="AG234" s="80" t="e">
        <f>IF(VLOOKUP($AB234,変換表貼り付け用シート!$A$3:$AN$3000,14,FALSE)="","",(VLOOKUP($AB234,変換表貼り付け用シート!$A$3:$AN$3000,14,FALSE)))</f>
        <v>#N/A</v>
      </c>
      <c r="AH234" s="85" t="e">
        <f>IF(VLOOKUP($AB234,変換表貼り付け用シート!$A$3:$AN$3000,15,FALSE)="","",(VLOOKUP($AB234,変換表貼り付け用シート!$A$3:$AN$3000,15,FALSE)))</f>
        <v>#N/A</v>
      </c>
      <c r="AI234" s="79" t="e">
        <f>IF(VLOOKUP($AB234,変換表貼り付け用シート!$A$3:$AN$3000,16,FALSE)="","",(VLOOKUP($AB234,変換表貼り付け用シート!$A$3:$AN$3000,16,FALSE)))</f>
        <v>#N/A</v>
      </c>
      <c r="AJ234" s="81" t="e">
        <f>IF(VLOOKUP($AB234,変換表貼り付け用シート!$A$3:$AN$3000,17,FALSE)="","",(VLOOKUP($AB234,変換表貼り付け用シート!$A$3:$AN$3000,17,FALSE)))</f>
        <v>#N/A</v>
      </c>
      <c r="AK234" s="88" t="e">
        <f>IF(VLOOKUP($AB234,変換表貼り付け用シート!$A$3:$AN$3000,18,FALSE)="","",(VLOOKUP($AB234,変換表貼り付け用シート!$A$3:$AN$3000,18,FALSE)))</f>
        <v>#N/A</v>
      </c>
      <c r="AL234" s="81" t="e">
        <f>IF(VLOOKUP($AB234,変換表貼り付け用シート!$A$3:$AN$3000,19,FALSE)="","",(VLOOKUP($AB234,変換表貼り付け用シート!$A$3:$AN$3000,19,FALSE)))</f>
        <v>#N/A</v>
      </c>
      <c r="AM234" s="75" t="e">
        <f>IF(VLOOKUP($AB234,変換表貼り付け用シート!$A$3:$AN$3000,20,FALSE)="","",(VLOOKUP($AB234,変換表貼り付け用シート!$A$3:$AN$3000,20,FALSE)))</f>
        <v>#N/A</v>
      </c>
    </row>
    <row r="235" spans="2:39" ht="21" customHeight="1" x14ac:dyDescent="0.35">
      <c r="B235" s="39"/>
      <c r="C235" s="117" t="s">
        <v>939</v>
      </c>
      <c r="D235" s="96" t="s">
        <v>438</v>
      </c>
      <c r="E235" s="27" t="s">
        <v>44</v>
      </c>
      <c r="F235" s="37" t="s">
        <v>45</v>
      </c>
      <c r="G235" s="33" t="s">
        <v>206</v>
      </c>
      <c r="H235" s="27" t="s">
        <v>419</v>
      </c>
      <c r="I235" s="27" t="s">
        <v>206</v>
      </c>
      <c r="J235" s="37" t="s">
        <v>419</v>
      </c>
      <c r="K235" s="39" t="s">
        <v>68</v>
      </c>
      <c r="L235" s="28" t="s">
        <v>79</v>
      </c>
      <c r="M235" s="28" t="s">
        <v>48</v>
      </c>
      <c r="N235" s="41" t="s">
        <v>48</v>
      </c>
      <c r="O235" s="39" t="s">
        <v>70</v>
      </c>
      <c r="P235" s="28"/>
      <c r="Q235" s="28"/>
      <c r="R235" s="41"/>
      <c r="S235" s="39"/>
      <c r="T235" s="41"/>
      <c r="U235" s="39"/>
      <c r="V235" s="41"/>
      <c r="W235" s="43" t="s">
        <v>711</v>
      </c>
      <c r="X235" s="33"/>
      <c r="Y235" s="27"/>
      <c r="Z235" s="29"/>
      <c r="AB235" s="73" t="str">
        <f t="shared" si="6"/>
        <v>タイヤRRサイズ－</v>
      </c>
      <c r="AC235" s="74" t="e">
        <f>VLOOKUP($AB235,変換表貼り付け用シート!$A$3:$AN$1133,3,FALSE)</f>
        <v>#N/A</v>
      </c>
      <c r="AD235" s="74" t="e">
        <f t="shared" si="7"/>
        <v>#N/A</v>
      </c>
      <c r="AE235" s="79" t="e">
        <f>IF(VLOOKUP($AB235,変換表貼り付け用シート!$A$3:$AN$3000,12,FALSE)="","",(VLOOKUP($AB235,変換表貼り付け用シート!$A$3:$AN$3000,12,FALSE)))</f>
        <v>#N/A</v>
      </c>
      <c r="AF235" s="80" t="e">
        <f>IF(VLOOKUP($AB235,変換表貼り付け用シート!$A$3:$AN$3000,13,FALSE)="","",(VLOOKUP($AB235,変換表貼り付け用シート!$A$3:$AN$3000,13,FALSE)))</f>
        <v>#N/A</v>
      </c>
      <c r="AG235" s="80" t="e">
        <f>IF(VLOOKUP($AB235,変換表貼り付け用シート!$A$3:$AN$3000,14,FALSE)="","",(VLOOKUP($AB235,変換表貼り付け用シート!$A$3:$AN$3000,14,FALSE)))</f>
        <v>#N/A</v>
      </c>
      <c r="AH235" s="85" t="e">
        <f>IF(VLOOKUP($AB235,変換表貼り付け用シート!$A$3:$AN$3000,15,FALSE)="","",(VLOOKUP($AB235,変換表貼り付け用シート!$A$3:$AN$3000,15,FALSE)))</f>
        <v>#N/A</v>
      </c>
      <c r="AI235" s="79" t="e">
        <f>IF(VLOOKUP($AB235,変換表貼り付け用シート!$A$3:$AN$3000,16,FALSE)="","",(VLOOKUP($AB235,変換表貼り付け用シート!$A$3:$AN$3000,16,FALSE)))</f>
        <v>#N/A</v>
      </c>
      <c r="AJ235" s="81" t="e">
        <f>IF(VLOOKUP($AB235,変換表貼り付け用シート!$A$3:$AN$3000,17,FALSE)="","",(VLOOKUP($AB235,変換表貼り付け用シート!$A$3:$AN$3000,17,FALSE)))</f>
        <v>#N/A</v>
      </c>
      <c r="AK235" s="88" t="e">
        <f>IF(VLOOKUP($AB235,変換表貼り付け用シート!$A$3:$AN$3000,18,FALSE)="","",(VLOOKUP($AB235,変換表貼り付け用シート!$A$3:$AN$3000,18,FALSE)))</f>
        <v>#N/A</v>
      </c>
      <c r="AL235" s="81" t="e">
        <f>IF(VLOOKUP($AB235,変換表貼り付け用シート!$A$3:$AN$3000,19,FALSE)="","",(VLOOKUP($AB235,変換表貼り付け用シート!$A$3:$AN$3000,19,FALSE)))</f>
        <v>#N/A</v>
      </c>
      <c r="AM235" s="75" t="e">
        <f>IF(VLOOKUP($AB235,変換表貼り付け用シート!$A$3:$AN$3000,20,FALSE)="","",(VLOOKUP($AB235,変換表貼り付け用シート!$A$3:$AN$3000,20,FALSE)))</f>
        <v>#N/A</v>
      </c>
    </row>
    <row r="236" spans="2:39" ht="21" customHeight="1" x14ac:dyDescent="0.35">
      <c r="B236" s="39"/>
      <c r="C236" s="117" t="s">
        <v>940</v>
      </c>
      <c r="D236" s="96" t="s">
        <v>439</v>
      </c>
      <c r="E236" s="27" t="s">
        <v>44</v>
      </c>
      <c r="F236" s="37" t="s">
        <v>45</v>
      </c>
      <c r="G236" s="33" t="s">
        <v>206</v>
      </c>
      <c r="H236" s="27" t="s">
        <v>419</v>
      </c>
      <c r="I236" s="27" t="s">
        <v>206</v>
      </c>
      <c r="J236" s="37" t="s">
        <v>419</v>
      </c>
      <c r="K236" s="39" t="s">
        <v>68</v>
      </c>
      <c r="L236" s="28" t="s">
        <v>80</v>
      </c>
      <c r="M236" s="28" t="s">
        <v>48</v>
      </c>
      <c r="N236" s="41" t="s">
        <v>72</v>
      </c>
      <c r="O236" s="39">
        <v>0.27100000000000002</v>
      </c>
      <c r="P236" s="28"/>
      <c r="Q236" s="28"/>
      <c r="R236" s="41"/>
      <c r="S236" s="39"/>
      <c r="T236" s="41"/>
      <c r="U236" s="39"/>
      <c r="V236" s="41"/>
      <c r="W236" s="43" t="s">
        <v>711</v>
      </c>
      <c r="X236" s="33"/>
      <c r="Y236" s="27"/>
      <c r="Z236" s="29"/>
      <c r="AB236" s="73" t="str">
        <f t="shared" si="6"/>
        <v>タイヤRR動半径－</v>
      </c>
      <c r="AC236" s="74" t="e">
        <f>VLOOKUP($AB236,変換表貼り付け用シート!$A$3:$AN$1133,3,FALSE)</f>
        <v>#N/A</v>
      </c>
      <c r="AD236" s="74" t="e">
        <f t="shared" si="7"/>
        <v>#N/A</v>
      </c>
      <c r="AE236" s="79" t="e">
        <f>IF(VLOOKUP($AB236,変換表貼り付け用シート!$A$3:$AN$3000,12,FALSE)="","",(VLOOKUP($AB236,変換表貼り付け用シート!$A$3:$AN$3000,12,FALSE)))</f>
        <v>#N/A</v>
      </c>
      <c r="AF236" s="80" t="e">
        <f>IF(VLOOKUP($AB236,変換表貼り付け用シート!$A$3:$AN$3000,13,FALSE)="","",(VLOOKUP($AB236,変換表貼り付け用シート!$A$3:$AN$3000,13,FALSE)))</f>
        <v>#N/A</v>
      </c>
      <c r="AG236" s="80" t="e">
        <f>IF(VLOOKUP($AB236,変換表貼り付け用シート!$A$3:$AN$3000,14,FALSE)="","",(VLOOKUP($AB236,変換表貼り付け用シート!$A$3:$AN$3000,14,FALSE)))</f>
        <v>#N/A</v>
      </c>
      <c r="AH236" s="85" t="e">
        <f>IF(VLOOKUP($AB236,変換表貼り付け用シート!$A$3:$AN$3000,15,FALSE)="","",(VLOOKUP($AB236,変換表貼り付け用シート!$A$3:$AN$3000,15,FALSE)))</f>
        <v>#N/A</v>
      </c>
      <c r="AI236" s="79" t="e">
        <f>IF(VLOOKUP($AB236,変換表貼り付け用シート!$A$3:$AN$3000,16,FALSE)="","",(VLOOKUP($AB236,変換表貼り付け用シート!$A$3:$AN$3000,16,FALSE)))</f>
        <v>#N/A</v>
      </c>
      <c r="AJ236" s="81" t="e">
        <f>IF(VLOOKUP($AB236,変換表貼り付け用シート!$A$3:$AN$3000,17,FALSE)="","",(VLOOKUP($AB236,変換表貼り付け用シート!$A$3:$AN$3000,17,FALSE)))</f>
        <v>#N/A</v>
      </c>
      <c r="AK236" s="88" t="e">
        <f>IF(VLOOKUP($AB236,変換表貼り付け用シート!$A$3:$AN$3000,18,FALSE)="","",(VLOOKUP($AB236,変換表貼り付け用シート!$A$3:$AN$3000,18,FALSE)))</f>
        <v>#N/A</v>
      </c>
      <c r="AL236" s="81" t="e">
        <f>IF(VLOOKUP($AB236,変換表貼り付け用シート!$A$3:$AN$3000,19,FALSE)="","",(VLOOKUP($AB236,変換表貼り付け用シート!$A$3:$AN$3000,19,FALSE)))</f>
        <v>#N/A</v>
      </c>
      <c r="AM236" s="75" t="e">
        <f>IF(VLOOKUP($AB236,変換表貼り付け用シート!$A$3:$AN$3000,20,FALSE)="","",(VLOOKUP($AB236,変換表貼り付け用シート!$A$3:$AN$3000,20,FALSE)))</f>
        <v>#N/A</v>
      </c>
    </row>
    <row r="237" spans="2:39" ht="21" customHeight="1" x14ac:dyDescent="0.35">
      <c r="B237" s="39"/>
      <c r="C237" s="117" t="s">
        <v>941</v>
      </c>
      <c r="D237" s="96" t="s">
        <v>440</v>
      </c>
      <c r="E237" s="27" t="s">
        <v>44</v>
      </c>
      <c r="F237" s="37" t="s">
        <v>45</v>
      </c>
      <c r="G237" s="33" t="s">
        <v>206</v>
      </c>
      <c r="H237" s="27" t="s">
        <v>419</v>
      </c>
      <c r="I237" s="27" t="s">
        <v>206</v>
      </c>
      <c r="J237" s="37" t="s">
        <v>419</v>
      </c>
      <c r="K237" s="39" t="s">
        <v>68</v>
      </c>
      <c r="L237" s="28" t="s">
        <v>81</v>
      </c>
      <c r="M237" s="28" t="s">
        <v>48</v>
      </c>
      <c r="N237" s="41" t="s">
        <v>48</v>
      </c>
      <c r="O237" s="39" t="s">
        <v>57</v>
      </c>
      <c r="P237" s="28"/>
      <c r="Q237" s="28"/>
      <c r="R237" s="41"/>
      <c r="S237" s="39"/>
      <c r="T237" s="41"/>
      <c r="U237" s="39"/>
      <c r="V237" s="41"/>
      <c r="W237" s="43" t="s">
        <v>711</v>
      </c>
      <c r="X237" s="33"/>
      <c r="Y237" s="27"/>
      <c r="Z237" s="29"/>
      <c r="AB237" s="73" t="str">
        <f t="shared" si="6"/>
        <v>タイヤRR RRC (ISO 28560 80kmh,210kPa)－</v>
      </c>
      <c r="AC237" s="74" t="e">
        <f>VLOOKUP($AB237,変換表貼り付け用シート!$A$3:$AN$1133,3,FALSE)</f>
        <v>#N/A</v>
      </c>
      <c r="AD237" s="74" t="e">
        <f t="shared" si="7"/>
        <v>#N/A</v>
      </c>
      <c r="AE237" s="79" t="e">
        <f>IF(VLOOKUP($AB237,変換表貼り付け用シート!$A$3:$AN$3000,12,FALSE)="","",(VLOOKUP($AB237,変換表貼り付け用シート!$A$3:$AN$3000,12,FALSE)))</f>
        <v>#N/A</v>
      </c>
      <c r="AF237" s="80" t="e">
        <f>IF(VLOOKUP($AB237,変換表貼り付け用シート!$A$3:$AN$3000,13,FALSE)="","",(VLOOKUP($AB237,変換表貼り付け用シート!$A$3:$AN$3000,13,FALSE)))</f>
        <v>#N/A</v>
      </c>
      <c r="AG237" s="80" t="e">
        <f>IF(VLOOKUP($AB237,変換表貼り付け用シート!$A$3:$AN$3000,14,FALSE)="","",(VLOOKUP($AB237,変換表貼り付け用シート!$A$3:$AN$3000,14,FALSE)))</f>
        <v>#N/A</v>
      </c>
      <c r="AH237" s="85" t="e">
        <f>IF(VLOOKUP($AB237,変換表貼り付け用シート!$A$3:$AN$3000,15,FALSE)="","",(VLOOKUP($AB237,変換表貼り付け用シート!$A$3:$AN$3000,15,FALSE)))</f>
        <v>#N/A</v>
      </c>
      <c r="AI237" s="79" t="e">
        <f>IF(VLOOKUP($AB237,変換表貼り付け用シート!$A$3:$AN$3000,16,FALSE)="","",(VLOOKUP($AB237,変換表貼り付け用シート!$A$3:$AN$3000,16,FALSE)))</f>
        <v>#N/A</v>
      </c>
      <c r="AJ237" s="81" t="e">
        <f>IF(VLOOKUP($AB237,変換表貼り付け用シート!$A$3:$AN$3000,17,FALSE)="","",(VLOOKUP($AB237,変換表貼り付け用シート!$A$3:$AN$3000,17,FALSE)))</f>
        <v>#N/A</v>
      </c>
      <c r="AK237" s="88" t="e">
        <f>IF(VLOOKUP($AB237,変換表貼り付け用シート!$A$3:$AN$3000,18,FALSE)="","",(VLOOKUP($AB237,変換表貼り付け用シート!$A$3:$AN$3000,18,FALSE)))</f>
        <v>#N/A</v>
      </c>
      <c r="AL237" s="81" t="e">
        <f>IF(VLOOKUP($AB237,変換表貼り付け用シート!$A$3:$AN$3000,19,FALSE)="","",(VLOOKUP($AB237,変換表貼り付け用シート!$A$3:$AN$3000,19,FALSE)))</f>
        <v>#N/A</v>
      </c>
      <c r="AM237" s="75" t="e">
        <f>IF(VLOOKUP($AB237,変換表貼り付け用シート!$A$3:$AN$3000,20,FALSE)="","",(VLOOKUP($AB237,変換表貼り付け用シート!$A$3:$AN$3000,20,FALSE)))</f>
        <v>#N/A</v>
      </c>
    </row>
    <row r="238" spans="2:39" ht="21" customHeight="1" x14ac:dyDescent="0.35">
      <c r="B238" s="39"/>
      <c r="C238" s="117" t="s">
        <v>942</v>
      </c>
      <c r="D238" s="96" t="s">
        <v>441</v>
      </c>
      <c r="E238" s="27" t="s">
        <v>44</v>
      </c>
      <c r="F238" s="37" t="s">
        <v>45</v>
      </c>
      <c r="G238" s="33" t="s">
        <v>206</v>
      </c>
      <c r="H238" s="27" t="s">
        <v>419</v>
      </c>
      <c r="I238" s="27" t="s">
        <v>206</v>
      </c>
      <c r="J238" s="37" t="s">
        <v>419</v>
      </c>
      <c r="K238" s="39" t="s">
        <v>68</v>
      </c>
      <c r="L238" s="28" t="s">
        <v>82</v>
      </c>
      <c r="M238" s="28" t="s">
        <v>48</v>
      </c>
      <c r="N238" s="41" t="s">
        <v>48</v>
      </c>
      <c r="O238" s="39">
        <v>68</v>
      </c>
      <c r="P238" s="28"/>
      <c r="Q238" s="28"/>
      <c r="R238" s="41"/>
      <c r="S238" s="39"/>
      <c r="T238" s="41"/>
      <c r="U238" s="39"/>
      <c r="V238" s="41"/>
      <c r="W238" s="43" t="s">
        <v>711</v>
      </c>
      <c r="X238" s="33"/>
      <c r="Y238" s="27"/>
      <c r="Z238" s="29"/>
      <c r="AB238" s="73" t="str">
        <f t="shared" si="6"/>
        <v>タイヤRR RRC (車両状態)－</v>
      </c>
      <c r="AC238" s="74" t="e">
        <f>VLOOKUP($AB238,変換表貼り付け用シート!$A$3:$AN$1133,3,FALSE)</f>
        <v>#N/A</v>
      </c>
      <c r="AD238" s="74" t="e">
        <f t="shared" si="7"/>
        <v>#N/A</v>
      </c>
      <c r="AE238" s="79" t="e">
        <f>IF(VLOOKUP($AB238,変換表貼り付け用シート!$A$3:$AN$3000,12,FALSE)="","",(VLOOKUP($AB238,変換表貼り付け用シート!$A$3:$AN$3000,12,FALSE)))</f>
        <v>#N/A</v>
      </c>
      <c r="AF238" s="80" t="e">
        <f>IF(VLOOKUP($AB238,変換表貼り付け用シート!$A$3:$AN$3000,13,FALSE)="","",(VLOOKUP($AB238,変換表貼り付け用シート!$A$3:$AN$3000,13,FALSE)))</f>
        <v>#N/A</v>
      </c>
      <c r="AG238" s="80" t="e">
        <f>IF(VLOOKUP($AB238,変換表貼り付け用シート!$A$3:$AN$3000,14,FALSE)="","",(VLOOKUP($AB238,変換表貼り付け用シート!$A$3:$AN$3000,14,FALSE)))</f>
        <v>#N/A</v>
      </c>
      <c r="AH238" s="85" t="e">
        <f>IF(VLOOKUP($AB238,変換表貼り付け用シート!$A$3:$AN$3000,15,FALSE)="","",(VLOOKUP($AB238,変換表貼り付け用シート!$A$3:$AN$3000,15,FALSE)))</f>
        <v>#N/A</v>
      </c>
      <c r="AI238" s="79" t="e">
        <f>IF(VLOOKUP($AB238,変換表貼り付け用シート!$A$3:$AN$3000,16,FALSE)="","",(VLOOKUP($AB238,変換表貼り付け用シート!$A$3:$AN$3000,16,FALSE)))</f>
        <v>#N/A</v>
      </c>
      <c r="AJ238" s="81" t="e">
        <f>IF(VLOOKUP($AB238,変換表貼り付け用シート!$A$3:$AN$3000,17,FALSE)="","",(VLOOKUP($AB238,変換表貼り付け用シート!$A$3:$AN$3000,17,FALSE)))</f>
        <v>#N/A</v>
      </c>
      <c r="AK238" s="88" t="e">
        <f>IF(VLOOKUP($AB238,変換表貼り付け用シート!$A$3:$AN$3000,18,FALSE)="","",(VLOOKUP($AB238,変換表貼り付け用シート!$A$3:$AN$3000,18,FALSE)))</f>
        <v>#N/A</v>
      </c>
      <c r="AL238" s="81" t="e">
        <f>IF(VLOOKUP($AB238,変換表貼り付け用シート!$A$3:$AN$3000,19,FALSE)="","",(VLOOKUP($AB238,変換表貼り付け用シート!$A$3:$AN$3000,19,FALSE)))</f>
        <v>#N/A</v>
      </c>
      <c r="AM238" s="75" t="e">
        <f>IF(VLOOKUP($AB238,変換表貼り付け用シート!$A$3:$AN$3000,20,FALSE)="","",(VLOOKUP($AB238,変換表貼り付け用シート!$A$3:$AN$3000,20,FALSE)))</f>
        <v>#N/A</v>
      </c>
    </row>
    <row r="239" spans="2:39" ht="21" customHeight="1" x14ac:dyDescent="0.35">
      <c r="B239" s="39"/>
      <c r="C239" s="117" t="s">
        <v>943</v>
      </c>
      <c r="D239" s="96" t="s">
        <v>442</v>
      </c>
      <c r="E239" s="27" t="s">
        <v>44</v>
      </c>
      <c r="F239" s="37" t="s">
        <v>45</v>
      </c>
      <c r="G239" s="33" t="s">
        <v>206</v>
      </c>
      <c r="H239" s="27" t="s">
        <v>419</v>
      </c>
      <c r="I239" s="27" t="s">
        <v>206</v>
      </c>
      <c r="J239" s="37" t="s">
        <v>419</v>
      </c>
      <c r="K239" s="39" t="s">
        <v>68</v>
      </c>
      <c r="L239" s="28" t="s">
        <v>83</v>
      </c>
      <c r="M239" s="28" t="s">
        <v>48</v>
      </c>
      <c r="N239" s="41" t="s">
        <v>76</v>
      </c>
      <c r="O239" s="39">
        <v>240</v>
      </c>
      <c r="P239" s="28"/>
      <c r="Q239" s="28"/>
      <c r="R239" s="41"/>
      <c r="S239" s="39"/>
      <c r="T239" s="41"/>
      <c r="U239" s="39"/>
      <c r="V239" s="41"/>
      <c r="W239" s="43" t="s">
        <v>711</v>
      </c>
      <c r="X239" s="33"/>
      <c r="Y239" s="27"/>
      <c r="Z239" s="29"/>
      <c r="AB239" s="73" t="str">
        <f t="shared" si="6"/>
        <v>タイヤRR RRC (車両状態)空気圧－</v>
      </c>
      <c r="AC239" s="74" t="e">
        <f>VLOOKUP($AB239,変換表貼り付け用シート!$A$3:$AN$1133,3,FALSE)</f>
        <v>#N/A</v>
      </c>
      <c r="AD239" s="74" t="e">
        <f t="shared" si="7"/>
        <v>#N/A</v>
      </c>
      <c r="AE239" s="79" t="e">
        <f>IF(VLOOKUP($AB239,変換表貼り付け用シート!$A$3:$AN$3000,12,FALSE)="","",(VLOOKUP($AB239,変換表貼り付け用シート!$A$3:$AN$3000,12,FALSE)))</f>
        <v>#N/A</v>
      </c>
      <c r="AF239" s="80" t="e">
        <f>IF(VLOOKUP($AB239,変換表貼り付け用シート!$A$3:$AN$3000,13,FALSE)="","",(VLOOKUP($AB239,変換表貼り付け用シート!$A$3:$AN$3000,13,FALSE)))</f>
        <v>#N/A</v>
      </c>
      <c r="AG239" s="80" t="e">
        <f>IF(VLOOKUP($AB239,変換表貼り付け用シート!$A$3:$AN$3000,14,FALSE)="","",(VLOOKUP($AB239,変換表貼り付け用シート!$A$3:$AN$3000,14,FALSE)))</f>
        <v>#N/A</v>
      </c>
      <c r="AH239" s="85" t="e">
        <f>IF(VLOOKUP($AB239,変換表貼り付け用シート!$A$3:$AN$3000,15,FALSE)="","",(VLOOKUP($AB239,変換表貼り付け用シート!$A$3:$AN$3000,15,FALSE)))</f>
        <v>#N/A</v>
      </c>
      <c r="AI239" s="79" t="e">
        <f>IF(VLOOKUP($AB239,変換表貼り付け用シート!$A$3:$AN$3000,16,FALSE)="","",(VLOOKUP($AB239,変換表貼り付け用シート!$A$3:$AN$3000,16,FALSE)))</f>
        <v>#N/A</v>
      </c>
      <c r="AJ239" s="81" t="e">
        <f>IF(VLOOKUP($AB239,変換表貼り付け用シート!$A$3:$AN$3000,17,FALSE)="","",(VLOOKUP($AB239,変換表貼り付け用シート!$A$3:$AN$3000,17,FALSE)))</f>
        <v>#N/A</v>
      </c>
      <c r="AK239" s="88" t="e">
        <f>IF(VLOOKUP($AB239,変換表貼り付け用シート!$A$3:$AN$3000,18,FALSE)="","",(VLOOKUP($AB239,変換表貼り付け用シート!$A$3:$AN$3000,18,FALSE)))</f>
        <v>#N/A</v>
      </c>
      <c r="AL239" s="81" t="e">
        <f>IF(VLOOKUP($AB239,変換表貼り付け用シート!$A$3:$AN$3000,19,FALSE)="","",(VLOOKUP($AB239,変換表貼り付け用シート!$A$3:$AN$3000,19,FALSE)))</f>
        <v>#N/A</v>
      </c>
      <c r="AM239" s="75" t="e">
        <f>IF(VLOOKUP($AB239,変換表貼り付け用シート!$A$3:$AN$3000,20,FALSE)="","",(VLOOKUP($AB239,変換表貼り付け用シート!$A$3:$AN$3000,20,FALSE)))</f>
        <v>#N/A</v>
      </c>
    </row>
    <row r="240" spans="2:39" ht="21" customHeight="1" x14ac:dyDescent="0.35">
      <c r="B240" s="39"/>
      <c r="C240" s="117" t="s">
        <v>944</v>
      </c>
      <c r="D240" s="96" t="s">
        <v>443</v>
      </c>
      <c r="E240" s="27" t="s">
        <v>44</v>
      </c>
      <c r="F240" s="37" t="s">
        <v>45</v>
      </c>
      <c r="G240" s="33" t="s">
        <v>206</v>
      </c>
      <c r="H240" s="27" t="s">
        <v>419</v>
      </c>
      <c r="I240" s="27" t="s">
        <v>206</v>
      </c>
      <c r="J240" s="37" t="s">
        <v>419</v>
      </c>
      <c r="K240" s="39" t="s">
        <v>68</v>
      </c>
      <c r="L240" s="28" t="s">
        <v>84</v>
      </c>
      <c r="M240" s="28" t="s">
        <v>48</v>
      </c>
      <c r="N240" s="41" t="s">
        <v>78</v>
      </c>
      <c r="O240" s="39">
        <v>0.49</v>
      </c>
      <c r="P240" s="28"/>
      <c r="Q240" s="28"/>
      <c r="R240" s="41"/>
      <c r="S240" s="39"/>
      <c r="T240" s="41"/>
      <c r="U240" s="39"/>
      <c r="V240" s="41"/>
      <c r="W240" s="43" t="s">
        <v>711</v>
      </c>
      <c r="X240" s="33"/>
      <c r="Y240" s="27"/>
      <c r="Z240" s="29"/>
      <c r="AB240" s="73" t="str">
        <f t="shared" si="6"/>
        <v>タイヤRR イナーシャ(1本) －</v>
      </c>
      <c r="AC240" s="74" t="e">
        <f>VLOOKUP($AB240,変換表貼り付け用シート!$A$3:$AN$1133,3,FALSE)</f>
        <v>#N/A</v>
      </c>
      <c r="AD240" s="74" t="e">
        <f t="shared" si="7"/>
        <v>#N/A</v>
      </c>
      <c r="AE240" s="79" t="e">
        <f>IF(VLOOKUP($AB240,変換表貼り付け用シート!$A$3:$AN$3000,12,FALSE)="","",(VLOOKUP($AB240,変換表貼り付け用シート!$A$3:$AN$3000,12,FALSE)))</f>
        <v>#N/A</v>
      </c>
      <c r="AF240" s="80" t="e">
        <f>IF(VLOOKUP($AB240,変換表貼り付け用シート!$A$3:$AN$3000,13,FALSE)="","",(VLOOKUP($AB240,変換表貼り付け用シート!$A$3:$AN$3000,13,FALSE)))</f>
        <v>#N/A</v>
      </c>
      <c r="AG240" s="80" t="e">
        <f>IF(VLOOKUP($AB240,変換表貼り付け用シート!$A$3:$AN$3000,14,FALSE)="","",(VLOOKUP($AB240,変換表貼り付け用シート!$A$3:$AN$3000,14,FALSE)))</f>
        <v>#N/A</v>
      </c>
      <c r="AH240" s="85" t="e">
        <f>IF(VLOOKUP($AB240,変換表貼り付け用シート!$A$3:$AN$3000,15,FALSE)="","",(VLOOKUP($AB240,変換表貼り付け用シート!$A$3:$AN$3000,15,FALSE)))</f>
        <v>#N/A</v>
      </c>
      <c r="AI240" s="79" t="e">
        <f>IF(VLOOKUP($AB240,変換表貼り付け用シート!$A$3:$AN$3000,16,FALSE)="","",(VLOOKUP($AB240,変換表貼り付け用シート!$A$3:$AN$3000,16,FALSE)))</f>
        <v>#N/A</v>
      </c>
      <c r="AJ240" s="81" t="e">
        <f>IF(VLOOKUP($AB240,変換表貼り付け用シート!$A$3:$AN$3000,17,FALSE)="","",(VLOOKUP($AB240,変換表貼り付け用シート!$A$3:$AN$3000,17,FALSE)))</f>
        <v>#N/A</v>
      </c>
      <c r="AK240" s="88" t="e">
        <f>IF(VLOOKUP($AB240,変換表貼り付け用シート!$A$3:$AN$3000,18,FALSE)="","",(VLOOKUP($AB240,変換表貼り付け用シート!$A$3:$AN$3000,18,FALSE)))</f>
        <v>#N/A</v>
      </c>
      <c r="AL240" s="81" t="e">
        <f>IF(VLOOKUP($AB240,変換表貼り付け用シート!$A$3:$AN$3000,19,FALSE)="","",(VLOOKUP($AB240,変換表貼り付け用シート!$A$3:$AN$3000,19,FALSE)))</f>
        <v>#N/A</v>
      </c>
      <c r="AM240" s="75" t="e">
        <f>IF(VLOOKUP($AB240,変換表貼り付け用シート!$A$3:$AN$3000,20,FALSE)="","",(VLOOKUP($AB240,変換表貼り付け用シート!$A$3:$AN$3000,20,FALSE)))</f>
        <v>#N/A</v>
      </c>
    </row>
    <row r="241" spans="2:39" ht="21" customHeight="1" x14ac:dyDescent="0.35">
      <c r="B241" s="39"/>
      <c r="C241" s="117" t="s">
        <v>945</v>
      </c>
      <c r="D241" s="96" t="s">
        <v>444</v>
      </c>
      <c r="E241" s="27" t="s">
        <v>44</v>
      </c>
      <c r="F241" s="37" t="s">
        <v>45</v>
      </c>
      <c r="G241" s="33" t="s">
        <v>206</v>
      </c>
      <c r="H241" s="27" t="s">
        <v>419</v>
      </c>
      <c r="I241" s="27" t="s">
        <v>206</v>
      </c>
      <c r="J241" s="37" t="s">
        <v>419</v>
      </c>
      <c r="K241" s="39" t="s">
        <v>85</v>
      </c>
      <c r="L241" s="28" t="s">
        <v>86</v>
      </c>
      <c r="M241" s="28" t="s">
        <v>48</v>
      </c>
      <c r="N241" s="41" t="s">
        <v>48</v>
      </c>
      <c r="O241" s="39" t="s">
        <v>57</v>
      </c>
      <c r="P241" s="28"/>
      <c r="Q241" s="28"/>
      <c r="R241" s="41"/>
      <c r="S241" s="39"/>
      <c r="T241" s="41"/>
      <c r="U241" s="39"/>
      <c r="V241" s="41"/>
      <c r="W241" s="43" t="s">
        <v>711</v>
      </c>
      <c r="X241" s="33"/>
      <c r="Y241" s="27"/>
      <c r="Z241" s="29"/>
      <c r="AB241" s="73" t="str">
        <f t="shared" si="6"/>
        <v>ホイール仕様－</v>
      </c>
      <c r="AC241" s="74" t="e">
        <f>VLOOKUP($AB241,変換表貼り付け用シート!$A$3:$AN$1133,3,FALSE)</f>
        <v>#N/A</v>
      </c>
      <c r="AD241" s="74" t="e">
        <f t="shared" si="7"/>
        <v>#N/A</v>
      </c>
      <c r="AE241" s="79" t="e">
        <f>IF(VLOOKUP($AB241,変換表貼り付け用シート!$A$3:$AN$3000,12,FALSE)="","",(VLOOKUP($AB241,変換表貼り付け用シート!$A$3:$AN$3000,12,FALSE)))</f>
        <v>#N/A</v>
      </c>
      <c r="AF241" s="80" t="e">
        <f>IF(VLOOKUP($AB241,変換表貼り付け用シート!$A$3:$AN$3000,13,FALSE)="","",(VLOOKUP($AB241,変換表貼り付け用シート!$A$3:$AN$3000,13,FALSE)))</f>
        <v>#N/A</v>
      </c>
      <c r="AG241" s="80" t="e">
        <f>IF(VLOOKUP($AB241,変換表貼り付け用シート!$A$3:$AN$3000,14,FALSE)="","",(VLOOKUP($AB241,変換表貼り付け用シート!$A$3:$AN$3000,14,FALSE)))</f>
        <v>#N/A</v>
      </c>
      <c r="AH241" s="85" t="e">
        <f>IF(VLOOKUP($AB241,変換表貼り付け用シート!$A$3:$AN$3000,15,FALSE)="","",(VLOOKUP($AB241,変換表貼り付け用シート!$A$3:$AN$3000,15,FALSE)))</f>
        <v>#N/A</v>
      </c>
      <c r="AI241" s="79" t="e">
        <f>IF(VLOOKUP($AB241,変換表貼り付け用シート!$A$3:$AN$3000,16,FALSE)="","",(VLOOKUP($AB241,変換表貼り付け用シート!$A$3:$AN$3000,16,FALSE)))</f>
        <v>#N/A</v>
      </c>
      <c r="AJ241" s="81" t="e">
        <f>IF(VLOOKUP($AB241,変換表貼り付け用シート!$A$3:$AN$3000,17,FALSE)="","",(VLOOKUP($AB241,変換表貼り付け用シート!$A$3:$AN$3000,17,FALSE)))</f>
        <v>#N/A</v>
      </c>
      <c r="AK241" s="88" t="e">
        <f>IF(VLOOKUP($AB241,変換表貼り付け用シート!$A$3:$AN$3000,18,FALSE)="","",(VLOOKUP($AB241,変換表貼り付け用シート!$A$3:$AN$3000,18,FALSE)))</f>
        <v>#N/A</v>
      </c>
      <c r="AL241" s="81" t="e">
        <f>IF(VLOOKUP($AB241,変換表貼り付け用シート!$A$3:$AN$3000,19,FALSE)="","",(VLOOKUP($AB241,変換表貼り付け用シート!$A$3:$AN$3000,19,FALSE)))</f>
        <v>#N/A</v>
      </c>
      <c r="AM241" s="75" t="e">
        <f>IF(VLOOKUP($AB241,変換表貼り付け用シート!$A$3:$AN$3000,20,FALSE)="","",(VLOOKUP($AB241,変換表貼り付け用シート!$A$3:$AN$3000,20,FALSE)))</f>
        <v>#N/A</v>
      </c>
    </row>
    <row r="242" spans="2:39" ht="21" customHeight="1" x14ac:dyDescent="0.35">
      <c r="B242" s="39"/>
      <c r="C242" s="117" t="s">
        <v>946</v>
      </c>
      <c r="D242" s="96" t="s">
        <v>445</v>
      </c>
      <c r="E242" s="27" t="s">
        <v>44</v>
      </c>
      <c r="F242" s="37" t="s">
        <v>45</v>
      </c>
      <c r="G242" s="33" t="s">
        <v>206</v>
      </c>
      <c r="H242" s="27" t="s">
        <v>419</v>
      </c>
      <c r="I242" s="27" t="s">
        <v>206</v>
      </c>
      <c r="J242" s="37" t="s">
        <v>419</v>
      </c>
      <c r="K242" s="39" t="s">
        <v>85</v>
      </c>
      <c r="L242" s="28" t="s">
        <v>87</v>
      </c>
      <c r="M242" s="28" t="s">
        <v>48</v>
      </c>
      <c r="N242" s="41" t="s">
        <v>78</v>
      </c>
      <c r="O242" s="39" t="s">
        <v>53</v>
      </c>
      <c r="P242" s="28"/>
      <c r="Q242" s="28"/>
      <c r="R242" s="41"/>
      <c r="S242" s="39"/>
      <c r="T242" s="41"/>
      <c r="U242" s="39"/>
      <c r="V242" s="41"/>
      <c r="W242" s="43" t="s">
        <v>711</v>
      </c>
      <c r="X242" s="33"/>
      <c r="Y242" s="27"/>
      <c r="Z242" s="29"/>
      <c r="AB242" s="73" t="str">
        <f t="shared" si="6"/>
        <v>ホイールイナーシャ(1本)－</v>
      </c>
      <c r="AC242" s="74" t="e">
        <f>VLOOKUP($AB242,変換表貼り付け用シート!$A$3:$AN$1133,3,FALSE)</f>
        <v>#N/A</v>
      </c>
      <c r="AD242" s="74" t="e">
        <f t="shared" si="7"/>
        <v>#N/A</v>
      </c>
      <c r="AE242" s="79" t="e">
        <f>IF(VLOOKUP($AB242,変換表貼り付け用シート!$A$3:$AN$3000,12,FALSE)="","",(VLOOKUP($AB242,変換表貼り付け用シート!$A$3:$AN$3000,12,FALSE)))</f>
        <v>#N/A</v>
      </c>
      <c r="AF242" s="80" t="e">
        <f>IF(VLOOKUP($AB242,変換表貼り付け用シート!$A$3:$AN$3000,13,FALSE)="","",(VLOOKUP($AB242,変換表貼り付け用シート!$A$3:$AN$3000,13,FALSE)))</f>
        <v>#N/A</v>
      </c>
      <c r="AG242" s="80" t="e">
        <f>IF(VLOOKUP($AB242,変換表貼り付け用シート!$A$3:$AN$3000,14,FALSE)="","",(VLOOKUP($AB242,変換表貼り付け用シート!$A$3:$AN$3000,14,FALSE)))</f>
        <v>#N/A</v>
      </c>
      <c r="AH242" s="85" t="e">
        <f>IF(VLOOKUP($AB242,変換表貼り付け用シート!$A$3:$AN$3000,15,FALSE)="","",(VLOOKUP($AB242,変換表貼り付け用シート!$A$3:$AN$3000,15,FALSE)))</f>
        <v>#N/A</v>
      </c>
      <c r="AI242" s="79" t="e">
        <f>IF(VLOOKUP($AB242,変換表貼り付け用シート!$A$3:$AN$3000,16,FALSE)="","",(VLOOKUP($AB242,変換表貼り付け用シート!$A$3:$AN$3000,16,FALSE)))</f>
        <v>#N/A</v>
      </c>
      <c r="AJ242" s="81" t="e">
        <f>IF(VLOOKUP($AB242,変換表貼り付け用シート!$A$3:$AN$3000,17,FALSE)="","",(VLOOKUP($AB242,変換表貼り付け用シート!$A$3:$AN$3000,17,FALSE)))</f>
        <v>#N/A</v>
      </c>
      <c r="AK242" s="88" t="e">
        <f>IF(VLOOKUP($AB242,変換表貼り付け用シート!$A$3:$AN$3000,18,FALSE)="","",(VLOOKUP($AB242,変換表貼り付け用シート!$A$3:$AN$3000,18,FALSE)))</f>
        <v>#N/A</v>
      </c>
      <c r="AL242" s="81" t="e">
        <f>IF(VLOOKUP($AB242,変換表貼り付け用シート!$A$3:$AN$3000,19,FALSE)="","",(VLOOKUP($AB242,変換表貼り付け用シート!$A$3:$AN$3000,19,FALSE)))</f>
        <v>#N/A</v>
      </c>
      <c r="AM242" s="75" t="e">
        <f>IF(VLOOKUP($AB242,変換表貼り付け用シート!$A$3:$AN$3000,20,FALSE)="","",(VLOOKUP($AB242,変換表貼り付け用シート!$A$3:$AN$3000,20,FALSE)))</f>
        <v>#N/A</v>
      </c>
    </row>
    <row r="243" spans="2:39" ht="21" customHeight="1" x14ac:dyDescent="0.35">
      <c r="B243" s="39"/>
      <c r="C243" s="117" t="s">
        <v>947</v>
      </c>
      <c r="D243" s="96" t="s">
        <v>446</v>
      </c>
      <c r="E243" s="27" t="s">
        <v>44</v>
      </c>
      <c r="F243" s="37" t="s">
        <v>45</v>
      </c>
      <c r="G243" s="33" t="s">
        <v>206</v>
      </c>
      <c r="H243" s="27" t="s">
        <v>419</v>
      </c>
      <c r="I243" s="27" t="s">
        <v>206</v>
      </c>
      <c r="J243" s="37" t="s">
        <v>419</v>
      </c>
      <c r="K243" s="39" t="s">
        <v>88</v>
      </c>
      <c r="L243" s="28" t="s">
        <v>89</v>
      </c>
      <c r="M243" s="28" t="s">
        <v>48</v>
      </c>
      <c r="N243" s="41" t="s">
        <v>90</v>
      </c>
      <c r="O243" s="39">
        <v>1.75</v>
      </c>
      <c r="P243" s="28"/>
      <c r="Q243" s="28"/>
      <c r="R243" s="41"/>
      <c r="S243" s="39"/>
      <c r="T243" s="41"/>
      <c r="U243" s="39"/>
      <c r="V243" s="41"/>
      <c r="W243" s="43" t="s">
        <v>711</v>
      </c>
      <c r="X243" s="33"/>
      <c r="Y243" s="27"/>
      <c r="Z243" s="29"/>
      <c r="AB243" s="73" t="str">
        <f t="shared" si="6"/>
        <v>HUBTotal引き摺りトルク (@80km/h)－</v>
      </c>
      <c r="AC243" s="74" t="e">
        <f>VLOOKUP($AB243,変換表貼り付け用シート!$A$3:$AN$1133,3,FALSE)</f>
        <v>#N/A</v>
      </c>
      <c r="AD243" s="74" t="e">
        <f t="shared" si="7"/>
        <v>#N/A</v>
      </c>
      <c r="AE243" s="79" t="e">
        <f>IF(VLOOKUP($AB243,変換表貼り付け用シート!$A$3:$AN$3000,12,FALSE)="","",(VLOOKUP($AB243,変換表貼り付け用シート!$A$3:$AN$3000,12,FALSE)))</f>
        <v>#N/A</v>
      </c>
      <c r="AF243" s="80" t="e">
        <f>IF(VLOOKUP($AB243,変換表貼り付け用シート!$A$3:$AN$3000,13,FALSE)="","",(VLOOKUP($AB243,変換表貼り付け用シート!$A$3:$AN$3000,13,FALSE)))</f>
        <v>#N/A</v>
      </c>
      <c r="AG243" s="80" t="e">
        <f>IF(VLOOKUP($AB243,変換表貼り付け用シート!$A$3:$AN$3000,14,FALSE)="","",(VLOOKUP($AB243,変換表貼り付け用シート!$A$3:$AN$3000,14,FALSE)))</f>
        <v>#N/A</v>
      </c>
      <c r="AH243" s="85" t="e">
        <f>IF(VLOOKUP($AB243,変換表貼り付け用シート!$A$3:$AN$3000,15,FALSE)="","",(VLOOKUP($AB243,変換表貼り付け用シート!$A$3:$AN$3000,15,FALSE)))</f>
        <v>#N/A</v>
      </c>
      <c r="AI243" s="79" t="e">
        <f>IF(VLOOKUP($AB243,変換表貼り付け用シート!$A$3:$AN$3000,16,FALSE)="","",(VLOOKUP($AB243,変換表貼り付け用シート!$A$3:$AN$3000,16,FALSE)))</f>
        <v>#N/A</v>
      </c>
      <c r="AJ243" s="81" t="e">
        <f>IF(VLOOKUP($AB243,変換表貼り付け用シート!$A$3:$AN$3000,17,FALSE)="","",(VLOOKUP($AB243,変換表貼り付け用シート!$A$3:$AN$3000,17,FALSE)))</f>
        <v>#N/A</v>
      </c>
      <c r="AK243" s="88" t="e">
        <f>IF(VLOOKUP($AB243,変換表貼り付け用シート!$A$3:$AN$3000,18,FALSE)="","",(VLOOKUP($AB243,変換表貼り付け用シート!$A$3:$AN$3000,18,FALSE)))</f>
        <v>#N/A</v>
      </c>
      <c r="AL243" s="81" t="e">
        <f>IF(VLOOKUP($AB243,変換表貼り付け用シート!$A$3:$AN$3000,19,FALSE)="","",(VLOOKUP($AB243,変換表貼り付け用シート!$A$3:$AN$3000,19,FALSE)))</f>
        <v>#N/A</v>
      </c>
      <c r="AM243" s="75" t="e">
        <f>IF(VLOOKUP($AB243,変換表貼り付け用シート!$A$3:$AN$3000,20,FALSE)="","",(VLOOKUP($AB243,変換表貼り付け用シート!$A$3:$AN$3000,20,FALSE)))</f>
        <v>#N/A</v>
      </c>
    </row>
    <row r="244" spans="2:39" ht="21" customHeight="1" x14ac:dyDescent="0.35">
      <c r="B244" s="39"/>
      <c r="C244" s="117" t="s">
        <v>948</v>
      </c>
      <c r="D244" s="96" t="s">
        <v>447</v>
      </c>
      <c r="E244" s="27" t="s">
        <v>44</v>
      </c>
      <c r="F244" s="37" t="s">
        <v>45</v>
      </c>
      <c r="G244" s="33" t="s">
        <v>206</v>
      </c>
      <c r="H244" s="27" t="s">
        <v>419</v>
      </c>
      <c r="I244" s="27" t="s">
        <v>206</v>
      </c>
      <c r="J244" s="37" t="s">
        <v>419</v>
      </c>
      <c r="K244" s="39" t="s">
        <v>88</v>
      </c>
      <c r="L244" s="28" t="s">
        <v>91</v>
      </c>
      <c r="M244" s="28" t="s">
        <v>48</v>
      </c>
      <c r="N244" s="41" t="s">
        <v>90</v>
      </c>
      <c r="O244" s="39" t="s">
        <v>92</v>
      </c>
      <c r="P244" s="28"/>
      <c r="Q244" s="28"/>
      <c r="R244" s="41"/>
      <c r="S244" s="39"/>
      <c r="T244" s="41"/>
      <c r="U244" s="39"/>
      <c r="V244" s="41"/>
      <c r="W244" s="43" t="s">
        <v>711</v>
      </c>
      <c r="X244" s="33"/>
      <c r="Y244" s="27"/>
      <c r="Z244" s="29"/>
      <c r="AB244" s="73" t="str">
        <f t="shared" si="6"/>
        <v>HUBFR 引き摺りトルク (@80km/h)－</v>
      </c>
      <c r="AC244" s="74" t="e">
        <f>VLOOKUP($AB244,変換表貼り付け用シート!$A$3:$AN$1133,3,FALSE)</f>
        <v>#N/A</v>
      </c>
      <c r="AD244" s="74" t="e">
        <f t="shared" si="7"/>
        <v>#N/A</v>
      </c>
      <c r="AE244" s="79" t="e">
        <f>IF(VLOOKUP($AB244,変換表貼り付け用シート!$A$3:$AN$3000,12,FALSE)="","",(VLOOKUP($AB244,変換表貼り付け用シート!$A$3:$AN$3000,12,FALSE)))</f>
        <v>#N/A</v>
      </c>
      <c r="AF244" s="80" t="e">
        <f>IF(VLOOKUP($AB244,変換表貼り付け用シート!$A$3:$AN$3000,13,FALSE)="","",(VLOOKUP($AB244,変換表貼り付け用シート!$A$3:$AN$3000,13,FALSE)))</f>
        <v>#N/A</v>
      </c>
      <c r="AG244" s="80" t="e">
        <f>IF(VLOOKUP($AB244,変換表貼り付け用シート!$A$3:$AN$3000,14,FALSE)="","",(VLOOKUP($AB244,変換表貼り付け用シート!$A$3:$AN$3000,14,FALSE)))</f>
        <v>#N/A</v>
      </c>
      <c r="AH244" s="85" t="e">
        <f>IF(VLOOKUP($AB244,変換表貼り付け用シート!$A$3:$AN$3000,15,FALSE)="","",(VLOOKUP($AB244,変換表貼り付け用シート!$A$3:$AN$3000,15,FALSE)))</f>
        <v>#N/A</v>
      </c>
      <c r="AI244" s="79" t="e">
        <f>IF(VLOOKUP($AB244,変換表貼り付け用シート!$A$3:$AN$3000,16,FALSE)="","",(VLOOKUP($AB244,変換表貼り付け用シート!$A$3:$AN$3000,16,FALSE)))</f>
        <v>#N/A</v>
      </c>
      <c r="AJ244" s="81" t="e">
        <f>IF(VLOOKUP($AB244,変換表貼り付け用シート!$A$3:$AN$3000,17,FALSE)="","",(VLOOKUP($AB244,変換表貼り付け用シート!$A$3:$AN$3000,17,FALSE)))</f>
        <v>#N/A</v>
      </c>
      <c r="AK244" s="88" t="e">
        <f>IF(VLOOKUP($AB244,変換表貼り付け用シート!$A$3:$AN$3000,18,FALSE)="","",(VLOOKUP($AB244,変換表貼り付け用シート!$A$3:$AN$3000,18,FALSE)))</f>
        <v>#N/A</v>
      </c>
      <c r="AL244" s="81" t="e">
        <f>IF(VLOOKUP($AB244,変換表貼り付け用シート!$A$3:$AN$3000,19,FALSE)="","",(VLOOKUP($AB244,変換表貼り付け用シート!$A$3:$AN$3000,19,FALSE)))</f>
        <v>#N/A</v>
      </c>
      <c r="AM244" s="75" t="e">
        <f>IF(VLOOKUP($AB244,変換表貼り付け用シート!$A$3:$AN$3000,20,FALSE)="","",(VLOOKUP($AB244,変換表貼り付け用シート!$A$3:$AN$3000,20,FALSE)))</f>
        <v>#N/A</v>
      </c>
    </row>
    <row r="245" spans="2:39" ht="21" customHeight="1" x14ac:dyDescent="0.35">
      <c r="B245" s="39"/>
      <c r="C245" s="117" t="s">
        <v>949</v>
      </c>
      <c r="D245" s="96" t="s">
        <v>448</v>
      </c>
      <c r="E245" s="27" t="s">
        <v>44</v>
      </c>
      <c r="F245" s="37" t="s">
        <v>45</v>
      </c>
      <c r="G245" s="33" t="s">
        <v>206</v>
      </c>
      <c r="H245" s="27" t="s">
        <v>419</v>
      </c>
      <c r="I245" s="27" t="s">
        <v>206</v>
      </c>
      <c r="J245" s="37" t="s">
        <v>419</v>
      </c>
      <c r="K245" s="39" t="s">
        <v>88</v>
      </c>
      <c r="L245" s="28" t="s">
        <v>93</v>
      </c>
      <c r="M245" s="28" t="s">
        <v>48</v>
      </c>
      <c r="N245" s="41" t="s">
        <v>90</v>
      </c>
      <c r="O245" s="39" t="s">
        <v>92</v>
      </c>
      <c r="P245" s="28"/>
      <c r="Q245" s="28"/>
      <c r="R245" s="41"/>
      <c r="S245" s="39"/>
      <c r="T245" s="41"/>
      <c r="U245" s="39"/>
      <c r="V245" s="41"/>
      <c r="W245" s="43" t="s">
        <v>711</v>
      </c>
      <c r="X245" s="33"/>
      <c r="Y245" s="27"/>
      <c r="Z245" s="29"/>
      <c r="AB245" s="73" t="str">
        <f t="shared" si="6"/>
        <v>HUBRR 引き摺りトルク (@80km/h)－</v>
      </c>
      <c r="AC245" s="74" t="e">
        <f>VLOOKUP($AB245,変換表貼り付け用シート!$A$3:$AN$1133,3,FALSE)</f>
        <v>#N/A</v>
      </c>
      <c r="AD245" s="74" t="e">
        <f t="shared" si="7"/>
        <v>#N/A</v>
      </c>
      <c r="AE245" s="79" t="e">
        <f>IF(VLOOKUP($AB245,変換表貼り付け用シート!$A$3:$AN$3000,12,FALSE)="","",(VLOOKUP($AB245,変換表貼り付け用シート!$A$3:$AN$3000,12,FALSE)))</f>
        <v>#N/A</v>
      </c>
      <c r="AF245" s="80" t="e">
        <f>IF(VLOOKUP($AB245,変換表貼り付け用シート!$A$3:$AN$3000,13,FALSE)="","",(VLOOKUP($AB245,変換表貼り付け用シート!$A$3:$AN$3000,13,FALSE)))</f>
        <v>#N/A</v>
      </c>
      <c r="AG245" s="80" t="e">
        <f>IF(VLOOKUP($AB245,変換表貼り付け用シート!$A$3:$AN$3000,14,FALSE)="","",(VLOOKUP($AB245,変換表貼り付け用シート!$A$3:$AN$3000,14,FALSE)))</f>
        <v>#N/A</v>
      </c>
      <c r="AH245" s="85" t="e">
        <f>IF(VLOOKUP($AB245,変換表貼り付け用シート!$A$3:$AN$3000,15,FALSE)="","",(VLOOKUP($AB245,変換表貼り付け用シート!$A$3:$AN$3000,15,FALSE)))</f>
        <v>#N/A</v>
      </c>
      <c r="AI245" s="79" t="e">
        <f>IF(VLOOKUP($AB245,変換表貼り付け用シート!$A$3:$AN$3000,16,FALSE)="","",(VLOOKUP($AB245,変換表貼り付け用シート!$A$3:$AN$3000,16,FALSE)))</f>
        <v>#N/A</v>
      </c>
      <c r="AJ245" s="81" t="e">
        <f>IF(VLOOKUP($AB245,変換表貼り付け用シート!$A$3:$AN$3000,17,FALSE)="","",(VLOOKUP($AB245,変換表貼り付け用シート!$A$3:$AN$3000,17,FALSE)))</f>
        <v>#N/A</v>
      </c>
      <c r="AK245" s="88" t="e">
        <f>IF(VLOOKUP($AB245,変換表貼り付け用シート!$A$3:$AN$3000,18,FALSE)="","",(VLOOKUP($AB245,変換表貼り付け用シート!$A$3:$AN$3000,18,FALSE)))</f>
        <v>#N/A</v>
      </c>
      <c r="AL245" s="81" t="e">
        <f>IF(VLOOKUP($AB245,変換表貼り付け用シート!$A$3:$AN$3000,19,FALSE)="","",(VLOOKUP($AB245,変換表貼り付け用シート!$A$3:$AN$3000,19,FALSE)))</f>
        <v>#N/A</v>
      </c>
      <c r="AM245" s="75" t="e">
        <f>IF(VLOOKUP($AB245,変換表貼り付け用シート!$A$3:$AN$3000,20,FALSE)="","",(VLOOKUP($AB245,変換表貼り付け用シート!$A$3:$AN$3000,20,FALSE)))</f>
        <v>#N/A</v>
      </c>
    </row>
    <row r="246" spans="2:39" ht="21" customHeight="1" x14ac:dyDescent="0.35">
      <c r="B246" s="39"/>
      <c r="C246" s="117" t="s">
        <v>950</v>
      </c>
      <c r="D246" s="96" t="s">
        <v>449</v>
      </c>
      <c r="E246" s="27" t="s">
        <v>44</v>
      </c>
      <c r="F246" s="37" t="s">
        <v>45</v>
      </c>
      <c r="G246" s="33" t="s">
        <v>206</v>
      </c>
      <c r="H246" s="27" t="s">
        <v>419</v>
      </c>
      <c r="I246" s="27" t="s">
        <v>206</v>
      </c>
      <c r="J246" s="37" t="s">
        <v>419</v>
      </c>
      <c r="K246" s="39" t="s">
        <v>88</v>
      </c>
      <c r="L246" s="28" t="s">
        <v>94</v>
      </c>
      <c r="M246" s="28" t="s">
        <v>48</v>
      </c>
      <c r="N246" s="41" t="s">
        <v>78</v>
      </c>
      <c r="O246" s="39" t="s">
        <v>57</v>
      </c>
      <c r="P246" s="28"/>
      <c r="Q246" s="28"/>
      <c r="R246" s="41"/>
      <c r="S246" s="39"/>
      <c r="T246" s="41"/>
      <c r="U246" s="39"/>
      <c r="V246" s="41"/>
      <c r="W246" s="43" t="s">
        <v>711</v>
      </c>
      <c r="X246" s="33"/>
      <c r="Y246" s="27"/>
      <c r="Z246" s="29"/>
      <c r="AB246" s="73" t="str">
        <f t="shared" si="6"/>
        <v>HUBFR イナーシャ－</v>
      </c>
      <c r="AC246" s="74" t="e">
        <f>VLOOKUP($AB246,変換表貼り付け用シート!$A$3:$AN$1133,3,FALSE)</f>
        <v>#N/A</v>
      </c>
      <c r="AD246" s="74" t="e">
        <f t="shared" si="7"/>
        <v>#N/A</v>
      </c>
      <c r="AE246" s="79" t="e">
        <f>IF(VLOOKUP($AB246,変換表貼り付け用シート!$A$3:$AN$3000,12,FALSE)="","",(VLOOKUP($AB246,変換表貼り付け用シート!$A$3:$AN$3000,12,FALSE)))</f>
        <v>#N/A</v>
      </c>
      <c r="AF246" s="80" t="e">
        <f>IF(VLOOKUP($AB246,変換表貼り付け用シート!$A$3:$AN$3000,13,FALSE)="","",(VLOOKUP($AB246,変換表貼り付け用シート!$A$3:$AN$3000,13,FALSE)))</f>
        <v>#N/A</v>
      </c>
      <c r="AG246" s="80" t="e">
        <f>IF(VLOOKUP($AB246,変換表貼り付け用シート!$A$3:$AN$3000,14,FALSE)="","",(VLOOKUP($AB246,変換表貼り付け用シート!$A$3:$AN$3000,14,FALSE)))</f>
        <v>#N/A</v>
      </c>
      <c r="AH246" s="85" t="e">
        <f>IF(VLOOKUP($AB246,変換表貼り付け用シート!$A$3:$AN$3000,15,FALSE)="","",(VLOOKUP($AB246,変換表貼り付け用シート!$A$3:$AN$3000,15,FALSE)))</f>
        <v>#N/A</v>
      </c>
      <c r="AI246" s="79" t="e">
        <f>IF(VLOOKUP($AB246,変換表貼り付け用シート!$A$3:$AN$3000,16,FALSE)="","",(VLOOKUP($AB246,変換表貼り付け用シート!$A$3:$AN$3000,16,FALSE)))</f>
        <v>#N/A</v>
      </c>
      <c r="AJ246" s="81" t="e">
        <f>IF(VLOOKUP($AB246,変換表貼り付け用シート!$A$3:$AN$3000,17,FALSE)="","",(VLOOKUP($AB246,変換表貼り付け用シート!$A$3:$AN$3000,17,FALSE)))</f>
        <v>#N/A</v>
      </c>
      <c r="AK246" s="88" t="e">
        <f>IF(VLOOKUP($AB246,変換表貼り付け用シート!$A$3:$AN$3000,18,FALSE)="","",(VLOOKUP($AB246,変換表貼り付け用シート!$A$3:$AN$3000,18,FALSE)))</f>
        <v>#N/A</v>
      </c>
      <c r="AL246" s="81" t="e">
        <f>IF(VLOOKUP($AB246,変換表貼り付け用シート!$A$3:$AN$3000,19,FALSE)="","",(VLOOKUP($AB246,変換表貼り付け用シート!$A$3:$AN$3000,19,FALSE)))</f>
        <v>#N/A</v>
      </c>
      <c r="AM246" s="75" t="e">
        <f>IF(VLOOKUP($AB246,変換表貼り付け用シート!$A$3:$AN$3000,20,FALSE)="","",(VLOOKUP($AB246,変換表貼り付け用シート!$A$3:$AN$3000,20,FALSE)))</f>
        <v>#N/A</v>
      </c>
    </row>
    <row r="247" spans="2:39" ht="21" customHeight="1" x14ac:dyDescent="0.35">
      <c r="B247" s="39"/>
      <c r="C247" s="117" t="s">
        <v>951</v>
      </c>
      <c r="D247" s="96" t="s">
        <v>450</v>
      </c>
      <c r="E247" s="27" t="s">
        <v>44</v>
      </c>
      <c r="F247" s="37" t="s">
        <v>45</v>
      </c>
      <c r="G247" s="33" t="s">
        <v>206</v>
      </c>
      <c r="H247" s="27" t="s">
        <v>419</v>
      </c>
      <c r="I247" s="27" t="s">
        <v>206</v>
      </c>
      <c r="J247" s="37" t="s">
        <v>419</v>
      </c>
      <c r="K247" s="39" t="s">
        <v>88</v>
      </c>
      <c r="L247" s="28" t="s">
        <v>95</v>
      </c>
      <c r="M247" s="28" t="s">
        <v>48</v>
      </c>
      <c r="N247" s="41" t="s">
        <v>78</v>
      </c>
      <c r="O247" s="39" t="s">
        <v>57</v>
      </c>
      <c r="P247" s="28"/>
      <c r="Q247" s="28"/>
      <c r="R247" s="41"/>
      <c r="S247" s="39"/>
      <c r="T247" s="41"/>
      <c r="U247" s="39"/>
      <c r="V247" s="41"/>
      <c r="W247" s="43" t="s">
        <v>711</v>
      </c>
      <c r="X247" s="33"/>
      <c r="Y247" s="27"/>
      <c r="Z247" s="29"/>
      <c r="AB247" s="73" t="str">
        <f t="shared" si="6"/>
        <v>HUBRR イナーシャ－</v>
      </c>
      <c r="AC247" s="74" t="e">
        <f>VLOOKUP($AB247,変換表貼り付け用シート!$A$3:$AN$1133,3,FALSE)</f>
        <v>#N/A</v>
      </c>
      <c r="AD247" s="74" t="e">
        <f t="shared" si="7"/>
        <v>#N/A</v>
      </c>
      <c r="AE247" s="79" t="e">
        <f>IF(VLOOKUP($AB247,変換表貼り付け用シート!$A$3:$AN$3000,12,FALSE)="","",(VLOOKUP($AB247,変換表貼り付け用シート!$A$3:$AN$3000,12,FALSE)))</f>
        <v>#N/A</v>
      </c>
      <c r="AF247" s="80" t="e">
        <f>IF(VLOOKUP($AB247,変換表貼り付け用シート!$A$3:$AN$3000,13,FALSE)="","",(VLOOKUP($AB247,変換表貼り付け用シート!$A$3:$AN$3000,13,FALSE)))</f>
        <v>#N/A</v>
      </c>
      <c r="AG247" s="80" t="e">
        <f>IF(VLOOKUP($AB247,変換表貼り付け用シート!$A$3:$AN$3000,14,FALSE)="","",(VLOOKUP($AB247,変換表貼り付け用シート!$A$3:$AN$3000,14,FALSE)))</f>
        <v>#N/A</v>
      </c>
      <c r="AH247" s="85" t="e">
        <f>IF(VLOOKUP($AB247,変換表貼り付け用シート!$A$3:$AN$3000,15,FALSE)="","",(VLOOKUP($AB247,変換表貼り付け用シート!$A$3:$AN$3000,15,FALSE)))</f>
        <v>#N/A</v>
      </c>
      <c r="AI247" s="79" t="e">
        <f>IF(VLOOKUP($AB247,変換表貼り付け用シート!$A$3:$AN$3000,16,FALSE)="","",(VLOOKUP($AB247,変換表貼り付け用シート!$A$3:$AN$3000,16,FALSE)))</f>
        <v>#N/A</v>
      </c>
      <c r="AJ247" s="81" t="e">
        <f>IF(VLOOKUP($AB247,変換表貼り付け用シート!$A$3:$AN$3000,17,FALSE)="","",(VLOOKUP($AB247,変換表貼り付け用シート!$A$3:$AN$3000,17,FALSE)))</f>
        <v>#N/A</v>
      </c>
      <c r="AK247" s="88" t="e">
        <f>IF(VLOOKUP($AB247,変換表貼り付け用シート!$A$3:$AN$3000,18,FALSE)="","",(VLOOKUP($AB247,変換表貼り付け用シート!$A$3:$AN$3000,18,FALSE)))</f>
        <v>#N/A</v>
      </c>
      <c r="AL247" s="81" t="e">
        <f>IF(VLOOKUP($AB247,変換表貼り付け用シート!$A$3:$AN$3000,19,FALSE)="","",(VLOOKUP($AB247,変換表貼り付け用シート!$A$3:$AN$3000,19,FALSE)))</f>
        <v>#N/A</v>
      </c>
      <c r="AM247" s="75" t="e">
        <f>IF(VLOOKUP($AB247,変換表貼り付け用シート!$A$3:$AN$3000,20,FALSE)="","",(VLOOKUP($AB247,変換表貼り付け用シート!$A$3:$AN$3000,20,FALSE)))</f>
        <v>#N/A</v>
      </c>
    </row>
    <row r="248" spans="2:39" ht="21" customHeight="1" x14ac:dyDescent="0.35">
      <c r="B248" s="39"/>
      <c r="C248" s="117" t="s">
        <v>952</v>
      </c>
      <c r="D248" s="96" t="s">
        <v>451</v>
      </c>
      <c r="E248" s="27" t="s">
        <v>44</v>
      </c>
      <c r="F248" s="37" t="s">
        <v>45</v>
      </c>
      <c r="G248" s="33" t="s">
        <v>206</v>
      </c>
      <c r="H248" s="27" t="s">
        <v>419</v>
      </c>
      <c r="I248" s="27" t="s">
        <v>206</v>
      </c>
      <c r="J248" s="37" t="s">
        <v>419</v>
      </c>
      <c r="K248" s="39" t="s">
        <v>96</v>
      </c>
      <c r="L248" s="28" t="s">
        <v>97</v>
      </c>
      <c r="M248" s="28" t="s">
        <v>48</v>
      </c>
      <c r="N248" s="41" t="s">
        <v>90</v>
      </c>
      <c r="O248" s="39">
        <v>2</v>
      </c>
      <c r="P248" s="28"/>
      <c r="Q248" s="28"/>
      <c r="R248" s="41"/>
      <c r="S248" s="39"/>
      <c r="T248" s="41"/>
      <c r="U248" s="39"/>
      <c r="V248" s="41"/>
      <c r="W248" s="43" t="s">
        <v>711</v>
      </c>
      <c r="X248" s="33"/>
      <c r="Y248" s="27"/>
      <c r="Z248" s="29"/>
      <c r="AB248" s="73" t="str">
        <f t="shared" si="6"/>
        <v>ブレーキ引き摺りトルク (＠経験圧3Mpa) －</v>
      </c>
      <c r="AC248" s="74" t="e">
        <f>VLOOKUP($AB248,変換表貼り付け用シート!$A$3:$AN$1133,3,FALSE)</f>
        <v>#N/A</v>
      </c>
      <c r="AD248" s="74" t="e">
        <f t="shared" si="7"/>
        <v>#N/A</v>
      </c>
      <c r="AE248" s="79" t="e">
        <f>IF(VLOOKUP($AB248,変換表貼り付け用シート!$A$3:$AN$3000,12,FALSE)="","",(VLOOKUP($AB248,変換表貼り付け用シート!$A$3:$AN$3000,12,FALSE)))</f>
        <v>#N/A</v>
      </c>
      <c r="AF248" s="80" t="e">
        <f>IF(VLOOKUP($AB248,変換表貼り付け用シート!$A$3:$AN$3000,13,FALSE)="","",(VLOOKUP($AB248,変換表貼り付け用シート!$A$3:$AN$3000,13,FALSE)))</f>
        <v>#N/A</v>
      </c>
      <c r="AG248" s="80" t="e">
        <f>IF(VLOOKUP($AB248,変換表貼り付け用シート!$A$3:$AN$3000,14,FALSE)="","",(VLOOKUP($AB248,変換表貼り付け用シート!$A$3:$AN$3000,14,FALSE)))</f>
        <v>#N/A</v>
      </c>
      <c r="AH248" s="85" t="e">
        <f>IF(VLOOKUP($AB248,変換表貼り付け用シート!$A$3:$AN$3000,15,FALSE)="","",(VLOOKUP($AB248,変換表貼り付け用シート!$A$3:$AN$3000,15,FALSE)))</f>
        <v>#N/A</v>
      </c>
      <c r="AI248" s="79" t="e">
        <f>IF(VLOOKUP($AB248,変換表貼り付け用シート!$A$3:$AN$3000,16,FALSE)="","",(VLOOKUP($AB248,変換表貼り付け用シート!$A$3:$AN$3000,16,FALSE)))</f>
        <v>#N/A</v>
      </c>
      <c r="AJ248" s="81" t="e">
        <f>IF(VLOOKUP($AB248,変換表貼り付け用シート!$A$3:$AN$3000,17,FALSE)="","",(VLOOKUP($AB248,変換表貼り付け用シート!$A$3:$AN$3000,17,FALSE)))</f>
        <v>#N/A</v>
      </c>
      <c r="AK248" s="88" t="e">
        <f>IF(VLOOKUP($AB248,変換表貼り付け用シート!$A$3:$AN$3000,18,FALSE)="","",(VLOOKUP($AB248,変換表貼り付け用シート!$A$3:$AN$3000,18,FALSE)))</f>
        <v>#N/A</v>
      </c>
      <c r="AL248" s="81" t="e">
        <f>IF(VLOOKUP($AB248,変換表貼り付け用シート!$A$3:$AN$3000,19,FALSE)="","",(VLOOKUP($AB248,変換表貼り付け用シート!$A$3:$AN$3000,19,FALSE)))</f>
        <v>#N/A</v>
      </c>
      <c r="AM248" s="75" t="e">
        <f>IF(VLOOKUP($AB248,変換表貼り付け用シート!$A$3:$AN$3000,20,FALSE)="","",(VLOOKUP($AB248,変換表貼り付け用シート!$A$3:$AN$3000,20,FALSE)))</f>
        <v>#N/A</v>
      </c>
    </row>
    <row r="249" spans="2:39" ht="21" customHeight="1" x14ac:dyDescent="0.35">
      <c r="B249" s="39"/>
      <c r="C249" s="117" t="s">
        <v>953</v>
      </c>
      <c r="D249" s="96" t="s">
        <v>452</v>
      </c>
      <c r="E249" s="27" t="s">
        <v>44</v>
      </c>
      <c r="F249" s="37" t="s">
        <v>45</v>
      </c>
      <c r="G249" s="33" t="s">
        <v>206</v>
      </c>
      <c r="H249" s="27" t="s">
        <v>419</v>
      </c>
      <c r="I249" s="27" t="s">
        <v>206</v>
      </c>
      <c r="J249" s="37" t="s">
        <v>419</v>
      </c>
      <c r="K249" s="39" t="s">
        <v>96</v>
      </c>
      <c r="L249" s="28" t="s">
        <v>98</v>
      </c>
      <c r="M249" s="28" t="s">
        <v>48</v>
      </c>
      <c r="N249" s="41" t="s">
        <v>90</v>
      </c>
      <c r="O249" s="39" t="s">
        <v>57</v>
      </c>
      <c r="P249" s="28"/>
      <c r="Q249" s="28"/>
      <c r="R249" s="41"/>
      <c r="S249" s="39"/>
      <c r="T249" s="41"/>
      <c r="U249" s="39"/>
      <c r="V249" s="41"/>
      <c r="W249" s="43" t="s">
        <v>711</v>
      </c>
      <c r="X249" s="33"/>
      <c r="Y249" s="27"/>
      <c r="Z249" s="29"/>
      <c r="AB249" s="73" t="str">
        <f t="shared" si="6"/>
        <v>ブレーキFR引き摺りトルク (経験圧3Mpa＠60kph)－</v>
      </c>
      <c r="AC249" s="74" t="e">
        <f>VLOOKUP($AB249,変換表貼り付け用シート!$A$3:$AN$1133,3,FALSE)</f>
        <v>#N/A</v>
      </c>
      <c r="AD249" s="74" t="e">
        <f t="shared" si="7"/>
        <v>#N/A</v>
      </c>
      <c r="AE249" s="79" t="e">
        <f>IF(VLOOKUP($AB249,変換表貼り付け用シート!$A$3:$AN$3000,12,FALSE)="","",(VLOOKUP($AB249,変換表貼り付け用シート!$A$3:$AN$3000,12,FALSE)))</f>
        <v>#N/A</v>
      </c>
      <c r="AF249" s="80" t="e">
        <f>IF(VLOOKUP($AB249,変換表貼り付け用シート!$A$3:$AN$3000,13,FALSE)="","",(VLOOKUP($AB249,変換表貼り付け用シート!$A$3:$AN$3000,13,FALSE)))</f>
        <v>#N/A</v>
      </c>
      <c r="AG249" s="80" t="e">
        <f>IF(VLOOKUP($AB249,変換表貼り付け用シート!$A$3:$AN$3000,14,FALSE)="","",(VLOOKUP($AB249,変換表貼り付け用シート!$A$3:$AN$3000,14,FALSE)))</f>
        <v>#N/A</v>
      </c>
      <c r="AH249" s="85" t="e">
        <f>IF(VLOOKUP($AB249,変換表貼り付け用シート!$A$3:$AN$3000,15,FALSE)="","",(VLOOKUP($AB249,変換表貼り付け用シート!$A$3:$AN$3000,15,FALSE)))</f>
        <v>#N/A</v>
      </c>
      <c r="AI249" s="79" t="e">
        <f>IF(VLOOKUP($AB249,変換表貼り付け用シート!$A$3:$AN$3000,16,FALSE)="","",(VLOOKUP($AB249,変換表貼り付け用シート!$A$3:$AN$3000,16,FALSE)))</f>
        <v>#N/A</v>
      </c>
      <c r="AJ249" s="81" t="e">
        <f>IF(VLOOKUP($AB249,変換表貼り付け用シート!$A$3:$AN$3000,17,FALSE)="","",(VLOOKUP($AB249,変換表貼り付け用シート!$A$3:$AN$3000,17,FALSE)))</f>
        <v>#N/A</v>
      </c>
      <c r="AK249" s="88" t="e">
        <f>IF(VLOOKUP($AB249,変換表貼り付け用シート!$A$3:$AN$3000,18,FALSE)="","",(VLOOKUP($AB249,変換表貼り付け用シート!$A$3:$AN$3000,18,FALSE)))</f>
        <v>#N/A</v>
      </c>
      <c r="AL249" s="81" t="e">
        <f>IF(VLOOKUP($AB249,変換表貼り付け用シート!$A$3:$AN$3000,19,FALSE)="","",(VLOOKUP($AB249,変換表貼り付け用シート!$A$3:$AN$3000,19,FALSE)))</f>
        <v>#N/A</v>
      </c>
      <c r="AM249" s="75" t="e">
        <f>IF(VLOOKUP($AB249,変換表貼り付け用シート!$A$3:$AN$3000,20,FALSE)="","",(VLOOKUP($AB249,変換表貼り付け用シート!$A$3:$AN$3000,20,FALSE)))</f>
        <v>#N/A</v>
      </c>
    </row>
    <row r="250" spans="2:39" ht="21" customHeight="1" x14ac:dyDescent="0.35">
      <c r="B250" s="39"/>
      <c r="C250" s="117" t="s">
        <v>954</v>
      </c>
      <c r="D250" s="96" t="s">
        <v>453</v>
      </c>
      <c r="E250" s="27" t="s">
        <v>44</v>
      </c>
      <c r="F250" s="37" t="s">
        <v>45</v>
      </c>
      <c r="G250" s="33" t="s">
        <v>206</v>
      </c>
      <c r="H250" s="27" t="s">
        <v>419</v>
      </c>
      <c r="I250" s="27" t="s">
        <v>206</v>
      </c>
      <c r="J250" s="37" t="s">
        <v>419</v>
      </c>
      <c r="K250" s="39" t="s">
        <v>96</v>
      </c>
      <c r="L250" s="28" t="s">
        <v>99</v>
      </c>
      <c r="M250" s="28" t="s">
        <v>48</v>
      </c>
      <c r="N250" s="41" t="s">
        <v>90</v>
      </c>
      <c r="O250" s="39" t="s">
        <v>57</v>
      </c>
      <c r="P250" s="28"/>
      <c r="Q250" s="28"/>
      <c r="R250" s="41"/>
      <c r="S250" s="39"/>
      <c r="T250" s="41"/>
      <c r="U250" s="39"/>
      <c r="V250" s="41"/>
      <c r="W250" s="43" t="s">
        <v>711</v>
      </c>
      <c r="X250" s="33"/>
      <c r="Y250" s="27"/>
      <c r="Z250" s="29"/>
      <c r="AB250" s="73" t="str">
        <f t="shared" si="6"/>
        <v>ブレーキRR引き摺りトルク(経験圧3Mpa＠60kph)－</v>
      </c>
      <c r="AC250" s="74" t="e">
        <f>VLOOKUP($AB250,変換表貼り付け用シート!$A$3:$AN$1133,3,FALSE)</f>
        <v>#N/A</v>
      </c>
      <c r="AD250" s="74" t="e">
        <f t="shared" si="7"/>
        <v>#N/A</v>
      </c>
      <c r="AE250" s="79" t="e">
        <f>IF(VLOOKUP($AB250,変換表貼り付け用シート!$A$3:$AN$3000,12,FALSE)="","",(VLOOKUP($AB250,変換表貼り付け用シート!$A$3:$AN$3000,12,FALSE)))</f>
        <v>#N/A</v>
      </c>
      <c r="AF250" s="80" t="e">
        <f>IF(VLOOKUP($AB250,変換表貼り付け用シート!$A$3:$AN$3000,13,FALSE)="","",(VLOOKUP($AB250,変換表貼り付け用シート!$A$3:$AN$3000,13,FALSE)))</f>
        <v>#N/A</v>
      </c>
      <c r="AG250" s="80" t="e">
        <f>IF(VLOOKUP($AB250,変換表貼り付け用シート!$A$3:$AN$3000,14,FALSE)="","",(VLOOKUP($AB250,変換表貼り付け用シート!$A$3:$AN$3000,14,FALSE)))</f>
        <v>#N/A</v>
      </c>
      <c r="AH250" s="85" t="e">
        <f>IF(VLOOKUP($AB250,変換表貼り付け用シート!$A$3:$AN$3000,15,FALSE)="","",(VLOOKUP($AB250,変換表貼り付け用シート!$A$3:$AN$3000,15,FALSE)))</f>
        <v>#N/A</v>
      </c>
      <c r="AI250" s="79" t="e">
        <f>IF(VLOOKUP($AB250,変換表貼り付け用シート!$A$3:$AN$3000,16,FALSE)="","",(VLOOKUP($AB250,変換表貼り付け用シート!$A$3:$AN$3000,16,FALSE)))</f>
        <v>#N/A</v>
      </c>
      <c r="AJ250" s="81" t="e">
        <f>IF(VLOOKUP($AB250,変換表貼り付け用シート!$A$3:$AN$3000,17,FALSE)="","",(VLOOKUP($AB250,変換表貼り付け用シート!$A$3:$AN$3000,17,FALSE)))</f>
        <v>#N/A</v>
      </c>
      <c r="AK250" s="88" t="e">
        <f>IF(VLOOKUP($AB250,変換表貼り付け用シート!$A$3:$AN$3000,18,FALSE)="","",(VLOOKUP($AB250,変換表貼り付け用シート!$A$3:$AN$3000,18,FALSE)))</f>
        <v>#N/A</v>
      </c>
      <c r="AL250" s="81" t="e">
        <f>IF(VLOOKUP($AB250,変換表貼り付け用シート!$A$3:$AN$3000,19,FALSE)="","",(VLOOKUP($AB250,変換表貼り付け用シート!$A$3:$AN$3000,19,FALSE)))</f>
        <v>#N/A</v>
      </c>
      <c r="AM250" s="75" t="e">
        <f>IF(VLOOKUP($AB250,変換表貼り付け用シート!$A$3:$AN$3000,20,FALSE)="","",(VLOOKUP($AB250,変換表貼り付け用シート!$A$3:$AN$3000,20,FALSE)))</f>
        <v>#N/A</v>
      </c>
    </row>
    <row r="251" spans="2:39" ht="21" customHeight="1" x14ac:dyDescent="0.35">
      <c r="B251" s="39"/>
      <c r="C251" s="117" t="s">
        <v>955</v>
      </c>
      <c r="D251" s="96" t="s">
        <v>454</v>
      </c>
      <c r="E251" s="27" t="s">
        <v>44</v>
      </c>
      <c r="F251" s="37" t="s">
        <v>45</v>
      </c>
      <c r="G251" s="33" t="s">
        <v>206</v>
      </c>
      <c r="H251" s="27" t="s">
        <v>419</v>
      </c>
      <c r="I251" s="27" t="s">
        <v>206</v>
      </c>
      <c r="J251" s="37" t="s">
        <v>419</v>
      </c>
      <c r="K251" s="39" t="s">
        <v>96</v>
      </c>
      <c r="L251" s="28" t="s">
        <v>100</v>
      </c>
      <c r="M251" s="28" t="s">
        <v>48</v>
      </c>
      <c r="N251" s="41" t="s">
        <v>78</v>
      </c>
      <c r="O251" s="39">
        <v>0</v>
      </c>
      <c r="P251" s="28"/>
      <c r="Q251" s="28"/>
      <c r="R251" s="41"/>
      <c r="S251" s="39"/>
      <c r="T251" s="41"/>
      <c r="U251" s="39"/>
      <c r="V251" s="41"/>
      <c r="W251" s="43" t="s">
        <v>711</v>
      </c>
      <c r="X251" s="33"/>
      <c r="Y251" s="27"/>
      <c r="Z251" s="29"/>
      <c r="AB251" s="73" t="str">
        <f t="shared" si="6"/>
        <v>ブレーキFRイナーシャ－</v>
      </c>
      <c r="AC251" s="74" t="e">
        <f>VLOOKUP($AB251,変換表貼り付け用シート!$A$3:$AN$1133,3,FALSE)</f>
        <v>#N/A</v>
      </c>
      <c r="AD251" s="74" t="e">
        <f t="shared" si="7"/>
        <v>#N/A</v>
      </c>
      <c r="AE251" s="79" t="e">
        <f>IF(VLOOKUP($AB251,変換表貼り付け用シート!$A$3:$AN$3000,12,FALSE)="","",(VLOOKUP($AB251,変換表貼り付け用シート!$A$3:$AN$3000,12,FALSE)))</f>
        <v>#N/A</v>
      </c>
      <c r="AF251" s="80" t="e">
        <f>IF(VLOOKUP($AB251,変換表貼り付け用シート!$A$3:$AN$3000,13,FALSE)="","",(VLOOKUP($AB251,変換表貼り付け用シート!$A$3:$AN$3000,13,FALSE)))</f>
        <v>#N/A</v>
      </c>
      <c r="AG251" s="80" t="e">
        <f>IF(VLOOKUP($AB251,変換表貼り付け用シート!$A$3:$AN$3000,14,FALSE)="","",(VLOOKUP($AB251,変換表貼り付け用シート!$A$3:$AN$3000,14,FALSE)))</f>
        <v>#N/A</v>
      </c>
      <c r="AH251" s="85" t="e">
        <f>IF(VLOOKUP($AB251,変換表貼り付け用シート!$A$3:$AN$3000,15,FALSE)="","",(VLOOKUP($AB251,変換表貼り付け用シート!$A$3:$AN$3000,15,FALSE)))</f>
        <v>#N/A</v>
      </c>
      <c r="AI251" s="79" t="e">
        <f>IF(VLOOKUP($AB251,変換表貼り付け用シート!$A$3:$AN$3000,16,FALSE)="","",(VLOOKUP($AB251,変換表貼り付け用シート!$A$3:$AN$3000,16,FALSE)))</f>
        <v>#N/A</v>
      </c>
      <c r="AJ251" s="81" t="e">
        <f>IF(VLOOKUP($AB251,変換表貼り付け用シート!$A$3:$AN$3000,17,FALSE)="","",(VLOOKUP($AB251,変換表貼り付け用シート!$A$3:$AN$3000,17,FALSE)))</f>
        <v>#N/A</v>
      </c>
      <c r="AK251" s="88" t="e">
        <f>IF(VLOOKUP($AB251,変換表貼り付け用シート!$A$3:$AN$3000,18,FALSE)="","",(VLOOKUP($AB251,変換表貼り付け用シート!$A$3:$AN$3000,18,FALSE)))</f>
        <v>#N/A</v>
      </c>
      <c r="AL251" s="81" t="e">
        <f>IF(VLOOKUP($AB251,変換表貼り付け用シート!$A$3:$AN$3000,19,FALSE)="","",(VLOOKUP($AB251,変換表貼り付け用シート!$A$3:$AN$3000,19,FALSE)))</f>
        <v>#N/A</v>
      </c>
      <c r="AM251" s="75" t="e">
        <f>IF(VLOOKUP($AB251,変換表貼り付け用シート!$A$3:$AN$3000,20,FALSE)="","",(VLOOKUP($AB251,変換表貼り付け用シート!$A$3:$AN$3000,20,FALSE)))</f>
        <v>#N/A</v>
      </c>
    </row>
    <row r="252" spans="2:39" ht="21" customHeight="1" x14ac:dyDescent="0.35">
      <c r="B252" s="39"/>
      <c r="C252" s="117" t="s">
        <v>956</v>
      </c>
      <c r="D252" s="96" t="s">
        <v>455</v>
      </c>
      <c r="E252" s="27" t="s">
        <v>44</v>
      </c>
      <c r="F252" s="37" t="s">
        <v>45</v>
      </c>
      <c r="G252" s="33" t="s">
        <v>206</v>
      </c>
      <c r="H252" s="27" t="s">
        <v>419</v>
      </c>
      <c r="I252" s="27" t="s">
        <v>206</v>
      </c>
      <c r="J252" s="37" t="s">
        <v>419</v>
      </c>
      <c r="K252" s="39" t="s">
        <v>96</v>
      </c>
      <c r="L252" s="28" t="s">
        <v>101</v>
      </c>
      <c r="M252" s="28" t="s">
        <v>48</v>
      </c>
      <c r="N252" s="41" t="s">
        <v>78</v>
      </c>
      <c r="O252" s="39">
        <v>0</v>
      </c>
      <c r="P252" s="28"/>
      <c r="Q252" s="28"/>
      <c r="R252" s="41"/>
      <c r="S252" s="39"/>
      <c r="T252" s="41"/>
      <c r="U252" s="39"/>
      <c r="V252" s="41"/>
      <c r="W252" s="43" t="s">
        <v>711</v>
      </c>
      <c r="X252" s="33"/>
      <c r="Y252" s="27"/>
      <c r="Z252" s="29"/>
      <c r="AB252" s="73" t="str">
        <f t="shared" si="6"/>
        <v>ブレーキRRイナーシャ－</v>
      </c>
      <c r="AC252" s="74" t="e">
        <f>VLOOKUP($AB252,変換表貼り付け用シート!$A$3:$AN$1133,3,FALSE)</f>
        <v>#N/A</v>
      </c>
      <c r="AD252" s="74" t="e">
        <f t="shared" si="7"/>
        <v>#N/A</v>
      </c>
      <c r="AE252" s="79" t="e">
        <f>IF(VLOOKUP($AB252,変換表貼り付け用シート!$A$3:$AN$3000,12,FALSE)="","",(VLOOKUP($AB252,変換表貼り付け用シート!$A$3:$AN$3000,12,FALSE)))</f>
        <v>#N/A</v>
      </c>
      <c r="AF252" s="80" t="e">
        <f>IF(VLOOKUP($AB252,変換表貼り付け用シート!$A$3:$AN$3000,13,FALSE)="","",(VLOOKUP($AB252,変換表貼り付け用シート!$A$3:$AN$3000,13,FALSE)))</f>
        <v>#N/A</v>
      </c>
      <c r="AG252" s="80" t="e">
        <f>IF(VLOOKUP($AB252,変換表貼り付け用シート!$A$3:$AN$3000,14,FALSE)="","",(VLOOKUP($AB252,変換表貼り付け用シート!$A$3:$AN$3000,14,FALSE)))</f>
        <v>#N/A</v>
      </c>
      <c r="AH252" s="85" t="e">
        <f>IF(VLOOKUP($AB252,変換表貼り付け用シート!$A$3:$AN$3000,15,FALSE)="","",(VLOOKUP($AB252,変換表貼り付け用シート!$A$3:$AN$3000,15,FALSE)))</f>
        <v>#N/A</v>
      </c>
      <c r="AI252" s="79" t="e">
        <f>IF(VLOOKUP($AB252,変換表貼り付け用シート!$A$3:$AN$3000,16,FALSE)="","",(VLOOKUP($AB252,変換表貼り付け用シート!$A$3:$AN$3000,16,FALSE)))</f>
        <v>#N/A</v>
      </c>
      <c r="AJ252" s="81" t="e">
        <f>IF(VLOOKUP($AB252,変換表貼り付け用シート!$A$3:$AN$3000,17,FALSE)="","",(VLOOKUP($AB252,変換表貼り付け用シート!$A$3:$AN$3000,17,FALSE)))</f>
        <v>#N/A</v>
      </c>
      <c r="AK252" s="88" t="e">
        <f>IF(VLOOKUP($AB252,変換表貼り付け用シート!$A$3:$AN$3000,18,FALSE)="","",(VLOOKUP($AB252,変換表貼り付け用シート!$A$3:$AN$3000,18,FALSE)))</f>
        <v>#N/A</v>
      </c>
      <c r="AL252" s="81" t="e">
        <f>IF(VLOOKUP($AB252,変換表貼り付け用シート!$A$3:$AN$3000,19,FALSE)="","",(VLOOKUP($AB252,変換表貼り付け用シート!$A$3:$AN$3000,19,FALSE)))</f>
        <v>#N/A</v>
      </c>
      <c r="AM252" s="75" t="e">
        <f>IF(VLOOKUP($AB252,変換表貼り付け用シート!$A$3:$AN$3000,20,FALSE)="","",(VLOOKUP($AB252,変換表貼り付け用シート!$A$3:$AN$3000,20,FALSE)))</f>
        <v>#N/A</v>
      </c>
    </row>
    <row r="253" spans="2:39" ht="21" customHeight="1" x14ac:dyDescent="0.35">
      <c r="B253" s="39"/>
      <c r="C253" s="117" t="s">
        <v>957</v>
      </c>
      <c r="D253" s="96" t="s">
        <v>456</v>
      </c>
      <c r="E253" s="27" t="s">
        <v>44</v>
      </c>
      <c r="F253" s="37" t="s">
        <v>45</v>
      </c>
      <c r="G253" s="33" t="s">
        <v>206</v>
      </c>
      <c r="H253" s="27" t="s">
        <v>419</v>
      </c>
      <c r="I253" s="27" t="s">
        <v>206</v>
      </c>
      <c r="J253" s="37" t="s">
        <v>419</v>
      </c>
      <c r="K253" s="39" t="s">
        <v>102</v>
      </c>
      <c r="L253" s="28" t="s">
        <v>103</v>
      </c>
      <c r="M253" s="28" t="s">
        <v>48</v>
      </c>
      <c r="N253" s="41" t="s">
        <v>104</v>
      </c>
      <c r="O253" s="39" t="s">
        <v>57</v>
      </c>
      <c r="P253" s="28"/>
      <c r="Q253" s="28"/>
      <c r="R253" s="41"/>
      <c r="S253" s="39"/>
      <c r="T253" s="41"/>
      <c r="U253" s="39"/>
      <c r="V253" s="41"/>
      <c r="W253" s="43" t="s">
        <v>711</v>
      </c>
      <c r="X253" s="33"/>
      <c r="Y253" s="27"/>
      <c r="Z253" s="29"/>
      <c r="AB253" s="73" t="str">
        <f t="shared" si="6"/>
        <v>車両姿勢グランドクリアランスMin－</v>
      </c>
      <c r="AC253" s="74" t="e">
        <f>VLOOKUP($AB253,変換表貼り付け用シート!$A$3:$AN$1133,3,FALSE)</f>
        <v>#N/A</v>
      </c>
      <c r="AD253" s="74" t="e">
        <f t="shared" si="7"/>
        <v>#N/A</v>
      </c>
      <c r="AE253" s="79" t="e">
        <f>IF(VLOOKUP($AB253,変換表貼り付け用シート!$A$3:$AN$3000,12,FALSE)="","",(VLOOKUP($AB253,変換表貼り付け用シート!$A$3:$AN$3000,12,FALSE)))</f>
        <v>#N/A</v>
      </c>
      <c r="AF253" s="80" t="e">
        <f>IF(VLOOKUP($AB253,変換表貼り付け用シート!$A$3:$AN$3000,13,FALSE)="","",(VLOOKUP($AB253,変換表貼り付け用シート!$A$3:$AN$3000,13,FALSE)))</f>
        <v>#N/A</v>
      </c>
      <c r="AG253" s="80" t="e">
        <f>IF(VLOOKUP($AB253,変換表貼り付け用シート!$A$3:$AN$3000,14,FALSE)="","",(VLOOKUP($AB253,変換表貼り付け用シート!$A$3:$AN$3000,14,FALSE)))</f>
        <v>#N/A</v>
      </c>
      <c r="AH253" s="85" t="e">
        <f>IF(VLOOKUP($AB253,変換表貼り付け用シート!$A$3:$AN$3000,15,FALSE)="","",(VLOOKUP($AB253,変換表貼り付け用シート!$A$3:$AN$3000,15,FALSE)))</f>
        <v>#N/A</v>
      </c>
      <c r="AI253" s="79" t="e">
        <f>IF(VLOOKUP($AB253,変換表貼り付け用シート!$A$3:$AN$3000,16,FALSE)="","",(VLOOKUP($AB253,変換表貼り付け用シート!$A$3:$AN$3000,16,FALSE)))</f>
        <v>#N/A</v>
      </c>
      <c r="AJ253" s="81" t="e">
        <f>IF(VLOOKUP($AB253,変換表貼り付け用シート!$A$3:$AN$3000,17,FALSE)="","",(VLOOKUP($AB253,変換表貼り付け用シート!$A$3:$AN$3000,17,FALSE)))</f>
        <v>#N/A</v>
      </c>
      <c r="AK253" s="88" t="e">
        <f>IF(VLOOKUP($AB253,変換表貼り付け用シート!$A$3:$AN$3000,18,FALSE)="","",(VLOOKUP($AB253,変換表貼り付け用シート!$A$3:$AN$3000,18,FALSE)))</f>
        <v>#N/A</v>
      </c>
      <c r="AL253" s="81" t="e">
        <f>IF(VLOOKUP($AB253,変換表貼り付け用シート!$A$3:$AN$3000,19,FALSE)="","",(VLOOKUP($AB253,変換表貼り付け用シート!$A$3:$AN$3000,19,FALSE)))</f>
        <v>#N/A</v>
      </c>
      <c r="AM253" s="75" t="e">
        <f>IF(VLOOKUP($AB253,変換表貼り付け用シート!$A$3:$AN$3000,20,FALSE)="","",(VLOOKUP($AB253,変換表貼り付け用シート!$A$3:$AN$3000,20,FALSE)))</f>
        <v>#N/A</v>
      </c>
    </row>
    <row r="254" spans="2:39" ht="21" customHeight="1" x14ac:dyDescent="0.35">
      <c r="B254" s="39"/>
      <c r="C254" s="117" t="s">
        <v>958</v>
      </c>
      <c r="D254" s="96" t="s">
        <v>457</v>
      </c>
      <c r="E254" s="27" t="s">
        <v>44</v>
      </c>
      <c r="F254" s="37" t="s">
        <v>45</v>
      </c>
      <c r="G254" s="33" t="s">
        <v>206</v>
      </c>
      <c r="H254" s="27" t="s">
        <v>419</v>
      </c>
      <c r="I254" s="27" t="s">
        <v>206</v>
      </c>
      <c r="J254" s="37" t="s">
        <v>419</v>
      </c>
      <c r="K254" s="39" t="s">
        <v>105</v>
      </c>
      <c r="L254" s="28" t="s">
        <v>106</v>
      </c>
      <c r="M254" s="28" t="s">
        <v>48</v>
      </c>
      <c r="N254" s="41" t="s">
        <v>49</v>
      </c>
      <c r="O254" s="39">
        <v>1237</v>
      </c>
      <c r="P254" s="28"/>
      <c r="Q254" s="28"/>
      <c r="R254" s="41"/>
      <c r="S254" s="39"/>
      <c r="T254" s="41"/>
      <c r="U254" s="39"/>
      <c r="V254" s="41"/>
      <c r="W254" s="43" t="s">
        <v>711</v>
      </c>
      <c r="X254" s="33"/>
      <c r="Y254" s="27"/>
      <c r="Z254" s="29"/>
      <c r="AB254" s="73" t="str">
        <f t="shared" si="6"/>
        <v>Test Weight航続距離試験(ETW)Total－</v>
      </c>
      <c r="AC254" s="74" t="e">
        <f>VLOOKUP($AB254,変換表貼り付け用シート!$A$3:$AN$1133,3,FALSE)</f>
        <v>#N/A</v>
      </c>
      <c r="AD254" s="74" t="e">
        <f t="shared" si="7"/>
        <v>#N/A</v>
      </c>
      <c r="AE254" s="79" t="e">
        <f>IF(VLOOKUP($AB254,変換表貼り付け用シート!$A$3:$AN$3000,12,FALSE)="","",(VLOOKUP($AB254,変換表貼り付け用シート!$A$3:$AN$3000,12,FALSE)))</f>
        <v>#N/A</v>
      </c>
      <c r="AF254" s="80" t="e">
        <f>IF(VLOOKUP($AB254,変換表貼り付け用シート!$A$3:$AN$3000,13,FALSE)="","",(VLOOKUP($AB254,変換表貼り付け用シート!$A$3:$AN$3000,13,FALSE)))</f>
        <v>#N/A</v>
      </c>
      <c r="AG254" s="80" t="e">
        <f>IF(VLOOKUP($AB254,変換表貼り付け用シート!$A$3:$AN$3000,14,FALSE)="","",(VLOOKUP($AB254,変換表貼り付け用シート!$A$3:$AN$3000,14,FALSE)))</f>
        <v>#N/A</v>
      </c>
      <c r="AH254" s="85" t="e">
        <f>IF(VLOOKUP($AB254,変換表貼り付け用シート!$A$3:$AN$3000,15,FALSE)="","",(VLOOKUP($AB254,変換表貼り付け用シート!$A$3:$AN$3000,15,FALSE)))</f>
        <v>#N/A</v>
      </c>
      <c r="AI254" s="79" t="e">
        <f>IF(VLOOKUP($AB254,変換表貼り付け用シート!$A$3:$AN$3000,16,FALSE)="","",(VLOOKUP($AB254,変換表貼り付け用シート!$A$3:$AN$3000,16,FALSE)))</f>
        <v>#N/A</v>
      </c>
      <c r="AJ254" s="81" t="e">
        <f>IF(VLOOKUP($AB254,変換表貼り付け用シート!$A$3:$AN$3000,17,FALSE)="","",(VLOOKUP($AB254,変換表貼り付け用シート!$A$3:$AN$3000,17,FALSE)))</f>
        <v>#N/A</v>
      </c>
      <c r="AK254" s="88" t="e">
        <f>IF(VLOOKUP($AB254,変換表貼り付け用シート!$A$3:$AN$3000,18,FALSE)="","",(VLOOKUP($AB254,変換表貼り付け用シート!$A$3:$AN$3000,18,FALSE)))</f>
        <v>#N/A</v>
      </c>
      <c r="AL254" s="81" t="e">
        <f>IF(VLOOKUP($AB254,変換表貼り付け用シート!$A$3:$AN$3000,19,FALSE)="","",(VLOOKUP($AB254,変換表貼り付け用シート!$A$3:$AN$3000,19,FALSE)))</f>
        <v>#N/A</v>
      </c>
      <c r="AM254" s="75" t="e">
        <f>IF(VLOOKUP($AB254,変換表貼り付け用シート!$A$3:$AN$3000,20,FALSE)="","",(VLOOKUP($AB254,変換表貼り付け用シート!$A$3:$AN$3000,20,FALSE)))</f>
        <v>#N/A</v>
      </c>
    </row>
    <row r="255" spans="2:39" ht="21" customHeight="1" x14ac:dyDescent="0.35">
      <c r="B255" s="39"/>
      <c r="C255" s="117" t="s">
        <v>959</v>
      </c>
      <c r="D255" s="96" t="s">
        <v>458</v>
      </c>
      <c r="E255" s="27" t="s">
        <v>44</v>
      </c>
      <c r="F255" s="37" t="s">
        <v>45</v>
      </c>
      <c r="G255" s="33" t="s">
        <v>206</v>
      </c>
      <c r="H255" s="27" t="s">
        <v>419</v>
      </c>
      <c r="I255" s="27" t="s">
        <v>206</v>
      </c>
      <c r="J255" s="37" t="s">
        <v>419</v>
      </c>
      <c r="K255" s="39" t="s">
        <v>105</v>
      </c>
      <c r="L255" s="28" t="s">
        <v>107</v>
      </c>
      <c r="M255" s="28" t="s">
        <v>48</v>
      </c>
      <c r="N255" s="41" t="s">
        <v>49</v>
      </c>
      <c r="O255" s="39" t="s">
        <v>108</v>
      </c>
      <c r="P255" s="28"/>
      <c r="Q255" s="28"/>
      <c r="R255" s="41"/>
      <c r="S255" s="39"/>
      <c r="T255" s="41"/>
      <c r="U255" s="39"/>
      <c r="V255" s="41"/>
      <c r="W255" s="43" t="s">
        <v>711</v>
      </c>
      <c r="X255" s="33"/>
      <c r="Y255" s="27"/>
      <c r="Z255" s="29"/>
      <c r="AB255" s="73" t="str">
        <f t="shared" si="6"/>
        <v>Test Weight航続距離試験(ETW)FR－</v>
      </c>
      <c r="AC255" s="74" t="e">
        <f>VLOOKUP($AB255,変換表貼り付け用シート!$A$3:$AN$1133,3,FALSE)</f>
        <v>#N/A</v>
      </c>
      <c r="AD255" s="74" t="e">
        <f t="shared" si="7"/>
        <v>#N/A</v>
      </c>
      <c r="AE255" s="79" t="e">
        <f>IF(VLOOKUP($AB255,変換表貼り付け用シート!$A$3:$AN$3000,12,FALSE)="","",(VLOOKUP($AB255,変換表貼り付け用シート!$A$3:$AN$3000,12,FALSE)))</f>
        <v>#N/A</v>
      </c>
      <c r="AF255" s="80" t="e">
        <f>IF(VLOOKUP($AB255,変換表貼り付け用シート!$A$3:$AN$3000,13,FALSE)="","",(VLOOKUP($AB255,変換表貼り付け用シート!$A$3:$AN$3000,13,FALSE)))</f>
        <v>#N/A</v>
      </c>
      <c r="AG255" s="80" t="e">
        <f>IF(VLOOKUP($AB255,変換表貼り付け用シート!$A$3:$AN$3000,14,FALSE)="","",(VLOOKUP($AB255,変換表貼り付け用シート!$A$3:$AN$3000,14,FALSE)))</f>
        <v>#N/A</v>
      </c>
      <c r="AH255" s="85" t="e">
        <f>IF(VLOOKUP($AB255,変換表貼り付け用シート!$A$3:$AN$3000,15,FALSE)="","",(VLOOKUP($AB255,変換表貼り付け用シート!$A$3:$AN$3000,15,FALSE)))</f>
        <v>#N/A</v>
      </c>
      <c r="AI255" s="79" t="e">
        <f>IF(VLOOKUP($AB255,変換表貼り付け用シート!$A$3:$AN$3000,16,FALSE)="","",(VLOOKUP($AB255,変換表貼り付け用シート!$A$3:$AN$3000,16,FALSE)))</f>
        <v>#N/A</v>
      </c>
      <c r="AJ255" s="81" t="e">
        <f>IF(VLOOKUP($AB255,変換表貼り付け用シート!$A$3:$AN$3000,17,FALSE)="","",(VLOOKUP($AB255,変換表貼り付け用シート!$A$3:$AN$3000,17,FALSE)))</f>
        <v>#N/A</v>
      </c>
      <c r="AK255" s="88" t="e">
        <f>IF(VLOOKUP($AB255,変換表貼り付け用シート!$A$3:$AN$3000,18,FALSE)="","",(VLOOKUP($AB255,変換表貼り付け用シート!$A$3:$AN$3000,18,FALSE)))</f>
        <v>#N/A</v>
      </c>
      <c r="AL255" s="81" t="e">
        <f>IF(VLOOKUP($AB255,変換表貼り付け用シート!$A$3:$AN$3000,19,FALSE)="","",(VLOOKUP($AB255,変換表貼り付け用シート!$A$3:$AN$3000,19,FALSE)))</f>
        <v>#N/A</v>
      </c>
      <c r="AM255" s="75" t="e">
        <f>IF(VLOOKUP($AB255,変換表貼り付け用シート!$A$3:$AN$3000,20,FALSE)="","",(VLOOKUP($AB255,変換表貼り付け用シート!$A$3:$AN$3000,20,FALSE)))</f>
        <v>#N/A</v>
      </c>
    </row>
    <row r="256" spans="2:39" ht="21" customHeight="1" x14ac:dyDescent="0.35">
      <c r="B256" s="39"/>
      <c r="C256" s="117" t="s">
        <v>960</v>
      </c>
      <c r="D256" s="96" t="s">
        <v>459</v>
      </c>
      <c r="E256" s="27" t="s">
        <v>44</v>
      </c>
      <c r="F256" s="37" t="s">
        <v>45</v>
      </c>
      <c r="G256" s="33" t="s">
        <v>206</v>
      </c>
      <c r="H256" s="27" t="s">
        <v>419</v>
      </c>
      <c r="I256" s="27" t="s">
        <v>206</v>
      </c>
      <c r="J256" s="37" t="s">
        <v>419</v>
      </c>
      <c r="K256" s="39" t="s">
        <v>105</v>
      </c>
      <c r="L256" s="28" t="s">
        <v>109</v>
      </c>
      <c r="M256" s="28" t="s">
        <v>48</v>
      </c>
      <c r="N256" s="41" t="s">
        <v>49</v>
      </c>
      <c r="O256" s="39" t="s">
        <v>108</v>
      </c>
      <c r="P256" s="28"/>
      <c r="Q256" s="28"/>
      <c r="R256" s="41"/>
      <c r="S256" s="39"/>
      <c r="T256" s="41"/>
      <c r="U256" s="39"/>
      <c r="V256" s="41"/>
      <c r="W256" s="43" t="s">
        <v>711</v>
      </c>
      <c r="X256" s="33"/>
      <c r="Y256" s="27"/>
      <c r="Z256" s="29"/>
      <c r="AB256" s="73" t="str">
        <f t="shared" si="6"/>
        <v>Test Weight航続距離試験(ETW)RR－</v>
      </c>
      <c r="AC256" s="74" t="e">
        <f>VLOOKUP($AB256,変換表貼り付け用シート!$A$3:$AN$1133,3,FALSE)</f>
        <v>#N/A</v>
      </c>
      <c r="AD256" s="74" t="e">
        <f t="shared" si="7"/>
        <v>#N/A</v>
      </c>
      <c r="AE256" s="79" t="e">
        <f>IF(VLOOKUP($AB256,変換表貼り付け用シート!$A$3:$AN$3000,12,FALSE)="","",(VLOOKUP($AB256,変換表貼り付け用シート!$A$3:$AN$3000,12,FALSE)))</f>
        <v>#N/A</v>
      </c>
      <c r="AF256" s="80" t="e">
        <f>IF(VLOOKUP($AB256,変換表貼り付け用シート!$A$3:$AN$3000,13,FALSE)="","",(VLOOKUP($AB256,変換表貼り付け用シート!$A$3:$AN$3000,13,FALSE)))</f>
        <v>#N/A</v>
      </c>
      <c r="AG256" s="80" t="e">
        <f>IF(VLOOKUP($AB256,変換表貼り付け用シート!$A$3:$AN$3000,14,FALSE)="","",(VLOOKUP($AB256,変換表貼り付け用シート!$A$3:$AN$3000,14,FALSE)))</f>
        <v>#N/A</v>
      </c>
      <c r="AH256" s="85" t="e">
        <f>IF(VLOOKUP($AB256,変換表貼り付け用シート!$A$3:$AN$3000,15,FALSE)="","",(VLOOKUP($AB256,変換表貼り付け用シート!$A$3:$AN$3000,15,FALSE)))</f>
        <v>#N/A</v>
      </c>
      <c r="AI256" s="79" t="e">
        <f>IF(VLOOKUP($AB256,変換表貼り付け用シート!$A$3:$AN$3000,16,FALSE)="","",(VLOOKUP($AB256,変換表貼り付け用シート!$A$3:$AN$3000,16,FALSE)))</f>
        <v>#N/A</v>
      </c>
      <c r="AJ256" s="81" t="e">
        <f>IF(VLOOKUP($AB256,変換表貼り付け用シート!$A$3:$AN$3000,17,FALSE)="","",(VLOOKUP($AB256,変換表貼り付け用シート!$A$3:$AN$3000,17,FALSE)))</f>
        <v>#N/A</v>
      </c>
      <c r="AK256" s="88" t="e">
        <f>IF(VLOOKUP($AB256,変換表貼り付け用シート!$A$3:$AN$3000,18,FALSE)="","",(VLOOKUP($AB256,変換表貼り付け用シート!$A$3:$AN$3000,18,FALSE)))</f>
        <v>#N/A</v>
      </c>
      <c r="AL256" s="81" t="e">
        <f>IF(VLOOKUP($AB256,変換表貼り付け用シート!$A$3:$AN$3000,19,FALSE)="","",(VLOOKUP($AB256,変換表貼り付け用シート!$A$3:$AN$3000,19,FALSE)))</f>
        <v>#N/A</v>
      </c>
      <c r="AM256" s="75" t="e">
        <f>IF(VLOOKUP($AB256,変換表貼り付け用シート!$A$3:$AN$3000,20,FALSE)="","",(VLOOKUP($AB256,変換表貼り付け用シート!$A$3:$AN$3000,20,FALSE)))</f>
        <v>#N/A</v>
      </c>
    </row>
    <row r="257" spans="2:39" ht="21" customHeight="1" x14ac:dyDescent="0.35">
      <c r="B257" s="39"/>
      <c r="C257" s="117" t="s">
        <v>961</v>
      </c>
      <c r="D257" s="96" t="s">
        <v>460</v>
      </c>
      <c r="E257" s="27" t="s">
        <v>44</v>
      </c>
      <c r="F257" s="37" t="s">
        <v>45</v>
      </c>
      <c r="G257" s="33" t="s">
        <v>206</v>
      </c>
      <c r="H257" s="27" t="s">
        <v>419</v>
      </c>
      <c r="I257" s="27" t="s">
        <v>206</v>
      </c>
      <c r="J257" s="37" t="s">
        <v>419</v>
      </c>
      <c r="K257" s="39" t="s">
        <v>105</v>
      </c>
      <c r="L257" s="28" t="s">
        <v>110</v>
      </c>
      <c r="M257" s="28" t="s">
        <v>48</v>
      </c>
      <c r="N257" s="41" t="s">
        <v>49</v>
      </c>
      <c r="O257" s="39">
        <v>1322</v>
      </c>
      <c r="P257" s="28"/>
      <c r="Q257" s="28"/>
      <c r="R257" s="41"/>
      <c r="S257" s="39"/>
      <c r="T257" s="41"/>
      <c r="U257" s="39"/>
      <c r="V257" s="41"/>
      <c r="W257" s="43" t="s">
        <v>711</v>
      </c>
      <c r="X257" s="33"/>
      <c r="Y257" s="27"/>
      <c r="Z257" s="29"/>
      <c r="AB257" s="73" t="str">
        <f t="shared" si="6"/>
        <v>Test Weight動力当り前性能 －</v>
      </c>
      <c r="AC257" s="74" t="e">
        <f>VLOOKUP($AB257,変換表貼り付け用シート!$A$3:$AN$1133,3,FALSE)</f>
        <v>#N/A</v>
      </c>
      <c r="AD257" s="74" t="e">
        <f t="shared" si="7"/>
        <v>#N/A</v>
      </c>
      <c r="AE257" s="79" t="e">
        <f>IF(VLOOKUP($AB257,変換表貼り付け用シート!$A$3:$AN$3000,12,FALSE)="","",(VLOOKUP($AB257,変換表貼り付け用シート!$A$3:$AN$3000,12,FALSE)))</f>
        <v>#N/A</v>
      </c>
      <c r="AF257" s="80" t="e">
        <f>IF(VLOOKUP($AB257,変換表貼り付け用シート!$A$3:$AN$3000,13,FALSE)="","",(VLOOKUP($AB257,変換表貼り付け用シート!$A$3:$AN$3000,13,FALSE)))</f>
        <v>#N/A</v>
      </c>
      <c r="AG257" s="80" t="e">
        <f>IF(VLOOKUP($AB257,変換表貼り付け用シート!$A$3:$AN$3000,14,FALSE)="","",(VLOOKUP($AB257,変換表貼り付け用シート!$A$3:$AN$3000,14,FALSE)))</f>
        <v>#N/A</v>
      </c>
      <c r="AH257" s="85" t="e">
        <f>IF(VLOOKUP($AB257,変換表貼り付け用シート!$A$3:$AN$3000,15,FALSE)="","",(VLOOKUP($AB257,変換表貼り付け用シート!$A$3:$AN$3000,15,FALSE)))</f>
        <v>#N/A</v>
      </c>
      <c r="AI257" s="79" t="e">
        <f>IF(VLOOKUP($AB257,変換表貼り付け用シート!$A$3:$AN$3000,16,FALSE)="","",(VLOOKUP($AB257,変換表貼り付け用シート!$A$3:$AN$3000,16,FALSE)))</f>
        <v>#N/A</v>
      </c>
      <c r="AJ257" s="81" t="e">
        <f>IF(VLOOKUP($AB257,変換表貼り付け用シート!$A$3:$AN$3000,17,FALSE)="","",(VLOOKUP($AB257,変換表貼り付け用シート!$A$3:$AN$3000,17,FALSE)))</f>
        <v>#N/A</v>
      </c>
      <c r="AK257" s="88" t="e">
        <f>IF(VLOOKUP($AB257,変換表貼り付け用シート!$A$3:$AN$3000,18,FALSE)="","",(VLOOKUP($AB257,変換表貼り付け用シート!$A$3:$AN$3000,18,FALSE)))</f>
        <v>#N/A</v>
      </c>
      <c r="AL257" s="81" t="e">
        <f>IF(VLOOKUP($AB257,変換表貼り付け用シート!$A$3:$AN$3000,19,FALSE)="","",(VLOOKUP($AB257,変換表貼り付け用シート!$A$3:$AN$3000,19,FALSE)))</f>
        <v>#N/A</v>
      </c>
      <c r="AM257" s="75" t="e">
        <f>IF(VLOOKUP($AB257,変換表貼り付け用シート!$A$3:$AN$3000,20,FALSE)="","",(VLOOKUP($AB257,変換表貼り付け用シート!$A$3:$AN$3000,20,FALSE)))</f>
        <v>#N/A</v>
      </c>
    </row>
    <row r="258" spans="2:39" ht="21" customHeight="1" x14ac:dyDescent="0.35">
      <c r="B258" s="39"/>
      <c r="C258" s="117" t="s">
        <v>962</v>
      </c>
      <c r="D258" s="96" t="s">
        <v>461</v>
      </c>
      <c r="E258" s="27" t="s">
        <v>44</v>
      </c>
      <c r="F258" s="37" t="s">
        <v>45</v>
      </c>
      <c r="G258" s="33" t="s">
        <v>206</v>
      </c>
      <c r="H258" s="27" t="s">
        <v>419</v>
      </c>
      <c r="I258" s="27" t="s">
        <v>206</v>
      </c>
      <c r="J258" s="37" t="s">
        <v>419</v>
      </c>
      <c r="K258" s="39" t="s">
        <v>105</v>
      </c>
      <c r="L258" s="28" t="s">
        <v>111</v>
      </c>
      <c r="M258" s="28" t="s">
        <v>48</v>
      </c>
      <c r="N258" s="41" t="s">
        <v>49</v>
      </c>
      <c r="O258" s="39">
        <v>1247</v>
      </c>
      <c r="P258" s="28"/>
      <c r="Q258" s="28"/>
      <c r="R258" s="41"/>
      <c r="S258" s="39"/>
      <c r="T258" s="41"/>
      <c r="U258" s="39"/>
      <c r="V258" s="41"/>
      <c r="W258" s="43" t="s">
        <v>711</v>
      </c>
      <c r="X258" s="33"/>
      <c r="Y258" s="27"/>
      <c r="Z258" s="29"/>
      <c r="AB258" s="73" t="str">
        <f t="shared" si="6"/>
        <v>Test Weight動力Accerelation－</v>
      </c>
      <c r="AC258" s="74" t="e">
        <f>VLOOKUP($AB258,変換表貼り付け用シート!$A$3:$AN$1133,3,FALSE)</f>
        <v>#N/A</v>
      </c>
      <c r="AD258" s="74" t="e">
        <f t="shared" si="7"/>
        <v>#N/A</v>
      </c>
      <c r="AE258" s="79" t="e">
        <f>IF(VLOOKUP($AB258,変換表貼り付け用シート!$A$3:$AN$3000,12,FALSE)="","",(VLOOKUP($AB258,変換表貼り付け用シート!$A$3:$AN$3000,12,FALSE)))</f>
        <v>#N/A</v>
      </c>
      <c r="AF258" s="80" t="e">
        <f>IF(VLOOKUP($AB258,変換表貼り付け用シート!$A$3:$AN$3000,13,FALSE)="","",(VLOOKUP($AB258,変換表貼り付け用シート!$A$3:$AN$3000,13,FALSE)))</f>
        <v>#N/A</v>
      </c>
      <c r="AG258" s="80" t="e">
        <f>IF(VLOOKUP($AB258,変換表貼り付け用シート!$A$3:$AN$3000,14,FALSE)="","",(VLOOKUP($AB258,変換表貼り付け用シート!$A$3:$AN$3000,14,FALSE)))</f>
        <v>#N/A</v>
      </c>
      <c r="AH258" s="85" t="e">
        <f>IF(VLOOKUP($AB258,変換表貼り付け用シート!$A$3:$AN$3000,15,FALSE)="","",(VLOOKUP($AB258,変換表貼り付け用シート!$A$3:$AN$3000,15,FALSE)))</f>
        <v>#N/A</v>
      </c>
      <c r="AI258" s="79" t="e">
        <f>IF(VLOOKUP($AB258,変換表貼り付け用シート!$A$3:$AN$3000,16,FALSE)="","",(VLOOKUP($AB258,変換表貼り付け用シート!$A$3:$AN$3000,16,FALSE)))</f>
        <v>#N/A</v>
      </c>
      <c r="AJ258" s="81" t="e">
        <f>IF(VLOOKUP($AB258,変換表貼り付け用シート!$A$3:$AN$3000,17,FALSE)="","",(VLOOKUP($AB258,変換表貼り付け用シート!$A$3:$AN$3000,17,FALSE)))</f>
        <v>#N/A</v>
      </c>
      <c r="AK258" s="88" t="e">
        <f>IF(VLOOKUP($AB258,変換表貼り付け用シート!$A$3:$AN$3000,18,FALSE)="","",(VLOOKUP($AB258,変換表貼り付け用シート!$A$3:$AN$3000,18,FALSE)))</f>
        <v>#N/A</v>
      </c>
      <c r="AL258" s="81" t="e">
        <f>IF(VLOOKUP($AB258,変換表貼り付け用シート!$A$3:$AN$3000,19,FALSE)="","",(VLOOKUP($AB258,変換表貼り付け用シート!$A$3:$AN$3000,19,FALSE)))</f>
        <v>#N/A</v>
      </c>
      <c r="AM258" s="75" t="e">
        <f>IF(VLOOKUP($AB258,変換表貼り付け用シート!$A$3:$AN$3000,20,FALSE)="","",(VLOOKUP($AB258,変換表貼り付け用シート!$A$3:$AN$3000,20,FALSE)))</f>
        <v>#N/A</v>
      </c>
    </row>
    <row r="259" spans="2:39" ht="21" customHeight="1" x14ac:dyDescent="0.35">
      <c r="B259" s="39"/>
      <c r="C259" s="117" t="s">
        <v>963</v>
      </c>
      <c r="D259" s="96" t="s">
        <v>462</v>
      </c>
      <c r="E259" s="27" t="s">
        <v>44</v>
      </c>
      <c r="F259" s="37" t="s">
        <v>45</v>
      </c>
      <c r="G259" s="33" t="s">
        <v>206</v>
      </c>
      <c r="H259" s="27" t="s">
        <v>419</v>
      </c>
      <c r="I259" s="27" t="s">
        <v>206</v>
      </c>
      <c r="J259" s="37" t="s">
        <v>419</v>
      </c>
      <c r="K259" s="39" t="s">
        <v>105</v>
      </c>
      <c r="L259" s="28" t="s">
        <v>112</v>
      </c>
      <c r="M259" s="28" t="s">
        <v>48</v>
      </c>
      <c r="N259" s="41" t="s">
        <v>49</v>
      </c>
      <c r="O259" s="39">
        <v>1247</v>
      </c>
      <c r="P259" s="28"/>
      <c r="Q259" s="28"/>
      <c r="R259" s="41"/>
      <c r="S259" s="39"/>
      <c r="T259" s="41"/>
      <c r="U259" s="39"/>
      <c r="V259" s="41"/>
      <c r="W259" s="43" t="s">
        <v>711</v>
      </c>
      <c r="X259" s="33"/>
      <c r="Y259" s="27"/>
      <c r="Z259" s="29"/>
      <c r="AB259" s="73" t="str">
        <f t="shared" si="6"/>
        <v>Test Weight動力Vmax－</v>
      </c>
      <c r="AC259" s="74" t="e">
        <f>VLOOKUP($AB259,変換表貼り付け用シート!$A$3:$AN$1133,3,FALSE)</f>
        <v>#N/A</v>
      </c>
      <c r="AD259" s="74" t="e">
        <f t="shared" si="7"/>
        <v>#N/A</v>
      </c>
      <c r="AE259" s="79" t="e">
        <f>IF(VLOOKUP($AB259,変換表貼り付け用シート!$A$3:$AN$3000,12,FALSE)="","",(VLOOKUP($AB259,変換表貼り付け用シート!$A$3:$AN$3000,12,FALSE)))</f>
        <v>#N/A</v>
      </c>
      <c r="AF259" s="80" t="e">
        <f>IF(VLOOKUP($AB259,変換表貼り付け用シート!$A$3:$AN$3000,13,FALSE)="","",(VLOOKUP($AB259,変換表貼り付け用シート!$A$3:$AN$3000,13,FALSE)))</f>
        <v>#N/A</v>
      </c>
      <c r="AG259" s="80" t="e">
        <f>IF(VLOOKUP($AB259,変換表貼り付け用シート!$A$3:$AN$3000,14,FALSE)="","",(VLOOKUP($AB259,変換表貼り付け用シート!$A$3:$AN$3000,14,FALSE)))</f>
        <v>#N/A</v>
      </c>
      <c r="AH259" s="85" t="e">
        <f>IF(VLOOKUP($AB259,変換表貼り付け用シート!$A$3:$AN$3000,15,FALSE)="","",(VLOOKUP($AB259,変換表貼り付け用シート!$A$3:$AN$3000,15,FALSE)))</f>
        <v>#N/A</v>
      </c>
      <c r="AI259" s="79" t="e">
        <f>IF(VLOOKUP($AB259,変換表貼り付け用シート!$A$3:$AN$3000,16,FALSE)="","",(VLOOKUP($AB259,変換表貼り付け用シート!$A$3:$AN$3000,16,FALSE)))</f>
        <v>#N/A</v>
      </c>
      <c r="AJ259" s="81" t="e">
        <f>IF(VLOOKUP($AB259,変換表貼り付け用シート!$A$3:$AN$3000,17,FALSE)="","",(VLOOKUP($AB259,変換表貼り付け用シート!$A$3:$AN$3000,17,FALSE)))</f>
        <v>#N/A</v>
      </c>
      <c r="AK259" s="88" t="e">
        <f>IF(VLOOKUP($AB259,変換表貼り付け用シート!$A$3:$AN$3000,18,FALSE)="","",(VLOOKUP($AB259,変換表貼り付け用シート!$A$3:$AN$3000,18,FALSE)))</f>
        <v>#N/A</v>
      </c>
      <c r="AL259" s="81" t="e">
        <f>IF(VLOOKUP($AB259,変換表貼り付け用シート!$A$3:$AN$3000,19,FALSE)="","",(VLOOKUP($AB259,変換表貼り付け用シート!$A$3:$AN$3000,19,FALSE)))</f>
        <v>#N/A</v>
      </c>
      <c r="AM259" s="75" t="e">
        <f>IF(VLOOKUP($AB259,変換表貼り付け用シート!$A$3:$AN$3000,20,FALSE)="","",(VLOOKUP($AB259,変換表貼り付け用シート!$A$3:$AN$3000,20,FALSE)))</f>
        <v>#N/A</v>
      </c>
    </row>
    <row r="260" spans="2:39" ht="21" customHeight="1" x14ac:dyDescent="0.35">
      <c r="B260" s="39"/>
      <c r="C260" s="117" t="s">
        <v>964</v>
      </c>
      <c r="D260" s="96" t="s">
        <v>463</v>
      </c>
      <c r="E260" s="27" t="s">
        <v>44</v>
      </c>
      <c r="F260" s="37" t="s">
        <v>45</v>
      </c>
      <c r="G260" s="33" t="s">
        <v>206</v>
      </c>
      <c r="H260" s="27" t="s">
        <v>419</v>
      </c>
      <c r="I260" s="27" t="s">
        <v>206</v>
      </c>
      <c r="J260" s="37" t="s">
        <v>419</v>
      </c>
      <c r="K260" s="39" t="s">
        <v>105</v>
      </c>
      <c r="L260" s="28" t="s">
        <v>113</v>
      </c>
      <c r="M260" s="28" t="s">
        <v>48</v>
      </c>
      <c r="N260" s="41" t="s">
        <v>49</v>
      </c>
      <c r="O260" s="39">
        <v>1380</v>
      </c>
      <c r="P260" s="28"/>
      <c r="Q260" s="28"/>
      <c r="R260" s="41"/>
      <c r="S260" s="39"/>
      <c r="T260" s="41"/>
      <c r="U260" s="39"/>
      <c r="V260" s="41"/>
      <c r="W260" s="43" t="s">
        <v>711</v>
      </c>
      <c r="X260" s="33"/>
      <c r="Y260" s="27"/>
      <c r="Z260" s="29"/>
      <c r="AB260" s="73" t="str">
        <f t="shared" si="6"/>
        <v>Test Weight熱NEMシビアシーン－</v>
      </c>
      <c r="AC260" s="74" t="e">
        <f>VLOOKUP($AB260,変換表貼り付け用シート!$A$3:$AN$1133,3,FALSE)</f>
        <v>#N/A</v>
      </c>
      <c r="AD260" s="74" t="e">
        <f t="shared" si="7"/>
        <v>#N/A</v>
      </c>
      <c r="AE260" s="79" t="e">
        <f>IF(VLOOKUP($AB260,変換表貼り付け用シート!$A$3:$AN$3000,12,FALSE)="","",(VLOOKUP($AB260,変換表貼り付け用シート!$A$3:$AN$3000,12,FALSE)))</f>
        <v>#N/A</v>
      </c>
      <c r="AF260" s="80" t="e">
        <f>IF(VLOOKUP($AB260,変換表貼り付け用シート!$A$3:$AN$3000,13,FALSE)="","",(VLOOKUP($AB260,変換表貼り付け用シート!$A$3:$AN$3000,13,FALSE)))</f>
        <v>#N/A</v>
      </c>
      <c r="AG260" s="80" t="e">
        <f>IF(VLOOKUP($AB260,変換表貼り付け用シート!$A$3:$AN$3000,14,FALSE)="","",(VLOOKUP($AB260,変換表貼り付け用シート!$A$3:$AN$3000,14,FALSE)))</f>
        <v>#N/A</v>
      </c>
      <c r="AH260" s="85" t="e">
        <f>IF(VLOOKUP($AB260,変換表貼り付け用シート!$A$3:$AN$3000,15,FALSE)="","",(VLOOKUP($AB260,変換表貼り付け用シート!$A$3:$AN$3000,15,FALSE)))</f>
        <v>#N/A</v>
      </c>
      <c r="AI260" s="79" t="e">
        <f>IF(VLOOKUP($AB260,変換表貼り付け用シート!$A$3:$AN$3000,16,FALSE)="","",(VLOOKUP($AB260,変換表貼り付け用シート!$A$3:$AN$3000,16,FALSE)))</f>
        <v>#N/A</v>
      </c>
      <c r="AJ260" s="81" t="e">
        <f>IF(VLOOKUP($AB260,変換表貼り付け用シート!$A$3:$AN$3000,17,FALSE)="","",(VLOOKUP($AB260,変換表貼り付け用シート!$A$3:$AN$3000,17,FALSE)))</f>
        <v>#N/A</v>
      </c>
      <c r="AK260" s="88" t="e">
        <f>IF(VLOOKUP($AB260,変換表貼り付け用シート!$A$3:$AN$3000,18,FALSE)="","",(VLOOKUP($AB260,変換表貼り付け用シート!$A$3:$AN$3000,18,FALSE)))</f>
        <v>#N/A</v>
      </c>
      <c r="AL260" s="81" t="e">
        <f>IF(VLOOKUP($AB260,変換表貼り付け用シート!$A$3:$AN$3000,19,FALSE)="","",(VLOOKUP($AB260,変換表貼り付け用シート!$A$3:$AN$3000,19,FALSE)))</f>
        <v>#N/A</v>
      </c>
      <c r="AM260" s="75" t="e">
        <f>IF(VLOOKUP($AB260,変換表貼り付け用シート!$A$3:$AN$3000,20,FALSE)="","",(VLOOKUP($AB260,変換表貼り付け用シート!$A$3:$AN$3000,20,FALSE)))</f>
        <v>#N/A</v>
      </c>
    </row>
    <row r="261" spans="2:39" ht="21" customHeight="1" x14ac:dyDescent="0.35">
      <c r="B261" s="39"/>
      <c r="C261" s="117" t="s">
        <v>965</v>
      </c>
      <c r="D261" s="96" t="s">
        <v>464</v>
      </c>
      <c r="E261" s="27" t="s">
        <v>44</v>
      </c>
      <c r="F261" s="37" t="s">
        <v>45</v>
      </c>
      <c r="G261" s="33" t="s">
        <v>206</v>
      </c>
      <c r="H261" s="27" t="s">
        <v>419</v>
      </c>
      <c r="I261" s="27" t="s">
        <v>206</v>
      </c>
      <c r="J261" s="37" t="s">
        <v>419</v>
      </c>
      <c r="K261" s="39" t="s">
        <v>105</v>
      </c>
      <c r="L261" s="28" t="s">
        <v>114</v>
      </c>
      <c r="M261" s="28" t="s">
        <v>48</v>
      </c>
      <c r="N261" s="41" t="s">
        <v>49</v>
      </c>
      <c r="O261" s="39">
        <v>1380</v>
      </c>
      <c r="P261" s="28"/>
      <c r="Q261" s="28"/>
      <c r="R261" s="41"/>
      <c r="S261" s="39"/>
      <c r="T261" s="41"/>
      <c r="U261" s="39"/>
      <c r="V261" s="41"/>
      <c r="W261" s="43" t="s">
        <v>711</v>
      </c>
      <c r="X261" s="33"/>
      <c r="Y261" s="27"/>
      <c r="Z261" s="29"/>
      <c r="AB261" s="73" t="str">
        <f t="shared" si="6"/>
        <v>Test Weight熱加減速繰り返し走行－</v>
      </c>
      <c r="AC261" s="74" t="e">
        <f>VLOOKUP($AB261,変換表貼り付け用シート!$A$3:$AN$1133,3,FALSE)</f>
        <v>#N/A</v>
      </c>
      <c r="AD261" s="74" t="e">
        <f t="shared" si="7"/>
        <v>#N/A</v>
      </c>
      <c r="AE261" s="79" t="e">
        <f>IF(VLOOKUP($AB261,変換表貼り付け用シート!$A$3:$AN$3000,12,FALSE)="","",(VLOOKUP($AB261,変換表貼り付け用シート!$A$3:$AN$3000,12,FALSE)))</f>
        <v>#N/A</v>
      </c>
      <c r="AF261" s="80" t="e">
        <f>IF(VLOOKUP($AB261,変換表貼り付け用シート!$A$3:$AN$3000,13,FALSE)="","",(VLOOKUP($AB261,変換表貼り付け用シート!$A$3:$AN$3000,13,FALSE)))</f>
        <v>#N/A</v>
      </c>
      <c r="AG261" s="80" t="e">
        <f>IF(VLOOKUP($AB261,変換表貼り付け用シート!$A$3:$AN$3000,14,FALSE)="","",(VLOOKUP($AB261,変換表貼り付け用シート!$A$3:$AN$3000,14,FALSE)))</f>
        <v>#N/A</v>
      </c>
      <c r="AH261" s="85" t="e">
        <f>IF(VLOOKUP($AB261,変換表貼り付け用シート!$A$3:$AN$3000,15,FALSE)="","",(VLOOKUP($AB261,変換表貼り付け用シート!$A$3:$AN$3000,15,FALSE)))</f>
        <v>#N/A</v>
      </c>
      <c r="AI261" s="79" t="e">
        <f>IF(VLOOKUP($AB261,変換表貼り付け用シート!$A$3:$AN$3000,16,FALSE)="","",(VLOOKUP($AB261,変換表貼り付け用シート!$A$3:$AN$3000,16,FALSE)))</f>
        <v>#N/A</v>
      </c>
      <c r="AJ261" s="81" t="e">
        <f>IF(VLOOKUP($AB261,変換表貼り付け用シート!$A$3:$AN$3000,17,FALSE)="","",(VLOOKUP($AB261,変換表貼り付け用シート!$A$3:$AN$3000,17,FALSE)))</f>
        <v>#N/A</v>
      </c>
      <c r="AK261" s="88" t="e">
        <f>IF(VLOOKUP($AB261,変換表貼り付け用シート!$A$3:$AN$3000,18,FALSE)="","",(VLOOKUP($AB261,変換表貼り付け用シート!$A$3:$AN$3000,18,FALSE)))</f>
        <v>#N/A</v>
      </c>
      <c r="AL261" s="81" t="e">
        <f>IF(VLOOKUP($AB261,変換表貼り付け用シート!$A$3:$AN$3000,19,FALSE)="","",(VLOOKUP($AB261,変換表貼り付け用シート!$A$3:$AN$3000,19,FALSE)))</f>
        <v>#N/A</v>
      </c>
      <c r="AM261" s="75" t="e">
        <f>IF(VLOOKUP($AB261,変換表貼り付け用シート!$A$3:$AN$3000,20,FALSE)="","",(VLOOKUP($AB261,変換表貼り付け用シート!$A$3:$AN$3000,20,FALSE)))</f>
        <v>#N/A</v>
      </c>
    </row>
    <row r="262" spans="2:39" ht="21" customHeight="1" x14ac:dyDescent="0.35">
      <c r="B262" s="39"/>
      <c r="C262" s="117" t="s">
        <v>966</v>
      </c>
      <c r="D262" s="96" t="s">
        <v>465</v>
      </c>
      <c r="E262" s="27" t="s">
        <v>44</v>
      </c>
      <c r="F262" s="37" t="s">
        <v>45</v>
      </c>
      <c r="G262" s="33" t="s">
        <v>206</v>
      </c>
      <c r="H262" s="27" t="s">
        <v>419</v>
      </c>
      <c r="I262" s="27" t="s">
        <v>206</v>
      </c>
      <c r="J262" s="37" t="s">
        <v>419</v>
      </c>
      <c r="K262" s="39" t="s">
        <v>105</v>
      </c>
      <c r="L262" s="28" t="s">
        <v>115</v>
      </c>
      <c r="M262" s="28" t="s">
        <v>48</v>
      </c>
      <c r="N262" s="41" t="s">
        <v>49</v>
      </c>
      <c r="O262" s="39" t="s">
        <v>116</v>
      </c>
      <c r="P262" s="28"/>
      <c r="Q262" s="28"/>
      <c r="R262" s="41"/>
      <c r="S262" s="39"/>
      <c r="T262" s="41"/>
      <c r="U262" s="39"/>
      <c r="V262" s="41"/>
      <c r="W262" s="43" t="s">
        <v>711</v>
      </c>
      <c r="X262" s="33"/>
      <c r="Y262" s="27"/>
      <c r="Z262" s="29"/>
      <c r="AB262" s="73" t="str">
        <f t="shared" si="6"/>
        <v>Test Weight熱Towing－</v>
      </c>
      <c r="AC262" s="74" t="e">
        <f>VLOOKUP($AB262,変換表貼り付け用シート!$A$3:$AN$1133,3,FALSE)</f>
        <v>#N/A</v>
      </c>
      <c r="AD262" s="74" t="e">
        <f t="shared" si="7"/>
        <v>#N/A</v>
      </c>
      <c r="AE262" s="79" t="e">
        <f>IF(VLOOKUP($AB262,変換表貼り付け用シート!$A$3:$AN$3000,12,FALSE)="","",(VLOOKUP($AB262,変換表貼り付け用シート!$A$3:$AN$3000,12,FALSE)))</f>
        <v>#N/A</v>
      </c>
      <c r="AF262" s="80" t="e">
        <f>IF(VLOOKUP($AB262,変換表貼り付け用シート!$A$3:$AN$3000,13,FALSE)="","",(VLOOKUP($AB262,変換表貼り付け用シート!$A$3:$AN$3000,13,FALSE)))</f>
        <v>#N/A</v>
      </c>
      <c r="AG262" s="80" t="e">
        <f>IF(VLOOKUP($AB262,変換表貼り付け用シート!$A$3:$AN$3000,14,FALSE)="","",(VLOOKUP($AB262,変換表貼り付け用シート!$A$3:$AN$3000,14,FALSE)))</f>
        <v>#N/A</v>
      </c>
      <c r="AH262" s="85" t="e">
        <f>IF(VLOOKUP($AB262,変換表貼り付け用シート!$A$3:$AN$3000,15,FALSE)="","",(VLOOKUP($AB262,変換表貼り付け用シート!$A$3:$AN$3000,15,FALSE)))</f>
        <v>#N/A</v>
      </c>
      <c r="AI262" s="79" t="e">
        <f>IF(VLOOKUP($AB262,変換表貼り付け用シート!$A$3:$AN$3000,16,FALSE)="","",(VLOOKUP($AB262,変換表貼り付け用シート!$A$3:$AN$3000,16,FALSE)))</f>
        <v>#N/A</v>
      </c>
      <c r="AJ262" s="81" t="e">
        <f>IF(VLOOKUP($AB262,変換表貼り付け用シート!$A$3:$AN$3000,17,FALSE)="","",(VLOOKUP($AB262,変換表貼り付け用シート!$A$3:$AN$3000,17,FALSE)))</f>
        <v>#N/A</v>
      </c>
      <c r="AK262" s="88" t="e">
        <f>IF(VLOOKUP($AB262,変換表貼り付け用シート!$A$3:$AN$3000,18,FALSE)="","",(VLOOKUP($AB262,変換表貼り付け用シート!$A$3:$AN$3000,18,FALSE)))</f>
        <v>#N/A</v>
      </c>
      <c r="AL262" s="81" t="e">
        <f>IF(VLOOKUP($AB262,変換表貼り付け用シート!$A$3:$AN$3000,19,FALSE)="","",(VLOOKUP($AB262,変換表貼り付け用シート!$A$3:$AN$3000,19,FALSE)))</f>
        <v>#N/A</v>
      </c>
      <c r="AM262" s="75" t="e">
        <f>IF(VLOOKUP($AB262,変換表貼り付け用シート!$A$3:$AN$3000,20,FALSE)="","",(VLOOKUP($AB262,変換表貼り付け用シート!$A$3:$AN$3000,20,FALSE)))</f>
        <v>#N/A</v>
      </c>
    </row>
    <row r="263" spans="2:39" ht="21" customHeight="1" x14ac:dyDescent="0.35">
      <c r="B263" s="39"/>
      <c r="C263" s="117" t="s">
        <v>967</v>
      </c>
      <c r="D263" s="96" t="s">
        <v>466</v>
      </c>
      <c r="E263" s="27" t="s">
        <v>44</v>
      </c>
      <c r="F263" s="37" t="s">
        <v>45</v>
      </c>
      <c r="G263" s="33" t="s">
        <v>206</v>
      </c>
      <c r="H263" s="27" t="s">
        <v>419</v>
      </c>
      <c r="I263" s="27" t="s">
        <v>206</v>
      </c>
      <c r="J263" s="37" t="s">
        <v>419</v>
      </c>
      <c r="K263" s="39" t="s">
        <v>105</v>
      </c>
      <c r="L263" s="28" t="s">
        <v>117</v>
      </c>
      <c r="M263" s="28" t="s">
        <v>48</v>
      </c>
      <c r="N263" s="41" t="s">
        <v>49</v>
      </c>
      <c r="O263" s="39">
        <v>1380</v>
      </c>
      <c r="P263" s="28"/>
      <c r="Q263" s="28"/>
      <c r="R263" s="41"/>
      <c r="S263" s="39"/>
      <c r="T263" s="41"/>
      <c r="U263" s="39"/>
      <c r="V263" s="41"/>
      <c r="W263" s="43" t="s">
        <v>711</v>
      </c>
      <c r="X263" s="33"/>
      <c r="Y263" s="27"/>
      <c r="Z263" s="29"/>
      <c r="AB263" s="73" t="str">
        <f t="shared" si="6"/>
        <v>Test Weight熱低温性能－</v>
      </c>
      <c r="AC263" s="74" t="e">
        <f>VLOOKUP($AB263,変換表貼り付け用シート!$A$3:$AN$1133,3,FALSE)</f>
        <v>#N/A</v>
      </c>
      <c r="AD263" s="74" t="e">
        <f t="shared" si="7"/>
        <v>#N/A</v>
      </c>
      <c r="AE263" s="79" t="e">
        <f>IF(VLOOKUP($AB263,変換表貼り付け用シート!$A$3:$AN$3000,12,FALSE)="","",(VLOOKUP($AB263,変換表貼り付け用シート!$A$3:$AN$3000,12,FALSE)))</f>
        <v>#N/A</v>
      </c>
      <c r="AF263" s="80" t="e">
        <f>IF(VLOOKUP($AB263,変換表貼り付け用シート!$A$3:$AN$3000,13,FALSE)="","",(VLOOKUP($AB263,変換表貼り付け用シート!$A$3:$AN$3000,13,FALSE)))</f>
        <v>#N/A</v>
      </c>
      <c r="AG263" s="80" t="e">
        <f>IF(VLOOKUP($AB263,変換表貼り付け用シート!$A$3:$AN$3000,14,FALSE)="","",(VLOOKUP($AB263,変換表貼り付け用シート!$A$3:$AN$3000,14,FALSE)))</f>
        <v>#N/A</v>
      </c>
      <c r="AH263" s="85" t="e">
        <f>IF(VLOOKUP($AB263,変換表貼り付け用シート!$A$3:$AN$3000,15,FALSE)="","",(VLOOKUP($AB263,変換表貼り付け用シート!$A$3:$AN$3000,15,FALSE)))</f>
        <v>#N/A</v>
      </c>
      <c r="AI263" s="79" t="e">
        <f>IF(VLOOKUP($AB263,変換表貼り付け用シート!$A$3:$AN$3000,16,FALSE)="","",(VLOOKUP($AB263,変換表貼り付け用シート!$A$3:$AN$3000,16,FALSE)))</f>
        <v>#N/A</v>
      </c>
      <c r="AJ263" s="81" t="e">
        <f>IF(VLOOKUP($AB263,変換表貼り付け用シート!$A$3:$AN$3000,17,FALSE)="","",(VLOOKUP($AB263,変換表貼り付け用シート!$A$3:$AN$3000,17,FALSE)))</f>
        <v>#N/A</v>
      </c>
      <c r="AK263" s="88" t="e">
        <f>IF(VLOOKUP($AB263,変換表貼り付け用シート!$A$3:$AN$3000,18,FALSE)="","",(VLOOKUP($AB263,変換表貼り付け用シート!$A$3:$AN$3000,18,FALSE)))</f>
        <v>#N/A</v>
      </c>
      <c r="AL263" s="81" t="e">
        <f>IF(VLOOKUP($AB263,変換表貼り付け用シート!$A$3:$AN$3000,19,FALSE)="","",(VLOOKUP($AB263,変換表貼り付け用シート!$A$3:$AN$3000,19,FALSE)))</f>
        <v>#N/A</v>
      </c>
      <c r="AM263" s="75" t="e">
        <f>IF(VLOOKUP($AB263,変換表貼り付け用シート!$A$3:$AN$3000,20,FALSE)="","",(VLOOKUP($AB263,変換表貼り付け用シート!$A$3:$AN$3000,20,FALSE)))</f>
        <v>#N/A</v>
      </c>
    </row>
    <row r="264" spans="2:39" ht="21" customHeight="1" x14ac:dyDescent="0.35">
      <c r="B264" s="39"/>
      <c r="C264" s="117" t="s">
        <v>968</v>
      </c>
      <c r="D264" s="96" t="s">
        <v>467</v>
      </c>
      <c r="E264" s="27" t="s">
        <v>44</v>
      </c>
      <c r="F264" s="37" t="s">
        <v>45</v>
      </c>
      <c r="G264" s="33" t="s">
        <v>206</v>
      </c>
      <c r="H264" s="27" t="s">
        <v>419</v>
      </c>
      <c r="I264" s="27" t="s">
        <v>206</v>
      </c>
      <c r="J264" s="37" t="s">
        <v>419</v>
      </c>
      <c r="K264" s="39" t="s">
        <v>118</v>
      </c>
      <c r="L264" s="28" t="s">
        <v>119</v>
      </c>
      <c r="M264" s="28" t="s">
        <v>48</v>
      </c>
      <c r="N264" s="41" t="s">
        <v>120</v>
      </c>
      <c r="O264" s="39">
        <v>83.536000000000001</v>
      </c>
      <c r="P264" s="28"/>
      <c r="Q264" s="28"/>
      <c r="R264" s="41"/>
      <c r="S264" s="39"/>
      <c r="T264" s="41"/>
      <c r="U264" s="39"/>
      <c r="V264" s="41"/>
      <c r="W264" s="43" t="s">
        <v>711</v>
      </c>
      <c r="X264" s="33"/>
      <c r="Y264" s="27"/>
      <c r="Z264" s="29"/>
      <c r="AB264" s="73" t="str">
        <f t="shared" si="6"/>
        <v>走行抵抗届出(Target Lset式) A0－</v>
      </c>
      <c r="AC264" s="74" t="e">
        <f>VLOOKUP($AB264,変換表貼り付け用シート!$A$3:$AN$1133,3,FALSE)</f>
        <v>#N/A</v>
      </c>
      <c r="AD264" s="74" t="e">
        <f t="shared" si="7"/>
        <v>#N/A</v>
      </c>
      <c r="AE264" s="79" t="e">
        <f>IF(VLOOKUP($AB264,変換表貼り付け用シート!$A$3:$AN$3000,12,FALSE)="","",(VLOOKUP($AB264,変換表貼り付け用シート!$A$3:$AN$3000,12,FALSE)))</f>
        <v>#N/A</v>
      </c>
      <c r="AF264" s="80" t="e">
        <f>IF(VLOOKUP($AB264,変換表貼り付け用シート!$A$3:$AN$3000,13,FALSE)="","",(VLOOKUP($AB264,変換表貼り付け用シート!$A$3:$AN$3000,13,FALSE)))</f>
        <v>#N/A</v>
      </c>
      <c r="AG264" s="80" t="e">
        <f>IF(VLOOKUP($AB264,変換表貼り付け用シート!$A$3:$AN$3000,14,FALSE)="","",(VLOOKUP($AB264,変換表貼り付け用シート!$A$3:$AN$3000,14,FALSE)))</f>
        <v>#N/A</v>
      </c>
      <c r="AH264" s="85" t="e">
        <f>IF(VLOOKUP($AB264,変換表貼り付け用シート!$A$3:$AN$3000,15,FALSE)="","",(VLOOKUP($AB264,変換表貼り付け用シート!$A$3:$AN$3000,15,FALSE)))</f>
        <v>#N/A</v>
      </c>
      <c r="AI264" s="79" t="e">
        <f>IF(VLOOKUP($AB264,変換表貼り付け用シート!$A$3:$AN$3000,16,FALSE)="","",(VLOOKUP($AB264,変換表貼り付け用シート!$A$3:$AN$3000,16,FALSE)))</f>
        <v>#N/A</v>
      </c>
      <c r="AJ264" s="81" t="e">
        <f>IF(VLOOKUP($AB264,変換表貼り付け用シート!$A$3:$AN$3000,17,FALSE)="","",(VLOOKUP($AB264,変換表貼り付け用シート!$A$3:$AN$3000,17,FALSE)))</f>
        <v>#N/A</v>
      </c>
      <c r="AK264" s="88" t="e">
        <f>IF(VLOOKUP($AB264,変換表貼り付け用シート!$A$3:$AN$3000,18,FALSE)="","",(VLOOKUP($AB264,変換表貼り付け用シート!$A$3:$AN$3000,18,FALSE)))</f>
        <v>#N/A</v>
      </c>
      <c r="AL264" s="81" t="e">
        <f>IF(VLOOKUP($AB264,変換表貼り付け用シート!$A$3:$AN$3000,19,FALSE)="","",(VLOOKUP($AB264,変換表貼り付け用シート!$A$3:$AN$3000,19,FALSE)))</f>
        <v>#N/A</v>
      </c>
      <c r="AM264" s="75" t="e">
        <f>IF(VLOOKUP($AB264,変換表貼り付け用シート!$A$3:$AN$3000,20,FALSE)="","",(VLOOKUP($AB264,変換表貼り付け用シート!$A$3:$AN$3000,20,FALSE)))</f>
        <v>#N/A</v>
      </c>
    </row>
    <row r="265" spans="2:39" ht="21" customHeight="1" x14ac:dyDescent="0.35">
      <c r="B265" s="39"/>
      <c r="C265" s="117" t="s">
        <v>969</v>
      </c>
      <c r="D265" s="96" t="s">
        <v>468</v>
      </c>
      <c r="E265" s="27" t="s">
        <v>44</v>
      </c>
      <c r="F265" s="37" t="s">
        <v>45</v>
      </c>
      <c r="G265" s="33" t="s">
        <v>206</v>
      </c>
      <c r="H265" s="27" t="s">
        <v>419</v>
      </c>
      <c r="I265" s="27" t="s">
        <v>206</v>
      </c>
      <c r="J265" s="37" t="s">
        <v>419</v>
      </c>
      <c r="K265" s="39" t="s">
        <v>118</v>
      </c>
      <c r="L265" s="28" t="s">
        <v>121</v>
      </c>
      <c r="M265" s="28" t="s">
        <v>48</v>
      </c>
      <c r="N265" s="41" t="s">
        <v>122</v>
      </c>
      <c r="O265" s="39">
        <v>-0.13070000000000001</v>
      </c>
      <c r="P265" s="28"/>
      <c r="Q265" s="28"/>
      <c r="R265" s="41"/>
      <c r="S265" s="39"/>
      <c r="T265" s="41"/>
      <c r="U265" s="39"/>
      <c r="V265" s="41"/>
      <c r="W265" s="43" t="s">
        <v>711</v>
      </c>
      <c r="X265" s="33"/>
      <c r="Y265" s="27"/>
      <c r="Z265" s="29"/>
      <c r="AB265" s="73" t="str">
        <f t="shared" si="6"/>
        <v>走行抵抗届出(Target Lset式) A1－</v>
      </c>
      <c r="AC265" s="74" t="e">
        <f>VLOOKUP($AB265,変換表貼り付け用シート!$A$3:$AN$1133,3,FALSE)</f>
        <v>#N/A</v>
      </c>
      <c r="AD265" s="74" t="e">
        <f t="shared" si="7"/>
        <v>#N/A</v>
      </c>
      <c r="AE265" s="79" t="e">
        <f>IF(VLOOKUP($AB265,変換表貼り付け用シート!$A$3:$AN$3000,12,FALSE)="","",(VLOOKUP($AB265,変換表貼り付け用シート!$A$3:$AN$3000,12,FALSE)))</f>
        <v>#N/A</v>
      </c>
      <c r="AF265" s="80" t="e">
        <f>IF(VLOOKUP($AB265,変換表貼り付け用シート!$A$3:$AN$3000,13,FALSE)="","",(VLOOKUP($AB265,変換表貼り付け用シート!$A$3:$AN$3000,13,FALSE)))</f>
        <v>#N/A</v>
      </c>
      <c r="AG265" s="80" t="e">
        <f>IF(VLOOKUP($AB265,変換表貼り付け用シート!$A$3:$AN$3000,14,FALSE)="","",(VLOOKUP($AB265,変換表貼り付け用シート!$A$3:$AN$3000,14,FALSE)))</f>
        <v>#N/A</v>
      </c>
      <c r="AH265" s="85" t="e">
        <f>IF(VLOOKUP($AB265,変換表貼り付け用シート!$A$3:$AN$3000,15,FALSE)="","",(VLOOKUP($AB265,変換表貼り付け用シート!$A$3:$AN$3000,15,FALSE)))</f>
        <v>#N/A</v>
      </c>
      <c r="AI265" s="79" t="e">
        <f>IF(VLOOKUP($AB265,変換表貼り付け用シート!$A$3:$AN$3000,16,FALSE)="","",(VLOOKUP($AB265,変換表貼り付け用シート!$A$3:$AN$3000,16,FALSE)))</f>
        <v>#N/A</v>
      </c>
      <c r="AJ265" s="81" t="e">
        <f>IF(VLOOKUP($AB265,変換表貼り付け用シート!$A$3:$AN$3000,17,FALSE)="","",(VLOOKUP($AB265,変換表貼り付け用シート!$A$3:$AN$3000,17,FALSE)))</f>
        <v>#N/A</v>
      </c>
      <c r="AK265" s="88" t="e">
        <f>IF(VLOOKUP($AB265,変換表貼り付け用シート!$A$3:$AN$3000,18,FALSE)="","",(VLOOKUP($AB265,変換表貼り付け用シート!$A$3:$AN$3000,18,FALSE)))</f>
        <v>#N/A</v>
      </c>
      <c r="AL265" s="81" t="e">
        <f>IF(VLOOKUP($AB265,変換表貼り付け用シート!$A$3:$AN$3000,19,FALSE)="","",(VLOOKUP($AB265,変換表貼り付け用シート!$A$3:$AN$3000,19,FALSE)))</f>
        <v>#N/A</v>
      </c>
      <c r="AM265" s="75" t="e">
        <f>IF(VLOOKUP($AB265,変換表貼り付け用シート!$A$3:$AN$3000,20,FALSE)="","",(VLOOKUP($AB265,変換表貼り付け用シート!$A$3:$AN$3000,20,FALSE)))</f>
        <v>#N/A</v>
      </c>
    </row>
    <row r="266" spans="2:39" ht="21" customHeight="1" x14ac:dyDescent="0.35">
      <c r="B266" s="39"/>
      <c r="C266" s="117" t="s">
        <v>970</v>
      </c>
      <c r="D266" s="96" t="s">
        <v>469</v>
      </c>
      <c r="E266" s="27" t="s">
        <v>44</v>
      </c>
      <c r="F266" s="37" t="s">
        <v>45</v>
      </c>
      <c r="G266" s="33" t="s">
        <v>206</v>
      </c>
      <c r="H266" s="27" t="s">
        <v>419</v>
      </c>
      <c r="I266" s="27" t="s">
        <v>206</v>
      </c>
      <c r="J266" s="37" t="s">
        <v>419</v>
      </c>
      <c r="K266" s="39" t="s">
        <v>118</v>
      </c>
      <c r="L266" s="28" t="s">
        <v>123</v>
      </c>
      <c r="M266" s="28" t="s">
        <v>48</v>
      </c>
      <c r="N266" s="41" t="s">
        <v>124</v>
      </c>
      <c r="O266" s="39">
        <v>4.3650000000000001E-2</v>
      </c>
      <c r="P266" s="28"/>
      <c r="Q266" s="28"/>
      <c r="R266" s="41"/>
      <c r="S266" s="39"/>
      <c r="T266" s="41"/>
      <c r="U266" s="39"/>
      <c r="V266" s="41"/>
      <c r="W266" s="43" t="s">
        <v>711</v>
      </c>
      <c r="X266" s="33"/>
      <c r="Y266" s="27"/>
      <c r="Z266" s="29"/>
      <c r="AB266" s="73" t="str">
        <f t="shared" ref="AB266:AB329" si="8">K266&amp;L266&amp;M266</f>
        <v>走行抵抗届出(Target Lset式) A2－</v>
      </c>
      <c r="AC266" s="74" t="e">
        <f>VLOOKUP($AB266,変換表貼り付け用シート!$A$3:$AN$1133,3,FALSE)</f>
        <v>#N/A</v>
      </c>
      <c r="AD266" s="74" t="e">
        <f t="shared" ref="AD266:AD329" si="9">IF(AE266&amp;AF266&amp;AG266&amp;AH266&amp;AI266&amp;AJ266&amp;AK266&amp;AL266&amp;AM266=O266&amp;P266&amp;Q266&amp;R266&amp;S266&amp;T266&amp;U266&amp;V266&amp;W266,"","更新")</f>
        <v>#N/A</v>
      </c>
      <c r="AE266" s="79" t="e">
        <f>IF(VLOOKUP($AB266,変換表貼り付け用シート!$A$3:$AN$3000,12,FALSE)="","",(VLOOKUP($AB266,変換表貼り付け用シート!$A$3:$AN$3000,12,FALSE)))</f>
        <v>#N/A</v>
      </c>
      <c r="AF266" s="80" t="e">
        <f>IF(VLOOKUP($AB266,変換表貼り付け用シート!$A$3:$AN$3000,13,FALSE)="","",(VLOOKUP($AB266,変換表貼り付け用シート!$A$3:$AN$3000,13,FALSE)))</f>
        <v>#N/A</v>
      </c>
      <c r="AG266" s="80" t="e">
        <f>IF(VLOOKUP($AB266,変換表貼り付け用シート!$A$3:$AN$3000,14,FALSE)="","",(VLOOKUP($AB266,変換表貼り付け用シート!$A$3:$AN$3000,14,FALSE)))</f>
        <v>#N/A</v>
      </c>
      <c r="AH266" s="85" t="e">
        <f>IF(VLOOKUP($AB266,変換表貼り付け用シート!$A$3:$AN$3000,15,FALSE)="","",(VLOOKUP($AB266,変換表貼り付け用シート!$A$3:$AN$3000,15,FALSE)))</f>
        <v>#N/A</v>
      </c>
      <c r="AI266" s="79" t="e">
        <f>IF(VLOOKUP($AB266,変換表貼り付け用シート!$A$3:$AN$3000,16,FALSE)="","",(VLOOKUP($AB266,変換表貼り付け用シート!$A$3:$AN$3000,16,FALSE)))</f>
        <v>#N/A</v>
      </c>
      <c r="AJ266" s="81" t="e">
        <f>IF(VLOOKUP($AB266,変換表貼り付け用シート!$A$3:$AN$3000,17,FALSE)="","",(VLOOKUP($AB266,変換表貼り付け用シート!$A$3:$AN$3000,17,FALSE)))</f>
        <v>#N/A</v>
      </c>
      <c r="AK266" s="88" t="e">
        <f>IF(VLOOKUP($AB266,変換表貼り付け用シート!$A$3:$AN$3000,18,FALSE)="","",(VLOOKUP($AB266,変換表貼り付け用シート!$A$3:$AN$3000,18,FALSE)))</f>
        <v>#N/A</v>
      </c>
      <c r="AL266" s="81" t="e">
        <f>IF(VLOOKUP($AB266,変換表貼り付け用シート!$A$3:$AN$3000,19,FALSE)="","",(VLOOKUP($AB266,変換表貼り付け用シート!$A$3:$AN$3000,19,FALSE)))</f>
        <v>#N/A</v>
      </c>
      <c r="AM266" s="75" t="e">
        <f>IF(VLOOKUP($AB266,変換表貼り付け用シート!$A$3:$AN$3000,20,FALSE)="","",(VLOOKUP($AB266,変換表貼り付け用シート!$A$3:$AN$3000,20,FALSE)))</f>
        <v>#N/A</v>
      </c>
    </row>
    <row r="267" spans="2:39" ht="21" customHeight="1" x14ac:dyDescent="0.35">
      <c r="B267" s="39"/>
      <c r="C267" s="117" t="s">
        <v>971</v>
      </c>
      <c r="D267" s="96" t="s">
        <v>470</v>
      </c>
      <c r="E267" s="27" t="s">
        <v>44</v>
      </c>
      <c r="F267" s="37" t="s">
        <v>45</v>
      </c>
      <c r="G267" s="33" t="s">
        <v>206</v>
      </c>
      <c r="H267" s="27" t="s">
        <v>419</v>
      </c>
      <c r="I267" s="27" t="s">
        <v>206</v>
      </c>
      <c r="J267" s="37" t="s">
        <v>419</v>
      </c>
      <c r="K267" s="39" t="s">
        <v>118</v>
      </c>
      <c r="L267" s="28" t="s">
        <v>125</v>
      </c>
      <c r="M267" s="28" t="s">
        <v>48</v>
      </c>
      <c r="N267" s="41" t="s">
        <v>126</v>
      </c>
      <c r="O267" s="39">
        <v>1237</v>
      </c>
      <c r="P267" s="28"/>
      <c r="Q267" s="28"/>
      <c r="R267" s="41"/>
      <c r="S267" s="39"/>
      <c r="T267" s="41"/>
      <c r="U267" s="39"/>
      <c r="V267" s="41"/>
      <c r="W267" s="43" t="s">
        <v>711</v>
      </c>
      <c r="X267" s="33"/>
      <c r="Y267" s="27"/>
      <c r="Z267" s="29"/>
      <c r="AB267" s="73" t="str">
        <f t="shared" si="8"/>
        <v>走行抵抗届出(Target Lset式) IP－</v>
      </c>
      <c r="AC267" s="74" t="e">
        <f>VLOOKUP($AB267,変換表貼り付け用シート!$A$3:$AN$1133,3,FALSE)</f>
        <v>#N/A</v>
      </c>
      <c r="AD267" s="74" t="e">
        <f t="shared" si="9"/>
        <v>#N/A</v>
      </c>
      <c r="AE267" s="79" t="e">
        <f>IF(VLOOKUP($AB267,変換表貼り付け用シート!$A$3:$AN$3000,12,FALSE)="","",(VLOOKUP($AB267,変換表貼り付け用シート!$A$3:$AN$3000,12,FALSE)))</f>
        <v>#N/A</v>
      </c>
      <c r="AF267" s="80" t="e">
        <f>IF(VLOOKUP($AB267,変換表貼り付け用シート!$A$3:$AN$3000,13,FALSE)="","",(VLOOKUP($AB267,変換表貼り付け用シート!$A$3:$AN$3000,13,FALSE)))</f>
        <v>#N/A</v>
      </c>
      <c r="AG267" s="80" t="e">
        <f>IF(VLOOKUP($AB267,変換表貼り付け用シート!$A$3:$AN$3000,14,FALSE)="","",(VLOOKUP($AB267,変換表貼り付け用シート!$A$3:$AN$3000,14,FALSE)))</f>
        <v>#N/A</v>
      </c>
      <c r="AH267" s="85" t="e">
        <f>IF(VLOOKUP($AB267,変換表貼り付け用シート!$A$3:$AN$3000,15,FALSE)="","",(VLOOKUP($AB267,変換表貼り付け用シート!$A$3:$AN$3000,15,FALSE)))</f>
        <v>#N/A</v>
      </c>
      <c r="AI267" s="79" t="e">
        <f>IF(VLOOKUP($AB267,変換表貼り付け用シート!$A$3:$AN$3000,16,FALSE)="","",(VLOOKUP($AB267,変換表貼り付け用シート!$A$3:$AN$3000,16,FALSE)))</f>
        <v>#N/A</v>
      </c>
      <c r="AJ267" s="81" t="e">
        <f>IF(VLOOKUP($AB267,変換表貼り付け用シート!$A$3:$AN$3000,17,FALSE)="","",(VLOOKUP($AB267,変換表貼り付け用シート!$A$3:$AN$3000,17,FALSE)))</f>
        <v>#N/A</v>
      </c>
      <c r="AK267" s="88" t="e">
        <f>IF(VLOOKUP($AB267,変換表貼り付け用シート!$A$3:$AN$3000,18,FALSE)="","",(VLOOKUP($AB267,変換表貼り付け用シート!$A$3:$AN$3000,18,FALSE)))</f>
        <v>#N/A</v>
      </c>
      <c r="AL267" s="81" t="e">
        <f>IF(VLOOKUP($AB267,変換表貼り付け用シート!$A$3:$AN$3000,19,FALSE)="","",(VLOOKUP($AB267,変換表貼り付け用シート!$A$3:$AN$3000,19,FALSE)))</f>
        <v>#N/A</v>
      </c>
      <c r="AM267" s="75" t="e">
        <f>IF(VLOOKUP($AB267,変換表貼り付け用シート!$A$3:$AN$3000,20,FALSE)="","",(VLOOKUP($AB267,変換表貼り付け用シート!$A$3:$AN$3000,20,FALSE)))</f>
        <v>#N/A</v>
      </c>
    </row>
    <row r="268" spans="2:39" ht="21" customHeight="1" x14ac:dyDescent="0.35">
      <c r="B268" s="39"/>
      <c r="C268" s="117" t="s">
        <v>972</v>
      </c>
      <c r="D268" s="96" t="s">
        <v>471</v>
      </c>
      <c r="E268" s="27" t="s">
        <v>44</v>
      </c>
      <c r="F268" s="37" t="s">
        <v>45</v>
      </c>
      <c r="G268" s="33" t="s">
        <v>206</v>
      </c>
      <c r="H268" s="27" t="s">
        <v>419</v>
      </c>
      <c r="I268" s="27" t="s">
        <v>206</v>
      </c>
      <c r="J268" s="37" t="s">
        <v>419</v>
      </c>
      <c r="K268" s="39" t="s">
        <v>127</v>
      </c>
      <c r="L268" s="28" t="s">
        <v>128</v>
      </c>
      <c r="M268" s="28" t="s">
        <v>48</v>
      </c>
      <c r="N268" s="41" t="s">
        <v>120</v>
      </c>
      <c r="O268" s="39">
        <v>83.536000000000001</v>
      </c>
      <c r="P268" s="28"/>
      <c r="Q268" s="28"/>
      <c r="R268" s="41"/>
      <c r="S268" s="39"/>
      <c r="T268" s="41"/>
      <c r="U268" s="39"/>
      <c r="V268" s="41"/>
      <c r="W268" s="43" t="s">
        <v>711</v>
      </c>
      <c r="X268" s="33"/>
      <c r="Y268" s="27"/>
      <c r="Z268" s="29"/>
      <c r="AB268" s="73" t="str">
        <f t="shared" si="8"/>
        <v>性能検討用走行抵抗式(ePT連れ回り排除)航続距離(C/D車載状態)A0－</v>
      </c>
      <c r="AC268" s="74" t="e">
        <f>VLOOKUP($AB268,変換表貼り付け用シート!$A$3:$AN$1133,3,FALSE)</f>
        <v>#N/A</v>
      </c>
      <c r="AD268" s="74" t="e">
        <f t="shared" si="9"/>
        <v>#N/A</v>
      </c>
      <c r="AE268" s="79" t="e">
        <f>IF(VLOOKUP($AB268,変換表貼り付け用シート!$A$3:$AN$3000,12,FALSE)="","",(VLOOKUP($AB268,変換表貼り付け用シート!$A$3:$AN$3000,12,FALSE)))</f>
        <v>#N/A</v>
      </c>
      <c r="AF268" s="80" t="e">
        <f>IF(VLOOKUP($AB268,変換表貼り付け用シート!$A$3:$AN$3000,13,FALSE)="","",(VLOOKUP($AB268,変換表貼り付け用シート!$A$3:$AN$3000,13,FALSE)))</f>
        <v>#N/A</v>
      </c>
      <c r="AG268" s="80" t="e">
        <f>IF(VLOOKUP($AB268,変換表貼り付け用シート!$A$3:$AN$3000,14,FALSE)="","",(VLOOKUP($AB268,変換表貼り付け用シート!$A$3:$AN$3000,14,FALSE)))</f>
        <v>#N/A</v>
      </c>
      <c r="AH268" s="85" t="e">
        <f>IF(VLOOKUP($AB268,変換表貼り付け用シート!$A$3:$AN$3000,15,FALSE)="","",(VLOOKUP($AB268,変換表貼り付け用シート!$A$3:$AN$3000,15,FALSE)))</f>
        <v>#N/A</v>
      </c>
      <c r="AI268" s="79" t="e">
        <f>IF(VLOOKUP($AB268,変換表貼り付け用シート!$A$3:$AN$3000,16,FALSE)="","",(VLOOKUP($AB268,変換表貼り付け用シート!$A$3:$AN$3000,16,FALSE)))</f>
        <v>#N/A</v>
      </c>
      <c r="AJ268" s="81" t="e">
        <f>IF(VLOOKUP($AB268,変換表貼り付け用シート!$A$3:$AN$3000,17,FALSE)="","",(VLOOKUP($AB268,変換表貼り付け用シート!$A$3:$AN$3000,17,FALSE)))</f>
        <v>#N/A</v>
      </c>
      <c r="AK268" s="88" t="e">
        <f>IF(VLOOKUP($AB268,変換表貼り付け用シート!$A$3:$AN$3000,18,FALSE)="","",(VLOOKUP($AB268,変換表貼り付け用シート!$A$3:$AN$3000,18,FALSE)))</f>
        <v>#N/A</v>
      </c>
      <c r="AL268" s="81" t="e">
        <f>IF(VLOOKUP($AB268,変換表貼り付け用シート!$A$3:$AN$3000,19,FALSE)="","",(VLOOKUP($AB268,変換表貼り付け用シート!$A$3:$AN$3000,19,FALSE)))</f>
        <v>#N/A</v>
      </c>
      <c r="AM268" s="75" t="e">
        <f>IF(VLOOKUP($AB268,変換表貼り付け用シート!$A$3:$AN$3000,20,FALSE)="","",(VLOOKUP($AB268,変換表貼り付け用シート!$A$3:$AN$3000,20,FALSE)))</f>
        <v>#N/A</v>
      </c>
    </row>
    <row r="269" spans="2:39" ht="21" customHeight="1" x14ac:dyDescent="0.35">
      <c r="B269" s="39"/>
      <c r="C269" s="117" t="s">
        <v>973</v>
      </c>
      <c r="D269" s="96" t="s">
        <v>472</v>
      </c>
      <c r="E269" s="27" t="s">
        <v>44</v>
      </c>
      <c r="F269" s="37" t="s">
        <v>45</v>
      </c>
      <c r="G269" s="33" t="s">
        <v>206</v>
      </c>
      <c r="H269" s="27" t="s">
        <v>419</v>
      </c>
      <c r="I269" s="27" t="s">
        <v>206</v>
      </c>
      <c r="J269" s="37" t="s">
        <v>419</v>
      </c>
      <c r="K269" s="39" t="s">
        <v>127</v>
      </c>
      <c r="L269" s="28" t="s">
        <v>129</v>
      </c>
      <c r="M269" s="28" t="s">
        <v>48</v>
      </c>
      <c r="N269" s="41" t="s">
        <v>122</v>
      </c>
      <c r="O269" s="39">
        <v>-0.13070000000000001</v>
      </c>
      <c r="P269" s="28"/>
      <c r="Q269" s="28"/>
      <c r="R269" s="41"/>
      <c r="S269" s="39"/>
      <c r="T269" s="41"/>
      <c r="U269" s="39"/>
      <c r="V269" s="41"/>
      <c r="W269" s="43" t="s">
        <v>711</v>
      </c>
      <c r="X269" s="33"/>
      <c r="Y269" s="27"/>
      <c r="Z269" s="29"/>
      <c r="AB269" s="73" t="str">
        <f t="shared" si="8"/>
        <v>性能検討用走行抵抗式(ePT連れ回り排除)航続距離(C/D車載状態)A1－</v>
      </c>
      <c r="AC269" s="74" t="e">
        <f>VLOOKUP($AB269,変換表貼り付け用シート!$A$3:$AN$1133,3,FALSE)</f>
        <v>#N/A</v>
      </c>
      <c r="AD269" s="74" t="e">
        <f t="shared" si="9"/>
        <v>#N/A</v>
      </c>
      <c r="AE269" s="79" t="e">
        <f>IF(VLOOKUP($AB269,変換表貼り付け用シート!$A$3:$AN$3000,12,FALSE)="","",(VLOOKUP($AB269,変換表貼り付け用シート!$A$3:$AN$3000,12,FALSE)))</f>
        <v>#N/A</v>
      </c>
      <c r="AF269" s="80" t="e">
        <f>IF(VLOOKUP($AB269,変換表貼り付け用シート!$A$3:$AN$3000,13,FALSE)="","",(VLOOKUP($AB269,変換表貼り付け用シート!$A$3:$AN$3000,13,FALSE)))</f>
        <v>#N/A</v>
      </c>
      <c r="AG269" s="80" t="e">
        <f>IF(VLOOKUP($AB269,変換表貼り付け用シート!$A$3:$AN$3000,14,FALSE)="","",(VLOOKUP($AB269,変換表貼り付け用シート!$A$3:$AN$3000,14,FALSE)))</f>
        <v>#N/A</v>
      </c>
      <c r="AH269" s="85" t="e">
        <f>IF(VLOOKUP($AB269,変換表貼り付け用シート!$A$3:$AN$3000,15,FALSE)="","",(VLOOKUP($AB269,変換表貼り付け用シート!$A$3:$AN$3000,15,FALSE)))</f>
        <v>#N/A</v>
      </c>
      <c r="AI269" s="79" t="e">
        <f>IF(VLOOKUP($AB269,変換表貼り付け用シート!$A$3:$AN$3000,16,FALSE)="","",(VLOOKUP($AB269,変換表貼り付け用シート!$A$3:$AN$3000,16,FALSE)))</f>
        <v>#N/A</v>
      </c>
      <c r="AJ269" s="81" t="e">
        <f>IF(VLOOKUP($AB269,変換表貼り付け用シート!$A$3:$AN$3000,17,FALSE)="","",(VLOOKUP($AB269,変換表貼り付け用シート!$A$3:$AN$3000,17,FALSE)))</f>
        <v>#N/A</v>
      </c>
      <c r="AK269" s="88" t="e">
        <f>IF(VLOOKUP($AB269,変換表貼り付け用シート!$A$3:$AN$3000,18,FALSE)="","",(VLOOKUP($AB269,変換表貼り付け用シート!$A$3:$AN$3000,18,FALSE)))</f>
        <v>#N/A</v>
      </c>
      <c r="AL269" s="81" t="e">
        <f>IF(VLOOKUP($AB269,変換表貼り付け用シート!$A$3:$AN$3000,19,FALSE)="","",(VLOOKUP($AB269,変換表貼り付け用シート!$A$3:$AN$3000,19,FALSE)))</f>
        <v>#N/A</v>
      </c>
      <c r="AM269" s="75" t="e">
        <f>IF(VLOOKUP($AB269,変換表貼り付け用シート!$A$3:$AN$3000,20,FALSE)="","",(VLOOKUP($AB269,変換表貼り付け用シート!$A$3:$AN$3000,20,FALSE)))</f>
        <v>#N/A</v>
      </c>
    </row>
    <row r="270" spans="2:39" ht="21" customHeight="1" x14ac:dyDescent="0.35">
      <c r="B270" s="39"/>
      <c r="C270" s="117" t="s">
        <v>974</v>
      </c>
      <c r="D270" s="96" t="s">
        <v>473</v>
      </c>
      <c r="E270" s="27" t="s">
        <v>44</v>
      </c>
      <c r="F270" s="37" t="s">
        <v>45</v>
      </c>
      <c r="G270" s="33" t="s">
        <v>206</v>
      </c>
      <c r="H270" s="27" t="s">
        <v>419</v>
      </c>
      <c r="I270" s="27" t="s">
        <v>206</v>
      </c>
      <c r="J270" s="37" t="s">
        <v>419</v>
      </c>
      <c r="K270" s="39" t="s">
        <v>127</v>
      </c>
      <c r="L270" s="28" t="s">
        <v>130</v>
      </c>
      <c r="M270" s="28" t="s">
        <v>48</v>
      </c>
      <c r="N270" s="41" t="s">
        <v>124</v>
      </c>
      <c r="O270" s="39">
        <v>4.3650000000000001E-2</v>
      </c>
      <c r="P270" s="28"/>
      <c r="Q270" s="28"/>
      <c r="R270" s="41"/>
      <c r="S270" s="39"/>
      <c r="T270" s="41"/>
      <c r="U270" s="39"/>
      <c r="V270" s="41"/>
      <c r="W270" s="43" t="s">
        <v>711</v>
      </c>
      <c r="X270" s="33"/>
      <c r="Y270" s="27"/>
      <c r="Z270" s="29"/>
      <c r="AB270" s="73" t="str">
        <f t="shared" si="8"/>
        <v>性能検討用走行抵抗式(ePT連れ回り排除)航続距離(C/D車載状態)A2－</v>
      </c>
      <c r="AC270" s="74" t="e">
        <f>VLOOKUP($AB270,変換表貼り付け用シート!$A$3:$AN$1133,3,FALSE)</f>
        <v>#N/A</v>
      </c>
      <c r="AD270" s="74" t="e">
        <f t="shared" si="9"/>
        <v>#N/A</v>
      </c>
      <c r="AE270" s="79" t="e">
        <f>IF(VLOOKUP($AB270,変換表貼り付け用シート!$A$3:$AN$3000,12,FALSE)="","",(VLOOKUP($AB270,変換表貼り付け用シート!$A$3:$AN$3000,12,FALSE)))</f>
        <v>#N/A</v>
      </c>
      <c r="AF270" s="80" t="e">
        <f>IF(VLOOKUP($AB270,変換表貼り付け用シート!$A$3:$AN$3000,13,FALSE)="","",(VLOOKUP($AB270,変換表貼り付け用シート!$A$3:$AN$3000,13,FALSE)))</f>
        <v>#N/A</v>
      </c>
      <c r="AG270" s="80" t="e">
        <f>IF(VLOOKUP($AB270,変換表貼り付け用シート!$A$3:$AN$3000,14,FALSE)="","",(VLOOKUP($AB270,変換表貼り付け用シート!$A$3:$AN$3000,14,FALSE)))</f>
        <v>#N/A</v>
      </c>
      <c r="AH270" s="85" t="e">
        <f>IF(VLOOKUP($AB270,変換表貼り付け用シート!$A$3:$AN$3000,15,FALSE)="","",(VLOOKUP($AB270,変換表貼り付け用シート!$A$3:$AN$3000,15,FALSE)))</f>
        <v>#N/A</v>
      </c>
      <c r="AI270" s="79" t="e">
        <f>IF(VLOOKUP($AB270,変換表貼り付け用シート!$A$3:$AN$3000,16,FALSE)="","",(VLOOKUP($AB270,変換表貼り付け用シート!$A$3:$AN$3000,16,FALSE)))</f>
        <v>#N/A</v>
      </c>
      <c r="AJ270" s="81" t="e">
        <f>IF(VLOOKUP($AB270,変換表貼り付け用シート!$A$3:$AN$3000,17,FALSE)="","",(VLOOKUP($AB270,変換表貼り付け用シート!$A$3:$AN$3000,17,FALSE)))</f>
        <v>#N/A</v>
      </c>
      <c r="AK270" s="88" t="e">
        <f>IF(VLOOKUP($AB270,変換表貼り付け用シート!$A$3:$AN$3000,18,FALSE)="","",(VLOOKUP($AB270,変換表貼り付け用シート!$A$3:$AN$3000,18,FALSE)))</f>
        <v>#N/A</v>
      </c>
      <c r="AL270" s="81" t="e">
        <f>IF(VLOOKUP($AB270,変換表貼り付け用シート!$A$3:$AN$3000,19,FALSE)="","",(VLOOKUP($AB270,変換表貼り付け用シート!$A$3:$AN$3000,19,FALSE)))</f>
        <v>#N/A</v>
      </c>
      <c r="AM270" s="75" t="e">
        <f>IF(VLOOKUP($AB270,変換表貼り付け用シート!$A$3:$AN$3000,20,FALSE)="","",(VLOOKUP($AB270,変換表貼り付け用シート!$A$3:$AN$3000,20,FALSE)))</f>
        <v>#N/A</v>
      </c>
    </row>
    <row r="271" spans="2:39" ht="21" customHeight="1" x14ac:dyDescent="0.35">
      <c r="B271" s="39"/>
      <c r="C271" s="117" t="s">
        <v>975</v>
      </c>
      <c r="D271" s="96" t="s">
        <v>474</v>
      </c>
      <c r="E271" s="27" t="s">
        <v>44</v>
      </c>
      <c r="F271" s="37" t="s">
        <v>45</v>
      </c>
      <c r="G271" s="33" t="s">
        <v>206</v>
      </c>
      <c r="H271" s="27" t="s">
        <v>419</v>
      </c>
      <c r="I271" s="27" t="s">
        <v>206</v>
      </c>
      <c r="J271" s="37" t="s">
        <v>419</v>
      </c>
      <c r="K271" s="39" t="s">
        <v>127</v>
      </c>
      <c r="L271" s="28" t="s">
        <v>131</v>
      </c>
      <c r="M271" s="28" t="s">
        <v>48</v>
      </c>
      <c r="N271" s="41" t="s">
        <v>126</v>
      </c>
      <c r="O271" s="39">
        <v>1237</v>
      </c>
      <c r="P271" s="28"/>
      <c r="Q271" s="28"/>
      <c r="R271" s="41"/>
      <c r="S271" s="39"/>
      <c r="T271" s="41"/>
      <c r="U271" s="39"/>
      <c r="V271" s="41"/>
      <c r="W271" s="43" t="s">
        <v>711</v>
      </c>
      <c r="X271" s="33"/>
      <c r="Y271" s="27"/>
      <c r="Z271" s="29"/>
      <c r="AB271" s="73" t="str">
        <f t="shared" si="8"/>
        <v>性能検討用走行抵抗式(ePT連れ回り排除)航続距離(C/D車載状態)IP－</v>
      </c>
      <c r="AC271" s="74" t="e">
        <f>VLOOKUP($AB271,変換表貼り付け用シート!$A$3:$AN$1133,3,FALSE)</f>
        <v>#N/A</v>
      </c>
      <c r="AD271" s="74" t="e">
        <f t="shared" si="9"/>
        <v>#N/A</v>
      </c>
      <c r="AE271" s="79" t="e">
        <f>IF(VLOOKUP($AB271,変換表貼り付け用シート!$A$3:$AN$3000,12,FALSE)="","",(VLOOKUP($AB271,変換表貼り付け用シート!$A$3:$AN$3000,12,FALSE)))</f>
        <v>#N/A</v>
      </c>
      <c r="AF271" s="80" t="e">
        <f>IF(VLOOKUP($AB271,変換表貼り付け用シート!$A$3:$AN$3000,13,FALSE)="","",(VLOOKUP($AB271,変換表貼り付け用シート!$A$3:$AN$3000,13,FALSE)))</f>
        <v>#N/A</v>
      </c>
      <c r="AG271" s="80" t="e">
        <f>IF(VLOOKUP($AB271,変換表貼り付け用シート!$A$3:$AN$3000,14,FALSE)="","",(VLOOKUP($AB271,変換表貼り付け用シート!$A$3:$AN$3000,14,FALSE)))</f>
        <v>#N/A</v>
      </c>
      <c r="AH271" s="85" t="e">
        <f>IF(VLOOKUP($AB271,変換表貼り付け用シート!$A$3:$AN$3000,15,FALSE)="","",(VLOOKUP($AB271,変換表貼り付け用シート!$A$3:$AN$3000,15,FALSE)))</f>
        <v>#N/A</v>
      </c>
      <c r="AI271" s="79" t="e">
        <f>IF(VLOOKUP($AB271,変換表貼り付け用シート!$A$3:$AN$3000,16,FALSE)="","",(VLOOKUP($AB271,変換表貼り付け用シート!$A$3:$AN$3000,16,FALSE)))</f>
        <v>#N/A</v>
      </c>
      <c r="AJ271" s="81" t="e">
        <f>IF(VLOOKUP($AB271,変換表貼り付け用シート!$A$3:$AN$3000,17,FALSE)="","",(VLOOKUP($AB271,変換表貼り付け用シート!$A$3:$AN$3000,17,FALSE)))</f>
        <v>#N/A</v>
      </c>
      <c r="AK271" s="88" t="e">
        <f>IF(VLOOKUP($AB271,変換表貼り付け用シート!$A$3:$AN$3000,18,FALSE)="","",(VLOOKUP($AB271,変換表貼り付け用シート!$A$3:$AN$3000,18,FALSE)))</f>
        <v>#N/A</v>
      </c>
      <c r="AL271" s="81" t="e">
        <f>IF(VLOOKUP($AB271,変換表貼り付け用シート!$A$3:$AN$3000,19,FALSE)="","",(VLOOKUP($AB271,変換表貼り付け用シート!$A$3:$AN$3000,19,FALSE)))</f>
        <v>#N/A</v>
      </c>
      <c r="AM271" s="75" t="e">
        <f>IF(VLOOKUP($AB271,変換表貼り付け用シート!$A$3:$AN$3000,20,FALSE)="","",(VLOOKUP($AB271,変換表貼り付け用シート!$A$3:$AN$3000,20,FALSE)))</f>
        <v>#N/A</v>
      </c>
    </row>
    <row r="272" spans="2:39" ht="21" customHeight="1" x14ac:dyDescent="0.35">
      <c r="B272" s="39"/>
      <c r="C272" s="117" t="s">
        <v>976</v>
      </c>
      <c r="D272" s="96" t="s">
        <v>475</v>
      </c>
      <c r="E272" s="27" t="s">
        <v>44</v>
      </c>
      <c r="F272" s="37" t="s">
        <v>45</v>
      </c>
      <c r="G272" s="33" t="s">
        <v>206</v>
      </c>
      <c r="H272" s="27" t="s">
        <v>419</v>
      </c>
      <c r="I272" s="27" t="s">
        <v>206</v>
      </c>
      <c r="J272" s="37" t="s">
        <v>419</v>
      </c>
      <c r="K272" s="39" t="s">
        <v>127</v>
      </c>
      <c r="L272" s="28" t="s">
        <v>132</v>
      </c>
      <c r="M272" s="28" t="s">
        <v>48</v>
      </c>
      <c r="N272" s="41" t="s">
        <v>120</v>
      </c>
      <c r="O272" s="39">
        <v>95.656999999999996</v>
      </c>
      <c r="P272" s="28"/>
      <c r="Q272" s="28"/>
      <c r="R272" s="41"/>
      <c r="S272" s="39"/>
      <c r="T272" s="41"/>
      <c r="U272" s="39"/>
      <c r="V272" s="41"/>
      <c r="W272" s="43" t="s">
        <v>711</v>
      </c>
      <c r="X272" s="33"/>
      <c r="Y272" s="27"/>
      <c r="Z272" s="29"/>
      <c r="AB272" s="73" t="str">
        <f t="shared" si="8"/>
        <v>性能検討用走行抵抗式(ePT連れ回り排除)動力当り前性能A0－</v>
      </c>
      <c r="AC272" s="74" t="e">
        <f>VLOOKUP($AB272,変換表貼り付け用シート!$A$3:$AN$1133,3,FALSE)</f>
        <v>#N/A</v>
      </c>
      <c r="AD272" s="74" t="e">
        <f t="shared" si="9"/>
        <v>#N/A</v>
      </c>
      <c r="AE272" s="79" t="e">
        <f>IF(VLOOKUP($AB272,変換表貼り付け用シート!$A$3:$AN$3000,12,FALSE)="","",(VLOOKUP($AB272,変換表貼り付け用シート!$A$3:$AN$3000,12,FALSE)))</f>
        <v>#N/A</v>
      </c>
      <c r="AF272" s="80" t="e">
        <f>IF(VLOOKUP($AB272,変換表貼り付け用シート!$A$3:$AN$3000,13,FALSE)="","",(VLOOKUP($AB272,変換表貼り付け用シート!$A$3:$AN$3000,13,FALSE)))</f>
        <v>#N/A</v>
      </c>
      <c r="AG272" s="80" t="e">
        <f>IF(VLOOKUP($AB272,変換表貼り付け用シート!$A$3:$AN$3000,14,FALSE)="","",(VLOOKUP($AB272,変換表貼り付け用シート!$A$3:$AN$3000,14,FALSE)))</f>
        <v>#N/A</v>
      </c>
      <c r="AH272" s="85" t="e">
        <f>IF(VLOOKUP($AB272,変換表貼り付け用シート!$A$3:$AN$3000,15,FALSE)="","",(VLOOKUP($AB272,変換表貼り付け用シート!$A$3:$AN$3000,15,FALSE)))</f>
        <v>#N/A</v>
      </c>
      <c r="AI272" s="79" t="e">
        <f>IF(VLOOKUP($AB272,変換表貼り付け用シート!$A$3:$AN$3000,16,FALSE)="","",(VLOOKUP($AB272,変換表貼り付け用シート!$A$3:$AN$3000,16,FALSE)))</f>
        <v>#N/A</v>
      </c>
      <c r="AJ272" s="81" t="e">
        <f>IF(VLOOKUP($AB272,変換表貼り付け用シート!$A$3:$AN$3000,17,FALSE)="","",(VLOOKUP($AB272,変換表貼り付け用シート!$A$3:$AN$3000,17,FALSE)))</f>
        <v>#N/A</v>
      </c>
      <c r="AK272" s="88" t="e">
        <f>IF(VLOOKUP($AB272,変換表貼り付け用シート!$A$3:$AN$3000,18,FALSE)="","",(VLOOKUP($AB272,変換表貼り付け用シート!$A$3:$AN$3000,18,FALSE)))</f>
        <v>#N/A</v>
      </c>
      <c r="AL272" s="81" t="e">
        <f>IF(VLOOKUP($AB272,変換表貼り付け用シート!$A$3:$AN$3000,19,FALSE)="","",(VLOOKUP($AB272,変換表貼り付け用シート!$A$3:$AN$3000,19,FALSE)))</f>
        <v>#N/A</v>
      </c>
      <c r="AM272" s="75" t="e">
        <f>IF(VLOOKUP($AB272,変換表貼り付け用シート!$A$3:$AN$3000,20,FALSE)="","",(VLOOKUP($AB272,変換表貼り付け用シート!$A$3:$AN$3000,20,FALSE)))</f>
        <v>#N/A</v>
      </c>
    </row>
    <row r="273" spans="2:39" ht="21" customHeight="1" x14ac:dyDescent="0.35">
      <c r="B273" s="39"/>
      <c r="C273" s="117" t="s">
        <v>977</v>
      </c>
      <c r="D273" s="96" t="s">
        <v>476</v>
      </c>
      <c r="E273" s="27" t="s">
        <v>44</v>
      </c>
      <c r="F273" s="37" t="s">
        <v>45</v>
      </c>
      <c r="G273" s="33" t="s">
        <v>206</v>
      </c>
      <c r="H273" s="27" t="s">
        <v>419</v>
      </c>
      <c r="I273" s="27" t="s">
        <v>206</v>
      </c>
      <c r="J273" s="37" t="s">
        <v>419</v>
      </c>
      <c r="K273" s="39" t="s">
        <v>127</v>
      </c>
      <c r="L273" s="28" t="s">
        <v>133</v>
      </c>
      <c r="M273" s="28" t="s">
        <v>48</v>
      </c>
      <c r="N273" s="41" t="s">
        <v>122</v>
      </c>
      <c r="O273" s="39" t="s">
        <v>48</v>
      </c>
      <c r="P273" s="28"/>
      <c r="Q273" s="28"/>
      <c r="R273" s="41"/>
      <c r="S273" s="39"/>
      <c r="T273" s="41"/>
      <c r="U273" s="39"/>
      <c r="V273" s="41"/>
      <c r="W273" s="43" t="s">
        <v>711</v>
      </c>
      <c r="X273" s="33"/>
      <c r="Y273" s="27"/>
      <c r="Z273" s="29"/>
      <c r="AB273" s="73" t="str">
        <f t="shared" si="8"/>
        <v>性能検討用走行抵抗式(ePT連れ回り排除)動力当り前性能A1－</v>
      </c>
      <c r="AC273" s="74" t="e">
        <f>VLOOKUP($AB273,変換表貼り付け用シート!$A$3:$AN$1133,3,FALSE)</f>
        <v>#N/A</v>
      </c>
      <c r="AD273" s="74" t="e">
        <f t="shared" si="9"/>
        <v>#N/A</v>
      </c>
      <c r="AE273" s="79" t="e">
        <f>IF(VLOOKUP($AB273,変換表貼り付け用シート!$A$3:$AN$3000,12,FALSE)="","",(VLOOKUP($AB273,変換表貼り付け用シート!$A$3:$AN$3000,12,FALSE)))</f>
        <v>#N/A</v>
      </c>
      <c r="AF273" s="80" t="e">
        <f>IF(VLOOKUP($AB273,変換表貼り付け用シート!$A$3:$AN$3000,13,FALSE)="","",(VLOOKUP($AB273,変換表貼り付け用シート!$A$3:$AN$3000,13,FALSE)))</f>
        <v>#N/A</v>
      </c>
      <c r="AG273" s="80" t="e">
        <f>IF(VLOOKUP($AB273,変換表貼り付け用シート!$A$3:$AN$3000,14,FALSE)="","",(VLOOKUP($AB273,変換表貼り付け用シート!$A$3:$AN$3000,14,FALSE)))</f>
        <v>#N/A</v>
      </c>
      <c r="AH273" s="85" t="e">
        <f>IF(VLOOKUP($AB273,変換表貼り付け用シート!$A$3:$AN$3000,15,FALSE)="","",(VLOOKUP($AB273,変換表貼り付け用シート!$A$3:$AN$3000,15,FALSE)))</f>
        <v>#N/A</v>
      </c>
      <c r="AI273" s="79" t="e">
        <f>IF(VLOOKUP($AB273,変換表貼り付け用シート!$A$3:$AN$3000,16,FALSE)="","",(VLOOKUP($AB273,変換表貼り付け用シート!$A$3:$AN$3000,16,FALSE)))</f>
        <v>#N/A</v>
      </c>
      <c r="AJ273" s="81" t="e">
        <f>IF(VLOOKUP($AB273,変換表貼り付け用シート!$A$3:$AN$3000,17,FALSE)="","",(VLOOKUP($AB273,変換表貼り付け用シート!$A$3:$AN$3000,17,FALSE)))</f>
        <v>#N/A</v>
      </c>
      <c r="AK273" s="88" t="e">
        <f>IF(VLOOKUP($AB273,変換表貼り付け用シート!$A$3:$AN$3000,18,FALSE)="","",(VLOOKUP($AB273,変換表貼り付け用シート!$A$3:$AN$3000,18,FALSE)))</f>
        <v>#N/A</v>
      </c>
      <c r="AL273" s="81" t="e">
        <f>IF(VLOOKUP($AB273,変換表貼り付け用シート!$A$3:$AN$3000,19,FALSE)="","",(VLOOKUP($AB273,変換表貼り付け用シート!$A$3:$AN$3000,19,FALSE)))</f>
        <v>#N/A</v>
      </c>
      <c r="AM273" s="75" t="e">
        <f>IF(VLOOKUP($AB273,変換表貼り付け用シート!$A$3:$AN$3000,20,FALSE)="","",(VLOOKUP($AB273,変換表貼り付け用シート!$A$3:$AN$3000,20,FALSE)))</f>
        <v>#N/A</v>
      </c>
    </row>
    <row r="274" spans="2:39" ht="21" customHeight="1" x14ac:dyDescent="0.35">
      <c r="B274" s="39"/>
      <c r="C274" s="117" t="s">
        <v>978</v>
      </c>
      <c r="D274" s="96" t="s">
        <v>477</v>
      </c>
      <c r="E274" s="27" t="s">
        <v>44</v>
      </c>
      <c r="F274" s="37" t="s">
        <v>45</v>
      </c>
      <c r="G274" s="33" t="s">
        <v>206</v>
      </c>
      <c r="H274" s="27" t="s">
        <v>419</v>
      </c>
      <c r="I274" s="27" t="s">
        <v>206</v>
      </c>
      <c r="J274" s="37" t="s">
        <v>419</v>
      </c>
      <c r="K274" s="39" t="s">
        <v>127</v>
      </c>
      <c r="L274" s="28" t="s">
        <v>134</v>
      </c>
      <c r="M274" s="28" t="s">
        <v>48</v>
      </c>
      <c r="N274" s="41" t="s">
        <v>124</v>
      </c>
      <c r="O274" s="39">
        <v>4.1500000000000002E-2</v>
      </c>
      <c r="P274" s="28"/>
      <c r="Q274" s="28"/>
      <c r="R274" s="41"/>
      <c r="S274" s="39"/>
      <c r="T274" s="41"/>
      <c r="U274" s="39"/>
      <c r="V274" s="41"/>
      <c r="W274" s="43" t="s">
        <v>711</v>
      </c>
      <c r="X274" s="33"/>
      <c r="Y274" s="27"/>
      <c r="Z274" s="29"/>
      <c r="AB274" s="73" t="str">
        <f t="shared" si="8"/>
        <v>性能検討用走行抵抗式(ePT連れ回り排除)動力当り前性能A2－</v>
      </c>
      <c r="AC274" s="74" t="e">
        <f>VLOOKUP($AB274,変換表貼り付け用シート!$A$3:$AN$1133,3,FALSE)</f>
        <v>#N/A</v>
      </c>
      <c r="AD274" s="74" t="e">
        <f t="shared" si="9"/>
        <v>#N/A</v>
      </c>
      <c r="AE274" s="79" t="e">
        <f>IF(VLOOKUP($AB274,変換表貼り付け用シート!$A$3:$AN$3000,12,FALSE)="","",(VLOOKUP($AB274,変換表貼り付け用シート!$A$3:$AN$3000,12,FALSE)))</f>
        <v>#N/A</v>
      </c>
      <c r="AF274" s="80" t="e">
        <f>IF(VLOOKUP($AB274,変換表貼り付け用シート!$A$3:$AN$3000,13,FALSE)="","",(VLOOKUP($AB274,変換表貼り付け用シート!$A$3:$AN$3000,13,FALSE)))</f>
        <v>#N/A</v>
      </c>
      <c r="AG274" s="80" t="e">
        <f>IF(VLOOKUP($AB274,変換表貼り付け用シート!$A$3:$AN$3000,14,FALSE)="","",(VLOOKUP($AB274,変換表貼り付け用シート!$A$3:$AN$3000,14,FALSE)))</f>
        <v>#N/A</v>
      </c>
      <c r="AH274" s="85" t="e">
        <f>IF(VLOOKUP($AB274,変換表貼り付け用シート!$A$3:$AN$3000,15,FALSE)="","",(VLOOKUP($AB274,変換表貼り付け用シート!$A$3:$AN$3000,15,FALSE)))</f>
        <v>#N/A</v>
      </c>
      <c r="AI274" s="79" t="e">
        <f>IF(VLOOKUP($AB274,変換表貼り付け用シート!$A$3:$AN$3000,16,FALSE)="","",(VLOOKUP($AB274,変換表貼り付け用シート!$A$3:$AN$3000,16,FALSE)))</f>
        <v>#N/A</v>
      </c>
      <c r="AJ274" s="81" t="e">
        <f>IF(VLOOKUP($AB274,変換表貼り付け用シート!$A$3:$AN$3000,17,FALSE)="","",(VLOOKUP($AB274,変換表貼り付け用シート!$A$3:$AN$3000,17,FALSE)))</f>
        <v>#N/A</v>
      </c>
      <c r="AK274" s="88" t="e">
        <f>IF(VLOOKUP($AB274,変換表貼り付け用シート!$A$3:$AN$3000,18,FALSE)="","",(VLOOKUP($AB274,変換表貼り付け用シート!$A$3:$AN$3000,18,FALSE)))</f>
        <v>#N/A</v>
      </c>
      <c r="AL274" s="81" t="e">
        <f>IF(VLOOKUP($AB274,変換表貼り付け用シート!$A$3:$AN$3000,19,FALSE)="","",(VLOOKUP($AB274,変換表貼り付け用シート!$A$3:$AN$3000,19,FALSE)))</f>
        <v>#N/A</v>
      </c>
      <c r="AM274" s="75" t="e">
        <f>IF(VLOOKUP($AB274,変換表貼り付け用シート!$A$3:$AN$3000,20,FALSE)="","",(VLOOKUP($AB274,変換表貼り付け用シート!$A$3:$AN$3000,20,FALSE)))</f>
        <v>#N/A</v>
      </c>
    </row>
    <row r="275" spans="2:39" ht="21" customHeight="1" x14ac:dyDescent="0.35">
      <c r="B275" s="39"/>
      <c r="C275" s="117" t="s">
        <v>979</v>
      </c>
      <c r="D275" s="96" t="s">
        <v>478</v>
      </c>
      <c r="E275" s="27" t="s">
        <v>44</v>
      </c>
      <c r="F275" s="37" t="s">
        <v>45</v>
      </c>
      <c r="G275" s="33" t="s">
        <v>206</v>
      </c>
      <c r="H275" s="27" t="s">
        <v>419</v>
      </c>
      <c r="I275" s="27" t="s">
        <v>206</v>
      </c>
      <c r="J275" s="37" t="s">
        <v>419</v>
      </c>
      <c r="K275" s="39" t="s">
        <v>127</v>
      </c>
      <c r="L275" s="28" t="s">
        <v>135</v>
      </c>
      <c r="M275" s="28" t="s">
        <v>48</v>
      </c>
      <c r="N275" s="41" t="s">
        <v>49</v>
      </c>
      <c r="O275" s="39">
        <v>1322</v>
      </c>
      <c r="P275" s="28"/>
      <c r="Q275" s="28"/>
      <c r="R275" s="41"/>
      <c r="S275" s="39"/>
      <c r="T275" s="41"/>
      <c r="U275" s="39"/>
      <c r="V275" s="41"/>
      <c r="W275" s="43" t="s">
        <v>711</v>
      </c>
      <c r="X275" s="33"/>
      <c r="Y275" s="27"/>
      <c r="Z275" s="29"/>
      <c r="AB275" s="73" t="str">
        <f t="shared" si="8"/>
        <v>性能検討用走行抵抗式(ePT連れ回り排除)動力当り前性能IP－</v>
      </c>
      <c r="AC275" s="74" t="e">
        <f>VLOOKUP($AB275,変換表貼り付け用シート!$A$3:$AN$1133,3,FALSE)</f>
        <v>#N/A</v>
      </c>
      <c r="AD275" s="74" t="e">
        <f t="shared" si="9"/>
        <v>#N/A</v>
      </c>
      <c r="AE275" s="79" t="e">
        <f>IF(VLOOKUP($AB275,変換表貼り付け用シート!$A$3:$AN$3000,12,FALSE)="","",(VLOOKUP($AB275,変換表貼り付け用シート!$A$3:$AN$3000,12,FALSE)))</f>
        <v>#N/A</v>
      </c>
      <c r="AF275" s="80" t="e">
        <f>IF(VLOOKUP($AB275,変換表貼り付け用シート!$A$3:$AN$3000,13,FALSE)="","",(VLOOKUP($AB275,変換表貼り付け用シート!$A$3:$AN$3000,13,FALSE)))</f>
        <v>#N/A</v>
      </c>
      <c r="AG275" s="80" t="e">
        <f>IF(VLOOKUP($AB275,変換表貼り付け用シート!$A$3:$AN$3000,14,FALSE)="","",(VLOOKUP($AB275,変換表貼り付け用シート!$A$3:$AN$3000,14,FALSE)))</f>
        <v>#N/A</v>
      </c>
      <c r="AH275" s="85" t="e">
        <f>IF(VLOOKUP($AB275,変換表貼り付け用シート!$A$3:$AN$3000,15,FALSE)="","",(VLOOKUP($AB275,変換表貼り付け用シート!$A$3:$AN$3000,15,FALSE)))</f>
        <v>#N/A</v>
      </c>
      <c r="AI275" s="79" t="e">
        <f>IF(VLOOKUP($AB275,変換表貼り付け用シート!$A$3:$AN$3000,16,FALSE)="","",(VLOOKUP($AB275,変換表貼り付け用シート!$A$3:$AN$3000,16,FALSE)))</f>
        <v>#N/A</v>
      </c>
      <c r="AJ275" s="81" t="e">
        <f>IF(VLOOKUP($AB275,変換表貼り付け用シート!$A$3:$AN$3000,17,FALSE)="","",(VLOOKUP($AB275,変換表貼り付け用シート!$A$3:$AN$3000,17,FALSE)))</f>
        <v>#N/A</v>
      </c>
      <c r="AK275" s="88" t="e">
        <f>IF(VLOOKUP($AB275,変換表貼り付け用シート!$A$3:$AN$3000,18,FALSE)="","",(VLOOKUP($AB275,変換表貼り付け用シート!$A$3:$AN$3000,18,FALSE)))</f>
        <v>#N/A</v>
      </c>
      <c r="AL275" s="81" t="e">
        <f>IF(VLOOKUP($AB275,変換表貼り付け用シート!$A$3:$AN$3000,19,FALSE)="","",(VLOOKUP($AB275,変換表貼り付け用シート!$A$3:$AN$3000,19,FALSE)))</f>
        <v>#N/A</v>
      </c>
      <c r="AM275" s="75" t="e">
        <f>IF(VLOOKUP($AB275,変換表貼り付け用シート!$A$3:$AN$3000,20,FALSE)="","",(VLOOKUP($AB275,変換表貼り付け用シート!$A$3:$AN$3000,20,FALSE)))</f>
        <v>#N/A</v>
      </c>
    </row>
    <row r="276" spans="2:39" ht="21" customHeight="1" x14ac:dyDescent="0.35">
      <c r="B276" s="39"/>
      <c r="C276" s="117" t="s">
        <v>980</v>
      </c>
      <c r="D276" s="96" t="s">
        <v>479</v>
      </c>
      <c r="E276" s="27" t="s">
        <v>44</v>
      </c>
      <c r="F276" s="37" t="s">
        <v>45</v>
      </c>
      <c r="G276" s="33" t="s">
        <v>206</v>
      </c>
      <c r="H276" s="27" t="s">
        <v>419</v>
      </c>
      <c r="I276" s="27" t="s">
        <v>206</v>
      </c>
      <c r="J276" s="37" t="s">
        <v>419</v>
      </c>
      <c r="K276" s="39" t="s">
        <v>127</v>
      </c>
      <c r="L276" s="28" t="s">
        <v>136</v>
      </c>
      <c r="M276" s="28" t="s">
        <v>48</v>
      </c>
      <c r="N276" s="41" t="s">
        <v>120</v>
      </c>
      <c r="O276" s="39">
        <v>92.17</v>
      </c>
      <c r="P276" s="28"/>
      <c r="Q276" s="28"/>
      <c r="R276" s="41"/>
      <c r="S276" s="39"/>
      <c r="T276" s="41"/>
      <c r="U276" s="39"/>
      <c r="V276" s="41"/>
      <c r="W276" s="43" t="s">
        <v>711</v>
      </c>
      <c r="X276" s="33"/>
      <c r="Y276" s="27"/>
      <c r="Z276" s="29"/>
      <c r="AB276" s="73" t="str">
        <f t="shared" si="8"/>
        <v>性能検討用走行抵抗式(ePT連れ回り排除)動力AccerelationA0－</v>
      </c>
      <c r="AC276" s="74" t="e">
        <f>VLOOKUP($AB276,変換表貼り付け用シート!$A$3:$AN$1133,3,FALSE)</f>
        <v>#N/A</v>
      </c>
      <c r="AD276" s="74" t="e">
        <f t="shared" si="9"/>
        <v>#N/A</v>
      </c>
      <c r="AE276" s="79" t="e">
        <f>IF(VLOOKUP($AB276,変換表貼り付け用シート!$A$3:$AN$3000,12,FALSE)="","",(VLOOKUP($AB276,変換表貼り付け用シート!$A$3:$AN$3000,12,FALSE)))</f>
        <v>#N/A</v>
      </c>
      <c r="AF276" s="80" t="e">
        <f>IF(VLOOKUP($AB276,変換表貼り付け用シート!$A$3:$AN$3000,13,FALSE)="","",(VLOOKUP($AB276,変換表貼り付け用シート!$A$3:$AN$3000,13,FALSE)))</f>
        <v>#N/A</v>
      </c>
      <c r="AG276" s="80" t="e">
        <f>IF(VLOOKUP($AB276,変換表貼り付け用シート!$A$3:$AN$3000,14,FALSE)="","",(VLOOKUP($AB276,変換表貼り付け用シート!$A$3:$AN$3000,14,FALSE)))</f>
        <v>#N/A</v>
      </c>
      <c r="AH276" s="85" t="e">
        <f>IF(VLOOKUP($AB276,変換表貼り付け用シート!$A$3:$AN$3000,15,FALSE)="","",(VLOOKUP($AB276,変換表貼り付け用シート!$A$3:$AN$3000,15,FALSE)))</f>
        <v>#N/A</v>
      </c>
      <c r="AI276" s="79" t="e">
        <f>IF(VLOOKUP($AB276,変換表貼り付け用シート!$A$3:$AN$3000,16,FALSE)="","",(VLOOKUP($AB276,変換表貼り付け用シート!$A$3:$AN$3000,16,FALSE)))</f>
        <v>#N/A</v>
      </c>
      <c r="AJ276" s="81" t="e">
        <f>IF(VLOOKUP($AB276,変換表貼り付け用シート!$A$3:$AN$3000,17,FALSE)="","",(VLOOKUP($AB276,変換表貼り付け用シート!$A$3:$AN$3000,17,FALSE)))</f>
        <v>#N/A</v>
      </c>
      <c r="AK276" s="88" t="e">
        <f>IF(VLOOKUP($AB276,変換表貼り付け用シート!$A$3:$AN$3000,18,FALSE)="","",(VLOOKUP($AB276,変換表貼り付け用シート!$A$3:$AN$3000,18,FALSE)))</f>
        <v>#N/A</v>
      </c>
      <c r="AL276" s="81" t="e">
        <f>IF(VLOOKUP($AB276,変換表貼り付け用シート!$A$3:$AN$3000,19,FALSE)="","",(VLOOKUP($AB276,変換表貼り付け用シート!$A$3:$AN$3000,19,FALSE)))</f>
        <v>#N/A</v>
      </c>
      <c r="AM276" s="75" t="e">
        <f>IF(VLOOKUP($AB276,変換表貼り付け用シート!$A$3:$AN$3000,20,FALSE)="","",(VLOOKUP($AB276,変換表貼り付け用シート!$A$3:$AN$3000,20,FALSE)))</f>
        <v>#N/A</v>
      </c>
    </row>
    <row r="277" spans="2:39" ht="21" customHeight="1" x14ac:dyDescent="0.35">
      <c r="B277" s="39"/>
      <c r="C277" s="117" t="s">
        <v>981</v>
      </c>
      <c r="D277" s="96" t="s">
        <v>480</v>
      </c>
      <c r="E277" s="27" t="s">
        <v>44</v>
      </c>
      <c r="F277" s="37" t="s">
        <v>45</v>
      </c>
      <c r="G277" s="33" t="s">
        <v>206</v>
      </c>
      <c r="H277" s="27" t="s">
        <v>419</v>
      </c>
      <c r="I277" s="27" t="s">
        <v>206</v>
      </c>
      <c r="J277" s="37" t="s">
        <v>419</v>
      </c>
      <c r="K277" s="39" t="s">
        <v>127</v>
      </c>
      <c r="L277" s="28" t="s">
        <v>137</v>
      </c>
      <c r="M277" s="28" t="s">
        <v>48</v>
      </c>
      <c r="N277" s="41" t="s">
        <v>122</v>
      </c>
      <c r="O277" s="39" t="s">
        <v>48</v>
      </c>
      <c r="P277" s="28"/>
      <c r="Q277" s="28"/>
      <c r="R277" s="41"/>
      <c r="S277" s="39"/>
      <c r="T277" s="41"/>
      <c r="U277" s="39"/>
      <c r="V277" s="41"/>
      <c r="W277" s="43" t="s">
        <v>711</v>
      </c>
      <c r="X277" s="33"/>
      <c r="Y277" s="27"/>
      <c r="Z277" s="29"/>
      <c r="AB277" s="73" t="str">
        <f t="shared" si="8"/>
        <v>性能検討用走行抵抗式(ePT連れ回り排除)動力AccerelationA1－</v>
      </c>
      <c r="AC277" s="74" t="e">
        <f>VLOOKUP($AB277,変換表貼り付け用シート!$A$3:$AN$1133,3,FALSE)</f>
        <v>#N/A</v>
      </c>
      <c r="AD277" s="74" t="e">
        <f t="shared" si="9"/>
        <v>#N/A</v>
      </c>
      <c r="AE277" s="79" t="e">
        <f>IF(VLOOKUP($AB277,変換表貼り付け用シート!$A$3:$AN$3000,12,FALSE)="","",(VLOOKUP($AB277,変換表貼り付け用シート!$A$3:$AN$3000,12,FALSE)))</f>
        <v>#N/A</v>
      </c>
      <c r="AF277" s="80" t="e">
        <f>IF(VLOOKUP($AB277,変換表貼り付け用シート!$A$3:$AN$3000,13,FALSE)="","",(VLOOKUP($AB277,変換表貼り付け用シート!$A$3:$AN$3000,13,FALSE)))</f>
        <v>#N/A</v>
      </c>
      <c r="AG277" s="80" t="e">
        <f>IF(VLOOKUP($AB277,変換表貼り付け用シート!$A$3:$AN$3000,14,FALSE)="","",(VLOOKUP($AB277,変換表貼り付け用シート!$A$3:$AN$3000,14,FALSE)))</f>
        <v>#N/A</v>
      </c>
      <c r="AH277" s="85" t="e">
        <f>IF(VLOOKUP($AB277,変換表貼り付け用シート!$A$3:$AN$3000,15,FALSE)="","",(VLOOKUP($AB277,変換表貼り付け用シート!$A$3:$AN$3000,15,FALSE)))</f>
        <v>#N/A</v>
      </c>
      <c r="AI277" s="79" t="e">
        <f>IF(VLOOKUP($AB277,変換表貼り付け用シート!$A$3:$AN$3000,16,FALSE)="","",(VLOOKUP($AB277,変換表貼り付け用シート!$A$3:$AN$3000,16,FALSE)))</f>
        <v>#N/A</v>
      </c>
      <c r="AJ277" s="81" t="e">
        <f>IF(VLOOKUP($AB277,変換表貼り付け用シート!$A$3:$AN$3000,17,FALSE)="","",(VLOOKUP($AB277,変換表貼り付け用シート!$A$3:$AN$3000,17,FALSE)))</f>
        <v>#N/A</v>
      </c>
      <c r="AK277" s="88" t="e">
        <f>IF(VLOOKUP($AB277,変換表貼り付け用シート!$A$3:$AN$3000,18,FALSE)="","",(VLOOKUP($AB277,変換表貼り付け用シート!$A$3:$AN$3000,18,FALSE)))</f>
        <v>#N/A</v>
      </c>
      <c r="AL277" s="81" t="e">
        <f>IF(VLOOKUP($AB277,変換表貼り付け用シート!$A$3:$AN$3000,19,FALSE)="","",(VLOOKUP($AB277,変換表貼り付け用シート!$A$3:$AN$3000,19,FALSE)))</f>
        <v>#N/A</v>
      </c>
      <c r="AM277" s="75" t="e">
        <f>IF(VLOOKUP($AB277,変換表貼り付け用シート!$A$3:$AN$3000,20,FALSE)="","",(VLOOKUP($AB277,変換表貼り付け用シート!$A$3:$AN$3000,20,FALSE)))</f>
        <v>#N/A</v>
      </c>
    </row>
    <row r="278" spans="2:39" ht="21" customHeight="1" x14ac:dyDescent="0.35">
      <c r="B278" s="39"/>
      <c r="C278" s="117" t="s">
        <v>982</v>
      </c>
      <c r="D278" s="96" t="s">
        <v>481</v>
      </c>
      <c r="E278" s="27" t="s">
        <v>44</v>
      </c>
      <c r="F278" s="37" t="s">
        <v>45</v>
      </c>
      <c r="G278" s="33" t="s">
        <v>206</v>
      </c>
      <c r="H278" s="27" t="s">
        <v>419</v>
      </c>
      <c r="I278" s="27" t="s">
        <v>206</v>
      </c>
      <c r="J278" s="37" t="s">
        <v>419</v>
      </c>
      <c r="K278" s="39" t="s">
        <v>127</v>
      </c>
      <c r="L278" s="28" t="s">
        <v>138</v>
      </c>
      <c r="M278" s="28" t="s">
        <v>48</v>
      </c>
      <c r="N278" s="41" t="s">
        <v>124</v>
      </c>
      <c r="O278" s="39">
        <v>4.3650000000000001E-2</v>
      </c>
      <c r="P278" s="28"/>
      <c r="Q278" s="28"/>
      <c r="R278" s="41"/>
      <c r="S278" s="39"/>
      <c r="T278" s="41"/>
      <c r="U278" s="39"/>
      <c r="V278" s="41"/>
      <c r="W278" s="43" t="s">
        <v>711</v>
      </c>
      <c r="X278" s="33"/>
      <c r="Y278" s="27"/>
      <c r="Z278" s="29"/>
      <c r="AB278" s="73" t="str">
        <f t="shared" si="8"/>
        <v>性能検討用走行抵抗式(ePT連れ回り排除)動力AccerelationA2－</v>
      </c>
      <c r="AC278" s="74" t="e">
        <f>VLOOKUP($AB278,変換表貼り付け用シート!$A$3:$AN$1133,3,FALSE)</f>
        <v>#N/A</v>
      </c>
      <c r="AD278" s="74" t="e">
        <f t="shared" si="9"/>
        <v>#N/A</v>
      </c>
      <c r="AE278" s="79" t="e">
        <f>IF(VLOOKUP($AB278,変換表貼り付け用シート!$A$3:$AN$3000,12,FALSE)="","",(VLOOKUP($AB278,変換表貼り付け用シート!$A$3:$AN$3000,12,FALSE)))</f>
        <v>#N/A</v>
      </c>
      <c r="AF278" s="80" t="e">
        <f>IF(VLOOKUP($AB278,変換表貼り付け用シート!$A$3:$AN$3000,13,FALSE)="","",(VLOOKUP($AB278,変換表貼り付け用シート!$A$3:$AN$3000,13,FALSE)))</f>
        <v>#N/A</v>
      </c>
      <c r="AG278" s="80" t="e">
        <f>IF(VLOOKUP($AB278,変換表貼り付け用シート!$A$3:$AN$3000,14,FALSE)="","",(VLOOKUP($AB278,変換表貼り付け用シート!$A$3:$AN$3000,14,FALSE)))</f>
        <v>#N/A</v>
      </c>
      <c r="AH278" s="85" t="e">
        <f>IF(VLOOKUP($AB278,変換表貼り付け用シート!$A$3:$AN$3000,15,FALSE)="","",(VLOOKUP($AB278,変換表貼り付け用シート!$A$3:$AN$3000,15,FALSE)))</f>
        <v>#N/A</v>
      </c>
      <c r="AI278" s="79" t="e">
        <f>IF(VLOOKUP($AB278,変換表貼り付け用シート!$A$3:$AN$3000,16,FALSE)="","",(VLOOKUP($AB278,変換表貼り付け用シート!$A$3:$AN$3000,16,FALSE)))</f>
        <v>#N/A</v>
      </c>
      <c r="AJ278" s="81" t="e">
        <f>IF(VLOOKUP($AB278,変換表貼り付け用シート!$A$3:$AN$3000,17,FALSE)="","",(VLOOKUP($AB278,変換表貼り付け用シート!$A$3:$AN$3000,17,FALSE)))</f>
        <v>#N/A</v>
      </c>
      <c r="AK278" s="88" t="e">
        <f>IF(VLOOKUP($AB278,変換表貼り付け用シート!$A$3:$AN$3000,18,FALSE)="","",(VLOOKUP($AB278,変換表貼り付け用シート!$A$3:$AN$3000,18,FALSE)))</f>
        <v>#N/A</v>
      </c>
      <c r="AL278" s="81" t="e">
        <f>IF(VLOOKUP($AB278,変換表貼り付け用シート!$A$3:$AN$3000,19,FALSE)="","",(VLOOKUP($AB278,変換表貼り付け用シート!$A$3:$AN$3000,19,FALSE)))</f>
        <v>#N/A</v>
      </c>
      <c r="AM278" s="75" t="e">
        <f>IF(VLOOKUP($AB278,変換表貼り付け用シート!$A$3:$AN$3000,20,FALSE)="","",(VLOOKUP($AB278,変換表貼り付け用シート!$A$3:$AN$3000,20,FALSE)))</f>
        <v>#N/A</v>
      </c>
    </row>
    <row r="279" spans="2:39" ht="21" customHeight="1" x14ac:dyDescent="0.35">
      <c r="B279" s="39"/>
      <c r="C279" s="117" t="s">
        <v>983</v>
      </c>
      <c r="D279" s="96" t="s">
        <v>482</v>
      </c>
      <c r="E279" s="27" t="s">
        <v>44</v>
      </c>
      <c r="F279" s="37" t="s">
        <v>45</v>
      </c>
      <c r="G279" s="33" t="s">
        <v>206</v>
      </c>
      <c r="H279" s="27" t="s">
        <v>419</v>
      </c>
      <c r="I279" s="27" t="s">
        <v>206</v>
      </c>
      <c r="J279" s="37" t="s">
        <v>419</v>
      </c>
      <c r="K279" s="39" t="s">
        <v>127</v>
      </c>
      <c r="L279" s="28" t="s">
        <v>139</v>
      </c>
      <c r="M279" s="28" t="s">
        <v>48</v>
      </c>
      <c r="N279" s="41" t="s">
        <v>49</v>
      </c>
      <c r="O279" s="39">
        <v>1261</v>
      </c>
      <c r="P279" s="28"/>
      <c r="Q279" s="28"/>
      <c r="R279" s="41"/>
      <c r="S279" s="39"/>
      <c r="T279" s="41"/>
      <c r="U279" s="39"/>
      <c r="V279" s="41"/>
      <c r="W279" s="43" t="s">
        <v>711</v>
      </c>
      <c r="X279" s="33"/>
      <c r="Y279" s="27"/>
      <c r="Z279" s="29"/>
      <c r="AB279" s="73" t="str">
        <f t="shared" si="8"/>
        <v>性能検討用走行抵抗式(ePT連れ回り排除)動力AccerelationIP－</v>
      </c>
      <c r="AC279" s="74" t="e">
        <f>VLOOKUP($AB279,変換表貼り付け用シート!$A$3:$AN$1133,3,FALSE)</f>
        <v>#N/A</v>
      </c>
      <c r="AD279" s="74" t="e">
        <f t="shared" si="9"/>
        <v>#N/A</v>
      </c>
      <c r="AE279" s="79" t="e">
        <f>IF(VLOOKUP($AB279,変換表貼り付け用シート!$A$3:$AN$3000,12,FALSE)="","",(VLOOKUP($AB279,変換表貼り付け用シート!$A$3:$AN$3000,12,FALSE)))</f>
        <v>#N/A</v>
      </c>
      <c r="AF279" s="80" t="e">
        <f>IF(VLOOKUP($AB279,変換表貼り付け用シート!$A$3:$AN$3000,13,FALSE)="","",(VLOOKUP($AB279,変換表貼り付け用シート!$A$3:$AN$3000,13,FALSE)))</f>
        <v>#N/A</v>
      </c>
      <c r="AG279" s="80" t="e">
        <f>IF(VLOOKUP($AB279,変換表貼り付け用シート!$A$3:$AN$3000,14,FALSE)="","",(VLOOKUP($AB279,変換表貼り付け用シート!$A$3:$AN$3000,14,FALSE)))</f>
        <v>#N/A</v>
      </c>
      <c r="AH279" s="85" t="e">
        <f>IF(VLOOKUP($AB279,変換表貼り付け用シート!$A$3:$AN$3000,15,FALSE)="","",(VLOOKUP($AB279,変換表貼り付け用シート!$A$3:$AN$3000,15,FALSE)))</f>
        <v>#N/A</v>
      </c>
      <c r="AI279" s="79" t="e">
        <f>IF(VLOOKUP($AB279,変換表貼り付け用シート!$A$3:$AN$3000,16,FALSE)="","",(VLOOKUP($AB279,変換表貼り付け用シート!$A$3:$AN$3000,16,FALSE)))</f>
        <v>#N/A</v>
      </c>
      <c r="AJ279" s="81" t="e">
        <f>IF(VLOOKUP($AB279,変換表貼り付け用シート!$A$3:$AN$3000,17,FALSE)="","",(VLOOKUP($AB279,変換表貼り付け用シート!$A$3:$AN$3000,17,FALSE)))</f>
        <v>#N/A</v>
      </c>
      <c r="AK279" s="88" t="e">
        <f>IF(VLOOKUP($AB279,変換表貼り付け用シート!$A$3:$AN$3000,18,FALSE)="","",(VLOOKUP($AB279,変換表貼り付け用シート!$A$3:$AN$3000,18,FALSE)))</f>
        <v>#N/A</v>
      </c>
      <c r="AL279" s="81" t="e">
        <f>IF(VLOOKUP($AB279,変換表貼り付け用シート!$A$3:$AN$3000,19,FALSE)="","",(VLOOKUP($AB279,変換表貼り付け用シート!$A$3:$AN$3000,19,FALSE)))</f>
        <v>#N/A</v>
      </c>
      <c r="AM279" s="75" t="e">
        <f>IF(VLOOKUP($AB279,変換表貼り付け用シート!$A$3:$AN$3000,20,FALSE)="","",(VLOOKUP($AB279,変換表貼り付け用シート!$A$3:$AN$3000,20,FALSE)))</f>
        <v>#N/A</v>
      </c>
    </row>
    <row r="280" spans="2:39" ht="21" customHeight="1" x14ac:dyDescent="0.35">
      <c r="B280" s="39"/>
      <c r="C280" s="117" t="s">
        <v>984</v>
      </c>
      <c r="D280" s="96" t="s">
        <v>483</v>
      </c>
      <c r="E280" s="27" t="s">
        <v>44</v>
      </c>
      <c r="F280" s="37" t="s">
        <v>45</v>
      </c>
      <c r="G280" s="33" t="s">
        <v>206</v>
      </c>
      <c r="H280" s="27" t="s">
        <v>419</v>
      </c>
      <c r="I280" s="27" t="s">
        <v>206</v>
      </c>
      <c r="J280" s="37" t="s">
        <v>419</v>
      </c>
      <c r="K280" s="39" t="s">
        <v>127</v>
      </c>
      <c r="L280" s="28" t="s">
        <v>140</v>
      </c>
      <c r="M280" s="28" t="s">
        <v>48</v>
      </c>
      <c r="N280" s="41" t="s">
        <v>120</v>
      </c>
      <c r="O280" s="39">
        <v>92.17</v>
      </c>
      <c r="P280" s="28"/>
      <c r="Q280" s="28"/>
      <c r="R280" s="41"/>
      <c r="S280" s="39"/>
      <c r="T280" s="41"/>
      <c r="U280" s="39"/>
      <c r="V280" s="41"/>
      <c r="W280" s="43" t="s">
        <v>711</v>
      </c>
      <c r="X280" s="33"/>
      <c r="Y280" s="27"/>
      <c r="Z280" s="29"/>
      <c r="AB280" s="73" t="str">
        <f t="shared" si="8"/>
        <v>性能検討用走行抵抗式(ePT連れ回り排除)動力VmaxA0－</v>
      </c>
      <c r="AC280" s="74" t="e">
        <f>VLOOKUP($AB280,変換表貼り付け用シート!$A$3:$AN$1133,3,FALSE)</f>
        <v>#N/A</v>
      </c>
      <c r="AD280" s="74" t="e">
        <f t="shared" si="9"/>
        <v>#N/A</v>
      </c>
      <c r="AE280" s="79" t="e">
        <f>IF(VLOOKUP($AB280,変換表貼り付け用シート!$A$3:$AN$3000,12,FALSE)="","",(VLOOKUP($AB280,変換表貼り付け用シート!$A$3:$AN$3000,12,FALSE)))</f>
        <v>#N/A</v>
      </c>
      <c r="AF280" s="80" t="e">
        <f>IF(VLOOKUP($AB280,変換表貼り付け用シート!$A$3:$AN$3000,13,FALSE)="","",(VLOOKUP($AB280,変換表貼り付け用シート!$A$3:$AN$3000,13,FALSE)))</f>
        <v>#N/A</v>
      </c>
      <c r="AG280" s="80" t="e">
        <f>IF(VLOOKUP($AB280,変換表貼り付け用シート!$A$3:$AN$3000,14,FALSE)="","",(VLOOKUP($AB280,変換表貼り付け用シート!$A$3:$AN$3000,14,FALSE)))</f>
        <v>#N/A</v>
      </c>
      <c r="AH280" s="85" t="e">
        <f>IF(VLOOKUP($AB280,変換表貼り付け用シート!$A$3:$AN$3000,15,FALSE)="","",(VLOOKUP($AB280,変換表貼り付け用シート!$A$3:$AN$3000,15,FALSE)))</f>
        <v>#N/A</v>
      </c>
      <c r="AI280" s="79" t="e">
        <f>IF(VLOOKUP($AB280,変換表貼り付け用シート!$A$3:$AN$3000,16,FALSE)="","",(VLOOKUP($AB280,変換表貼り付け用シート!$A$3:$AN$3000,16,FALSE)))</f>
        <v>#N/A</v>
      </c>
      <c r="AJ280" s="81" t="e">
        <f>IF(VLOOKUP($AB280,変換表貼り付け用シート!$A$3:$AN$3000,17,FALSE)="","",(VLOOKUP($AB280,変換表貼り付け用シート!$A$3:$AN$3000,17,FALSE)))</f>
        <v>#N/A</v>
      </c>
      <c r="AK280" s="88" t="e">
        <f>IF(VLOOKUP($AB280,変換表貼り付け用シート!$A$3:$AN$3000,18,FALSE)="","",(VLOOKUP($AB280,変換表貼り付け用シート!$A$3:$AN$3000,18,FALSE)))</f>
        <v>#N/A</v>
      </c>
      <c r="AL280" s="81" t="e">
        <f>IF(VLOOKUP($AB280,変換表貼り付け用シート!$A$3:$AN$3000,19,FALSE)="","",(VLOOKUP($AB280,変換表貼り付け用シート!$A$3:$AN$3000,19,FALSE)))</f>
        <v>#N/A</v>
      </c>
      <c r="AM280" s="75" t="e">
        <f>IF(VLOOKUP($AB280,変換表貼り付け用シート!$A$3:$AN$3000,20,FALSE)="","",(VLOOKUP($AB280,変換表貼り付け用シート!$A$3:$AN$3000,20,FALSE)))</f>
        <v>#N/A</v>
      </c>
    </row>
    <row r="281" spans="2:39" ht="21" customHeight="1" x14ac:dyDescent="0.35">
      <c r="B281" s="39"/>
      <c r="C281" s="117" t="s">
        <v>985</v>
      </c>
      <c r="D281" s="96" t="s">
        <v>484</v>
      </c>
      <c r="E281" s="27" t="s">
        <v>44</v>
      </c>
      <c r="F281" s="37" t="s">
        <v>45</v>
      </c>
      <c r="G281" s="33" t="s">
        <v>206</v>
      </c>
      <c r="H281" s="27" t="s">
        <v>419</v>
      </c>
      <c r="I281" s="27" t="s">
        <v>206</v>
      </c>
      <c r="J281" s="37" t="s">
        <v>419</v>
      </c>
      <c r="K281" s="39" t="s">
        <v>127</v>
      </c>
      <c r="L281" s="28" t="s">
        <v>141</v>
      </c>
      <c r="M281" s="28" t="s">
        <v>48</v>
      </c>
      <c r="N281" s="41" t="s">
        <v>122</v>
      </c>
      <c r="O281" s="39" t="s">
        <v>48</v>
      </c>
      <c r="P281" s="28"/>
      <c r="Q281" s="28"/>
      <c r="R281" s="41"/>
      <c r="S281" s="39"/>
      <c r="T281" s="41"/>
      <c r="U281" s="39"/>
      <c r="V281" s="41"/>
      <c r="W281" s="43" t="s">
        <v>711</v>
      </c>
      <c r="X281" s="33"/>
      <c r="Y281" s="27"/>
      <c r="Z281" s="29"/>
      <c r="AB281" s="73" t="str">
        <f t="shared" si="8"/>
        <v>性能検討用走行抵抗式(ePT連れ回り排除)動力VmaxA1－</v>
      </c>
      <c r="AC281" s="74" t="e">
        <f>VLOOKUP($AB281,変換表貼り付け用シート!$A$3:$AN$1133,3,FALSE)</f>
        <v>#N/A</v>
      </c>
      <c r="AD281" s="74" t="e">
        <f t="shared" si="9"/>
        <v>#N/A</v>
      </c>
      <c r="AE281" s="79" t="e">
        <f>IF(VLOOKUP($AB281,変換表貼り付け用シート!$A$3:$AN$3000,12,FALSE)="","",(VLOOKUP($AB281,変換表貼り付け用シート!$A$3:$AN$3000,12,FALSE)))</f>
        <v>#N/A</v>
      </c>
      <c r="AF281" s="80" t="e">
        <f>IF(VLOOKUP($AB281,変換表貼り付け用シート!$A$3:$AN$3000,13,FALSE)="","",(VLOOKUP($AB281,変換表貼り付け用シート!$A$3:$AN$3000,13,FALSE)))</f>
        <v>#N/A</v>
      </c>
      <c r="AG281" s="80" t="e">
        <f>IF(VLOOKUP($AB281,変換表貼り付け用シート!$A$3:$AN$3000,14,FALSE)="","",(VLOOKUP($AB281,変換表貼り付け用シート!$A$3:$AN$3000,14,FALSE)))</f>
        <v>#N/A</v>
      </c>
      <c r="AH281" s="85" t="e">
        <f>IF(VLOOKUP($AB281,変換表貼り付け用シート!$A$3:$AN$3000,15,FALSE)="","",(VLOOKUP($AB281,変換表貼り付け用シート!$A$3:$AN$3000,15,FALSE)))</f>
        <v>#N/A</v>
      </c>
      <c r="AI281" s="79" t="e">
        <f>IF(VLOOKUP($AB281,変換表貼り付け用シート!$A$3:$AN$3000,16,FALSE)="","",(VLOOKUP($AB281,変換表貼り付け用シート!$A$3:$AN$3000,16,FALSE)))</f>
        <v>#N/A</v>
      </c>
      <c r="AJ281" s="81" t="e">
        <f>IF(VLOOKUP($AB281,変換表貼り付け用シート!$A$3:$AN$3000,17,FALSE)="","",(VLOOKUP($AB281,変換表貼り付け用シート!$A$3:$AN$3000,17,FALSE)))</f>
        <v>#N/A</v>
      </c>
      <c r="AK281" s="88" t="e">
        <f>IF(VLOOKUP($AB281,変換表貼り付け用シート!$A$3:$AN$3000,18,FALSE)="","",(VLOOKUP($AB281,変換表貼り付け用シート!$A$3:$AN$3000,18,FALSE)))</f>
        <v>#N/A</v>
      </c>
      <c r="AL281" s="81" t="e">
        <f>IF(VLOOKUP($AB281,変換表貼り付け用シート!$A$3:$AN$3000,19,FALSE)="","",(VLOOKUP($AB281,変換表貼り付け用シート!$A$3:$AN$3000,19,FALSE)))</f>
        <v>#N/A</v>
      </c>
      <c r="AM281" s="75" t="e">
        <f>IF(VLOOKUP($AB281,変換表貼り付け用シート!$A$3:$AN$3000,20,FALSE)="","",(VLOOKUP($AB281,変換表貼り付け用シート!$A$3:$AN$3000,20,FALSE)))</f>
        <v>#N/A</v>
      </c>
    </row>
    <row r="282" spans="2:39" ht="21" customHeight="1" x14ac:dyDescent="0.35">
      <c r="B282" s="39"/>
      <c r="C282" s="117" t="s">
        <v>986</v>
      </c>
      <c r="D282" s="96" t="s">
        <v>485</v>
      </c>
      <c r="E282" s="27" t="s">
        <v>44</v>
      </c>
      <c r="F282" s="37" t="s">
        <v>45</v>
      </c>
      <c r="G282" s="33" t="s">
        <v>206</v>
      </c>
      <c r="H282" s="27" t="s">
        <v>419</v>
      </c>
      <c r="I282" s="27" t="s">
        <v>206</v>
      </c>
      <c r="J282" s="37" t="s">
        <v>419</v>
      </c>
      <c r="K282" s="39" t="s">
        <v>127</v>
      </c>
      <c r="L282" s="28" t="s">
        <v>142</v>
      </c>
      <c r="M282" s="28" t="s">
        <v>48</v>
      </c>
      <c r="N282" s="41" t="s">
        <v>124</v>
      </c>
      <c r="O282" s="39">
        <v>4.3650000000000001E-2</v>
      </c>
      <c r="P282" s="28"/>
      <c r="Q282" s="28"/>
      <c r="R282" s="41"/>
      <c r="S282" s="39"/>
      <c r="T282" s="41"/>
      <c r="U282" s="39"/>
      <c r="V282" s="41"/>
      <c r="W282" s="43" t="s">
        <v>711</v>
      </c>
      <c r="X282" s="33"/>
      <c r="Y282" s="27"/>
      <c r="Z282" s="29"/>
      <c r="AB282" s="73" t="str">
        <f t="shared" si="8"/>
        <v>性能検討用走行抵抗式(ePT連れ回り排除)動力VmaxA2－</v>
      </c>
      <c r="AC282" s="74" t="e">
        <f>VLOOKUP($AB282,変換表貼り付け用シート!$A$3:$AN$1133,3,FALSE)</f>
        <v>#N/A</v>
      </c>
      <c r="AD282" s="74" t="e">
        <f t="shared" si="9"/>
        <v>#N/A</v>
      </c>
      <c r="AE282" s="79" t="e">
        <f>IF(VLOOKUP($AB282,変換表貼り付け用シート!$A$3:$AN$3000,12,FALSE)="","",(VLOOKUP($AB282,変換表貼り付け用シート!$A$3:$AN$3000,12,FALSE)))</f>
        <v>#N/A</v>
      </c>
      <c r="AF282" s="80" t="e">
        <f>IF(VLOOKUP($AB282,変換表貼り付け用シート!$A$3:$AN$3000,13,FALSE)="","",(VLOOKUP($AB282,変換表貼り付け用シート!$A$3:$AN$3000,13,FALSE)))</f>
        <v>#N/A</v>
      </c>
      <c r="AG282" s="80" t="e">
        <f>IF(VLOOKUP($AB282,変換表貼り付け用シート!$A$3:$AN$3000,14,FALSE)="","",(VLOOKUP($AB282,変換表貼り付け用シート!$A$3:$AN$3000,14,FALSE)))</f>
        <v>#N/A</v>
      </c>
      <c r="AH282" s="85" t="e">
        <f>IF(VLOOKUP($AB282,変換表貼り付け用シート!$A$3:$AN$3000,15,FALSE)="","",(VLOOKUP($AB282,変換表貼り付け用シート!$A$3:$AN$3000,15,FALSE)))</f>
        <v>#N/A</v>
      </c>
      <c r="AI282" s="79" t="e">
        <f>IF(VLOOKUP($AB282,変換表貼り付け用シート!$A$3:$AN$3000,16,FALSE)="","",(VLOOKUP($AB282,変換表貼り付け用シート!$A$3:$AN$3000,16,FALSE)))</f>
        <v>#N/A</v>
      </c>
      <c r="AJ282" s="81" t="e">
        <f>IF(VLOOKUP($AB282,変換表貼り付け用シート!$A$3:$AN$3000,17,FALSE)="","",(VLOOKUP($AB282,変換表貼り付け用シート!$A$3:$AN$3000,17,FALSE)))</f>
        <v>#N/A</v>
      </c>
      <c r="AK282" s="88" t="e">
        <f>IF(VLOOKUP($AB282,変換表貼り付け用シート!$A$3:$AN$3000,18,FALSE)="","",(VLOOKUP($AB282,変換表貼り付け用シート!$A$3:$AN$3000,18,FALSE)))</f>
        <v>#N/A</v>
      </c>
      <c r="AL282" s="81" t="e">
        <f>IF(VLOOKUP($AB282,変換表貼り付け用シート!$A$3:$AN$3000,19,FALSE)="","",(VLOOKUP($AB282,変換表貼り付け用シート!$A$3:$AN$3000,19,FALSE)))</f>
        <v>#N/A</v>
      </c>
      <c r="AM282" s="75" t="e">
        <f>IF(VLOOKUP($AB282,変換表貼り付け用シート!$A$3:$AN$3000,20,FALSE)="","",(VLOOKUP($AB282,変換表貼り付け用シート!$A$3:$AN$3000,20,FALSE)))</f>
        <v>#N/A</v>
      </c>
    </row>
    <row r="283" spans="2:39" ht="21" customHeight="1" x14ac:dyDescent="0.35">
      <c r="B283" s="39"/>
      <c r="C283" s="117" t="s">
        <v>987</v>
      </c>
      <c r="D283" s="96" t="s">
        <v>486</v>
      </c>
      <c r="E283" s="27" t="s">
        <v>44</v>
      </c>
      <c r="F283" s="37" t="s">
        <v>45</v>
      </c>
      <c r="G283" s="33" t="s">
        <v>206</v>
      </c>
      <c r="H283" s="27" t="s">
        <v>419</v>
      </c>
      <c r="I283" s="27" t="s">
        <v>206</v>
      </c>
      <c r="J283" s="37" t="s">
        <v>419</v>
      </c>
      <c r="K283" s="39" t="s">
        <v>127</v>
      </c>
      <c r="L283" s="28" t="s">
        <v>143</v>
      </c>
      <c r="M283" s="28" t="s">
        <v>48</v>
      </c>
      <c r="N283" s="41" t="s">
        <v>49</v>
      </c>
      <c r="O283" s="39">
        <v>1261</v>
      </c>
      <c r="P283" s="28"/>
      <c r="Q283" s="28"/>
      <c r="R283" s="41"/>
      <c r="S283" s="39"/>
      <c r="T283" s="41"/>
      <c r="U283" s="39"/>
      <c r="V283" s="41"/>
      <c r="W283" s="43" t="s">
        <v>711</v>
      </c>
      <c r="X283" s="33"/>
      <c r="Y283" s="27"/>
      <c r="Z283" s="29"/>
      <c r="AB283" s="73" t="str">
        <f t="shared" si="8"/>
        <v>性能検討用走行抵抗式(ePT連れ回り排除)動力VmaxIP－</v>
      </c>
      <c r="AC283" s="74" t="e">
        <f>VLOOKUP($AB283,変換表貼り付け用シート!$A$3:$AN$1133,3,FALSE)</f>
        <v>#N/A</v>
      </c>
      <c r="AD283" s="74" t="e">
        <f t="shared" si="9"/>
        <v>#N/A</v>
      </c>
      <c r="AE283" s="79" t="e">
        <f>IF(VLOOKUP($AB283,変換表貼り付け用シート!$A$3:$AN$3000,12,FALSE)="","",(VLOOKUP($AB283,変換表貼り付け用シート!$A$3:$AN$3000,12,FALSE)))</f>
        <v>#N/A</v>
      </c>
      <c r="AF283" s="80" t="e">
        <f>IF(VLOOKUP($AB283,変換表貼り付け用シート!$A$3:$AN$3000,13,FALSE)="","",(VLOOKUP($AB283,変換表貼り付け用シート!$A$3:$AN$3000,13,FALSE)))</f>
        <v>#N/A</v>
      </c>
      <c r="AG283" s="80" t="e">
        <f>IF(VLOOKUP($AB283,変換表貼り付け用シート!$A$3:$AN$3000,14,FALSE)="","",(VLOOKUP($AB283,変換表貼り付け用シート!$A$3:$AN$3000,14,FALSE)))</f>
        <v>#N/A</v>
      </c>
      <c r="AH283" s="85" t="e">
        <f>IF(VLOOKUP($AB283,変換表貼り付け用シート!$A$3:$AN$3000,15,FALSE)="","",(VLOOKUP($AB283,変換表貼り付け用シート!$A$3:$AN$3000,15,FALSE)))</f>
        <v>#N/A</v>
      </c>
      <c r="AI283" s="79" t="e">
        <f>IF(VLOOKUP($AB283,変換表貼り付け用シート!$A$3:$AN$3000,16,FALSE)="","",(VLOOKUP($AB283,変換表貼り付け用シート!$A$3:$AN$3000,16,FALSE)))</f>
        <v>#N/A</v>
      </c>
      <c r="AJ283" s="81" t="e">
        <f>IF(VLOOKUP($AB283,変換表貼り付け用シート!$A$3:$AN$3000,17,FALSE)="","",(VLOOKUP($AB283,変換表貼り付け用シート!$A$3:$AN$3000,17,FALSE)))</f>
        <v>#N/A</v>
      </c>
      <c r="AK283" s="88" t="e">
        <f>IF(VLOOKUP($AB283,変換表貼り付け用シート!$A$3:$AN$3000,18,FALSE)="","",(VLOOKUP($AB283,変換表貼り付け用シート!$A$3:$AN$3000,18,FALSE)))</f>
        <v>#N/A</v>
      </c>
      <c r="AL283" s="81" t="e">
        <f>IF(VLOOKUP($AB283,変換表貼り付け用シート!$A$3:$AN$3000,19,FALSE)="","",(VLOOKUP($AB283,変換表貼り付け用シート!$A$3:$AN$3000,19,FALSE)))</f>
        <v>#N/A</v>
      </c>
      <c r="AM283" s="75" t="e">
        <f>IF(VLOOKUP($AB283,変換表貼り付け用シート!$A$3:$AN$3000,20,FALSE)="","",(VLOOKUP($AB283,変換表貼り付け用シート!$A$3:$AN$3000,20,FALSE)))</f>
        <v>#N/A</v>
      </c>
    </row>
    <row r="284" spans="2:39" ht="21" customHeight="1" x14ac:dyDescent="0.35">
      <c r="B284" s="39"/>
      <c r="C284" s="117" t="s">
        <v>988</v>
      </c>
      <c r="D284" s="96" t="s">
        <v>487</v>
      </c>
      <c r="E284" s="27" t="s">
        <v>44</v>
      </c>
      <c r="F284" s="37" t="s">
        <v>45</v>
      </c>
      <c r="G284" s="33" t="s">
        <v>206</v>
      </c>
      <c r="H284" s="27" t="s">
        <v>419</v>
      </c>
      <c r="I284" s="27" t="s">
        <v>206</v>
      </c>
      <c r="J284" s="37" t="s">
        <v>419</v>
      </c>
      <c r="K284" s="39" t="s">
        <v>127</v>
      </c>
      <c r="L284" s="28" t="s">
        <v>144</v>
      </c>
      <c r="M284" s="28" t="s">
        <v>48</v>
      </c>
      <c r="N284" s="41" t="s">
        <v>145</v>
      </c>
      <c r="O284" s="39" t="s">
        <v>146</v>
      </c>
      <c r="P284" s="28"/>
      <c r="Q284" s="28"/>
      <c r="R284" s="41"/>
      <c r="S284" s="39"/>
      <c r="T284" s="41"/>
      <c r="U284" s="39"/>
      <c r="V284" s="41"/>
      <c r="W284" s="43" t="s">
        <v>711</v>
      </c>
      <c r="X284" s="33"/>
      <c r="Y284" s="27"/>
      <c r="Z284" s="29"/>
      <c r="AB284" s="73" t="str">
        <f t="shared" si="8"/>
        <v>性能検討用走行抵抗式(ePT連れ回り排除)熱NEMシビアシーンA0－</v>
      </c>
      <c r="AC284" s="74" t="e">
        <f>VLOOKUP($AB284,変換表貼り付け用シート!$A$3:$AN$1133,3,FALSE)</f>
        <v>#N/A</v>
      </c>
      <c r="AD284" s="74" t="e">
        <f t="shared" si="9"/>
        <v>#N/A</v>
      </c>
      <c r="AE284" s="79" t="e">
        <f>IF(VLOOKUP($AB284,変換表貼り付け用シート!$A$3:$AN$3000,12,FALSE)="","",(VLOOKUP($AB284,変換表貼り付け用シート!$A$3:$AN$3000,12,FALSE)))</f>
        <v>#N/A</v>
      </c>
      <c r="AF284" s="80" t="e">
        <f>IF(VLOOKUP($AB284,変換表貼り付け用シート!$A$3:$AN$3000,13,FALSE)="","",(VLOOKUP($AB284,変換表貼り付け用シート!$A$3:$AN$3000,13,FALSE)))</f>
        <v>#N/A</v>
      </c>
      <c r="AG284" s="80" t="e">
        <f>IF(VLOOKUP($AB284,変換表貼り付け用シート!$A$3:$AN$3000,14,FALSE)="","",(VLOOKUP($AB284,変換表貼り付け用シート!$A$3:$AN$3000,14,FALSE)))</f>
        <v>#N/A</v>
      </c>
      <c r="AH284" s="85" t="e">
        <f>IF(VLOOKUP($AB284,変換表貼り付け用シート!$A$3:$AN$3000,15,FALSE)="","",(VLOOKUP($AB284,変換表貼り付け用シート!$A$3:$AN$3000,15,FALSE)))</f>
        <v>#N/A</v>
      </c>
      <c r="AI284" s="79" t="e">
        <f>IF(VLOOKUP($AB284,変換表貼り付け用シート!$A$3:$AN$3000,16,FALSE)="","",(VLOOKUP($AB284,変換表貼り付け用シート!$A$3:$AN$3000,16,FALSE)))</f>
        <v>#N/A</v>
      </c>
      <c r="AJ284" s="81" t="e">
        <f>IF(VLOOKUP($AB284,変換表貼り付け用シート!$A$3:$AN$3000,17,FALSE)="","",(VLOOKUP($AB284,変換表貼り付け用シート!$A$3:$AN$3000,17,FALSE)))</f>
        <v>#N/A</v>
      </c>
      <c r="AK284" s="88" t="e">
        <f>IF(VLOOKUP($AB284,変換表貼り付け用シート!$A$3:$AN$3000,18,FALSE)="","",(VLOOKUP($AB284,変換表貼り付け用シート!$A$3:$AN$3000,18,FALSE)))</f>
        <v>#N/A</v>
      </c>
      <c r="AL284" s="81" t="e">
        <f>IF(VLOOKUP($AB284,変換表貼り付け用シート!$A$3:$AN$3000,19,FALSE)="","",(VLOOKUP($AB284,変換表貼り付け用シート!$A$3:$AN$3000,19,FALSE)))</f>
        <v>#N/A</v>
      </c>
      <c r="AM284" s="75" t="e">
        <f>IF(VLOOKUP($AB284,変換表貼り付け用シート!$A$3:$AN$3000,20,FALSE)="","",(VLOOKUP($AB284,変換表貼り付け用シート!$A$3:$AN$3000,20,FALSE)))</f>
        <v>#N/A</v>
      </c>
    </row>
    <row r="285" spans="2:39" ht="21" customHeight="1" x14ac:dyDescent="0.35">
      <c r="B285" s="39"/>
      <c r="C285" s="117" t="s">
        <v>989</v>
      </c>
      <c r="D285" s="96" t="s">
        <v>488</v>
      </c>
      <c r="E285" s="27" t="s">
        <v>44</v>
      </c>
      <c r="F285" s="37" t="s">
        <v>45</v>
      </c>
      <c r="G285" s="33" t="s">
        <v>206</v>
      </c>
      <c r="H285" s="27" t="s">
        <v>419</v>
      </c>
      <c r="I285" s="27" t="s">
        <v>206</v>
      </c>
      <c r="J285" s="37" t="s">
        <v>419</v>
      </c>
      <c r="K285" s="39" t="s">
        <v>127</v>
      </c>
      <c r="L285" s="28" t="s">
        <v>147</v>
      </c>
      <c r="M285" s="28" t="s">
        <v>48</v>
      </c>
      <c r="N285" s="41" t="s">
        <v>120</v>
      </c>
      <c r="O285" s="39">
        <v>90.9</v>
      </c>
      <c r="P285" s="28"/>
      <c r="Q285" s="28"/>
      <c r="R285" s="41"/>
      <c r="S285" s="39"/>
      <c r="T285" s="41"/>
      <c r="U285" s="39"/>
      <c r="V285" s="41"/>
      <c r="W285" s="43" t="s">
        <v>711</v>
      </c>
      <c r="X285" s="33"/>
      <c r="Y285" s="27"/>
      <c r="Z285" s="29"/>
      <c r="AB285" s="73" t="str">
        <f t="shared" si="8"/>
        <v>性能検討用走行抵抗式(ePT連れ回り排除)熱加減速繰り返し走行A0－</v>
      </c>
      <c r="AC285" s="74" t="e">
        <f>VLOOKUP($AB285,変換表貼り付け用シート!$A$3:$AN$1133,3,FALSE)</f>
        <v>#N/A</v>
      </c>
      <c r="AD285" s="74" t="e">
        <f t="shared" si="9"/>
        <v>#N/A</v>
      </c>
      <c r="AE285" s="79" t="e">
        <f>IF(VLOOKUP($AB285,変換表貼り付け用シート!$A$3:$AN$3000,12,FALSE)="","",(VLOOKUP($AB285,変換表貼り付け用シート!$A$3:$AN$3000,12,FALSE)))</f>
        <v>#N/A</v>
      </c>
      <c r="AF285" s="80" t="e">
        <f>IF(VLOOKUP($AB285,変換表貼り付け用シート!$A$3:$AN$3000,13,FALSE)="","",(VLOOKUP($AB285,変換表貼り付け用シート!$A$3:$AN$3000,13,FALSE)))</f>
        <v>#N/A</v>
      </c>
      <c r="AG285" s="80" t="e">
        <f>IF(VLOOKUP($AB285,変換表貼り付け用シート!$A$3:$AN$3000,14,FALSE)="","",(VLOOKUP($AB285,変換表貼り付け用シート!$A$3:$AN$3000,14,FALSE)))</f>
        <v>#N/A</v>
      </c>
      <c r="AH285" s="85" t="e">
        <f>IF(VLOOKUP($AB285,変換表貼り付け用シート!$A$3:$AN$3000,15,FALSE)="","",(VLOOKUP($AB285,変換表貼り付け用シート!$A$3:$AN$3000,15,FALSE)))</f>
        <v>#N/A</v>
      </c>
      <c r="AI285" s="79" t="e">
        <f>IF(VLOOKUP($AB285,変換表貼り付け用シート!$A$3:$AN$3000,16,FALSE)="","",(VLOOKUP($AB285,変換表貼り付け用シート!$A$3:$AN$3000,16,FALSE)))</f>
        <v>#N/A</v>
      </c>
      <c r="AJ285" s="81" t="e">
        <f>IF(VLOOKUP($AB285,変換表貼り付け用シート!$A$3:$AN$3000,17,FALSE)="","",(VLOOKUP($AB285,変換表貼り付け用シート!$A$3:$AN$3000,17,FALSE)))</f>
        <v>#N/A</v>
      </c>
      <c r="AK285" s="88" t="e">
        <f>IF(VLOOKUP($AB285,変換表貼り付け用シート!$A$3:$AN$3000,18,FALSE)="","",(VLOOKUP($AB285,変換表貼り付け用シート!$A$3:$AN$3000,18,FALSE)))</f>
        <v>#N/A</v>
      </c>
      <c r="AL285" s="81" t="e">
        <f>IF(VLOOKUP($AB285,変換表貼り付け用シート!$A$3:$AN$3000,19,FALSE)="","",(VLOOKUP($AB285,変換表貼り付け用シート!$A$3:$AN$3000,19,FALSE)))</f>
        <v>#N/A</v>
      </c>
      <c r="AM285" s="75" t="e">
        <f>IF(VLOOKUP($AB285,変換表貼り付け用シート!$A$3:$AN$3000,20,FALSE)="","",(VLOOKUP($AB285,変換表貼り付け用シート!$A$3:$AN$3000,20,FALSE)))</f>
        <v>#N/A</v>
      </c>
    </row>
    <row r="286" spans="2:39" ht="21" customHeight="1" x14ac:dyDescent="0.35">
      <c r="B286" s="39"/>
      <c r="C286" s="117" t="s">
        <v>990</v>
      </c>
      <c r="D286" s="96" t="s">
        <v>489</v>
      </c>
      <c r="E286" s="27" t="s">
        <v>44</v>
      </c>
      <c r="F286" s="37" t="s">
        <v>45</v>
      </c>
      <c r="G286" s="33" t="s">
        <v>206</v>
      </c>
      <c r="H286" s="27" t="s">
        <v>419</v>
      </c>
      <c r="I286" s="27" t="s">
        <v>206</v>
      </c>
      <c r="J286" s="37" t="s">
        <v>419</v>
      </c>
      <c r="K286" s="39" t="s">
        <v>127</v>
      </c>
      <c r="L286" s="28" t="s">
        <v>148</v>
      </c>
      <c r="M286" s="28" t="s">
        <v>48</v>
      </c>
      <c r="N286" s="41" t="s">
        <v>122</v>
      </c>
      <c r="O286" s="39">
        <v>-9.5100000000000004E-2</v>
      </c>
      <c r="P286" s="28"/>
      <c r="Q286" s="28"/>
      <c r="R286" s="41"/>
      <c r="S286" s="39"/>
      <c r="T286" s="41"/>
      <c r="U286" s="39"/>
      <c r="V286" s="41"/>
      <c r="W286" s="43" t="s">
        <v>711</v>
      </c>
      <c r="X286" s="33"/>
      <c r="Y286" s="27"/>
      <c r="Z286" s="29"/>
      <c r="AB286" s="73" t="str">
        <f t="shared" si="8"/>
        <v>性能検討用走行抵抗式(ePT連れ回り排除)熱加減速繰り返し走行A1－</v>
      </c>
      <c r="AC286" s="74" t="e">
        <f>VLOOKUP($AB286,変換表貼り付け用シート!$A$3:$AN$1133,3,FALSE)</f>
        <v>#N/A</v>
      </c>
      <c r="AD286" s="74" t="e">
        <f t="shared" si="9"/>
        <v>#N/A</v>
      </c>
      <c r="AE286" s="79" t="e">
        <f>IF(VLOOKUP($AB286,変換表貼り付け用シート!$A$3:$AN$3000,12,FALSE)="","",(VLOOKUP($AB286,変換表貼り付け用シート!$A$3:$AN$3000,12,FALSE)))</f>
        <v>#N/A</v>
      </c>
      <c r="AF286" s="80" t="e">
        <f>IF(VLOOKUP($AB286,変換表貼り付け用シート!$A$3:$AN$3000,13,FALSE)="","",(VLOOKUP($AB286,変換表貼り付け用シート!$A$3:$AN$3000,13,FALSE)))</f>
        <v>#N/A</v>
      </c>
      <c r="AG286" s="80" t="e">
        <f>IF(VLOOKUP($AB286,変換表貼り付け用シート!$A$3:$AN$3000,14,FALSE)="","",(VLOOKUP($AB286,変換表貼り付け用シート!$A$3:$AN$3000,14,FALSE)))</f>
        <v>#N/A</v>
      </c>
      <c r="AH286" s="85" t="e">
        <f>IF(VLOOKUP($AB286,変換表貼り付け用シート!$A$3:$AN$3000,15,FALSE)="","",(VLOOKUP($AB286,変換表貼り付け用シート!$A$3:$AN$3000,15,FALSE)))</f>
        <v>#N/A</v>
      </c>
      <c r="AI286" s="79" t="e">
        <f>IF(VLOOKUP($AB286,変換表貼り付け用シート!$A$3:$AN$3000,16,FALSE)="","",(VLOOKUP($AB286,変換表貼り付け用シート!$A$3:$AN$3000,16,FALSE)))</f>
        <v>#N/A</v>
      </c>
      <c r="AJ286" s="81" t="e">
        <f>IF(VLOOKUP($AB286,変換表貼り付け用シート!$A$3:$AN$3000,17,FALSE)="","",(VLOOKUP($AB286,変換表貼り付け用シート!$A$3:$AN$3000,17,FALSE)))</f>
        <v>#N/A</v>
      </c>
      <c r="AK286" s="88" t="e">
        <f>IF(VLOOKUP($AB286,変換表貼り付け用シート!$A$3:$AN$3000,18,FALSE)="","",(VLOOKUP($AB286,変換表貼り付け用シート!$A$3:$AN$3000,18,FALSE)))</f>
        <v>#N/A</v>
      </c>
      <c r="AL286" s="81" t="e">
        <f>IF(VLOOKUP($AB286,変換表貼り付け用シート!$A$3:$AN$3000,19,FALSE)="","",(VLOOKUP($AB286,変換表貼り付け用シート!$A$3:$AN$3000,19,FALSE)))</f>
        <v>#N/A</v>
      </c>
      <c r="AM286" s="75" t="e">
        <f>IF(VLOOKUP($AB286,変換表貼り付け用シート!$A$3:$AN$3000,20,FALSE)="","",(VLOOKUP($AB286,変換表貼り付け用シート!$A$3:$AN$3000,20,FALSE)))</f>
        <v>#N/A</v>
      </c>
    </row>
    <row r="287" spans="2:39" ht="21" customHeight="1" x14ac:dyDescent="0.35">
      <c r="B287" s="39"/>
      <c r="C287" s="117" t="s">
        <v>991</v>
      </c>
      <c r="D287" s="96" t="s">
        <v>490</v>
      </c>
      <c r="E287" s="27" t="s">
        <v>44</v>
      </c>
      <c r="F287" s="37" t="s">
        <v>45</v>
      </c>
      <c r="G287" s="33" t="s">
        <v>206</v>
      </c>
      <c r="H287" s="27" t="s">
        <v>419</v>
      </c>
      <c r="I287" s="27" t="s">
        <v>206</v>
      </c>
      <c r="J287" s="37" t="s">
        <v>419</v>
      </c>
      <c r="K287" s="39" t="s">
        <v>127</v>
      </c>
      <c r="L287" s="28" t="s">
        <v>149</v>
      </c>
      <c r="M287" s="28" t="s">
        <v>48</v>
      </c>
      <c r="N287" s="41" t="s">
        <v>124</v>
      </c>
      <c r="O287" s="39">
        <v>4.326E-2</v>
      </c>
      <c r="P287" s="28"/>
      <c r="Q287" s="28"/>
      <c r="R287" s="41"/>
      <c r="S287" s="39"/>
      <c r="T287" s="41"/>
      <c r="U287" s="39"/>
      <c r="V287" s="41"/>
      <c r="W287" s="43" t="s">
        <v>711</v>
      </c>
      <c r="X287" s="33"/>
      <c r="Y287" s="27"/>
      <c r="Z287" s="29"/>
      <c r="AB287" s="73" t="str">
        <f t="shared" si="8"/>
        <v>性能検討用走行抵抗式(ePT連れ回り排除)熱加減速繰り返し走行A2－</v>
      </c>
      <c r="AC287" s="74" t="e">
        <f>VLOOKUP($AB287,変換表貼り付け用シート!$A$3:$AN$1133,3,FALSE)</f>
        <v>#N/A</v>
      </c>
      <c r="AD287" s="74" t="e">
        <f t="shared" si="9"/>
        <v>#N/A</v>
      </c>
      <c r="AE287" s="79" t="e">
        <f>IF(VLOOKUP($AB287,変換表貼り付け用シート!$A$3:$AN$3000,12,FALSE)="","",(VLOOKUP($AB287,変換表貼り付け用シート!$A$3:$AN$3000,12,FALSE)))</f>
        <v>#N/A</v>
      </c>
      <c r="AF287" s="80" t="e">
        <f>IF(VLOOKUP($AB287,変換表貼り付け用シート!$A$3:$AN$3000,13,FALSE)="","",(VLOOKUP($AB287,変換表貼り付け用シート!$A$3:$AN$3000,13,FALSE)))</f>
        <v>#N/A</v>
      </c>
      <c r="AG287" s="80" t="e">
        <f>IF(VLOOKUP($AB287,変換表貼り付け用シート!$A$3:$AN$3000,14,FALSE)="","",(VLOOKUP($AB287,変換表貼り付け用シート!$A$3:$AN$3000,14,FALSE)))</f>
        <v>#N/A</v>
      </c>
      <c r="AH287" s="85" t="e">
        <f>IF(VLOOKUP($AB287,変換表貼り付け用シート!$A$3:$AN$3000,15,FALSE)="","",(VLOOKUP($AB287,変換表貼り付け用シート!$A$3:$AN$3000,15,FALSE)))</f>
        <v>#N/A</v>
      </c>
      <c r="AI287" s="79" t="e">
        <f>IF(VLOOKUP($AB287,変換表貼り付け用シート!$A$3:$AN$3000,16,FALSE)="","",(VLOOKUP($AB287,変換表貼り付け用シート!$A$3:$AN$3000,16,FALSE)))</f>
        <v>#N/A</v>
      </c>
      <c r="AJ287" s="81" t="e">
        <f>IF(VLOOKUP($AB287,変換表貼り付け用シート!$A$3:$AN$3000,17,FALSE)="","",(VLOOKUP($AB287,変換表貼り付け用シート!$A$3:$AN$3000,17,FALSE)))</f>
        <v>#N/A</v>
      </c>
      <c r="AK287" s="88" t="e">
        <f>IF(VLOOKUP($AB287,変換表貼り付け用シート!$A$3:$AN$3000,18,FALSE)="","",(VLOOKUP($AB287,変換表貼り付け用シート!$A$3:$AN$3000,18,FALSE)))</f>
        <v>#N/A</v>
      </c>
      <c r="AL287" s="81" t="e">
        <f>IF(VLOOKUP($AB287,変換表貼り付け用シート!$A$3:$AN$3000,19,FALSE)="","",(VLOOKUP($AB287,変換表貼り付け用シート!$A$3:$AN$3000,19,FALSE)))</f>
        <v>#N/A</v>
      </c>
      <c r="AM287" s="75" t="e">
        <f>IF(VLOOKUP($AB287,変換表貼り付け用シート!$A$3:$AN$3000,20,FALSE)="","",(VLOOKUP($AB287,変換表貼り付け用シート!$A$3:$AN$3000,20,FALSE)))</f>
        <v>#N/A</v>
      </c>
    </row>
    <row r="288" spans="2:39" ht="21" customHeight="1" x14ac:dyDescent="0.35">
      <c r="B288" s="39"/>
      <c r="C288" s="117" t="s">
        <v>992</v>
      </c>
      <c r="D288" s="96" t="s">
        <v>491</v>
      </c>
      <c r="E288" s="27" t="s">
        <v>44</v>
      </c>
      <c r="F288" s="37" t="s">
        <v>45</v>
      </c>
      <c r="G288" s="33" t="s">
        <v>206</v>
      </c>
      <c r="H288" s="27" t="s">
        <v>419</v>
      </c>
      <c r="I288" s="27" t="s">
        <v>206</v>
      </c>
      <c r="J288" s="37" t="s">
        <v>419</v>
      </c>
      <c r="K288" s="39" t="s">
        <v>127</v>
      </c>
      <c r="L288" s="28" t="s">
        <v>150</v>
      </c>
      <c r="M288" s="28" t="s">
        <v>48</v>
      </c>
      <c r="N288" s="41" t="s">
        <v>49</v>
      </c>
      <c r="O288" s="39">
        <v>1380</v>
      </c>
      <c r="P288" s="28"/>
      <c r="Q288" s="28"/>
      <c r="R288" s="41"/>
      <c r="S288" s="39"/>
      <c r="T288" s="41"/>
      <c r="U288" s="39"/>
      <c r="V288" s="41"/>
      <c r="W288" s="43" t="s">
        <v>711</v>
      </c>
      <c r="X288" s="33"/>
      <c r="Y288" s="27"/>
      <c r="Z288" s="29"/>
      <c r="AB288" s="73" t="str">
        <f t="shared" si="8"/>
        <v>性能検討用走行抵抗式(ePT連れ回り排除)熱加減速繰り返し走行IP－</v>
      </c>
      <c r="AC288" s="74" t="e">
        <f>VLOOKUP($AB288,変換表貼り付け用シート!$A$3:$AN$1133,3,FALSE)</f>
        <v>#N/A</v>
      </c>
      <c r="AD288" s="74" t="e">
        <f t="shared" si="9"/>
        <v>#N/A</v>
      </c>
      <c r="AE288" s="79" t="e">
        <f>IF(VLOOKUP($AB288,変換表貼り付け用シート!$A$3:$AN$3000,12,FALSE)="","",(VLOOKUP($AB288,変換表貼り付け用シート!$A$3:$AN$3000,12,FALSE)))</f>
        <v>#N/A</v>
      </c>
      <c r="AF288" s="80" t="e">
        <f>IF(VLOOKUP($AB288,変換表貼り付け用シート!$A$3:$AN$3000,13,FALSE)="","",(VLOOKUP($AB288,変換表貼り付け用シート!$A$3:$AN$3000,13,FALSE)))</f>
        <v>#N/A</v>
      </c>
      <c r="AG288" s="80" t="e">
        <f>IF(VLOOKUP($AB288,変換表貼り付け用シート!$A$3:$AN$3000,14,FALSE)="","",(VLOOKUP($AB288,変換表貼り付け用シート!$A$3:$AN$3000,14,FALSE)))</f>
        <v>#N/A</v>
      </c>
      <c r="AH288" s="85" t="e">
        <f>IF(VLOOKUP($AB288,変換表貼り付け用シート!$A$3:$AN$3000,15,FALSE)="","",(VLOOKUP($AB288,変換表貼り付け用シート!$A$3:$AN$3000,15,FALSE)))</f>
        <v>#N/A</v>
      </c>
      <c r="AI288" s="79" t="e">
        <f>IF(VLOOKUP($AB288,変換表貼り付け用シート!$A$3:$AN$3000,16,FALSE)="","",(VLOOKUP($AB288,変換表貼り付け用シート!$A$3:$AN$3000,16,FALSE)))</f>
        <v>#N/A</v>
      </c>
      <c r="AJ288" s="81" t="e">
        <f>IF(VLOOKUP($AB288,変換表貼り付け用シート!$A$3:$AN$3000,17,FALSE)="","",(VLOOKUP($AB288,変換表貼り付け用シート!$A$3:$AN$3000,17,FALSE)))</f>
        <v>#N/A</v>
      </c>
      <c r="AK288" s="88" t="e">
        <f>IF(VLOOKUP($AB288,変換表貼り付け用シート!$A$3:$AN$3000,18,FALSE)="","",(VLOOKUP($AB288,変換表貼り付け用シート!$A$3:$AN$3000,18,FALSE)))</f>
        <v>#N/A</v>
      </c>
      <c r="AL288" s="81" t="e">
        <f>IF(VLOOKUP($AB288,変換表貼り付け用シート!$A$3:$AN$3000,19,FALSE)="","",(VLOOKUP($AB288,変換表貼り付け用シート!$A$3:$AN$3000,19,FALSE)))</f>
        <v>#N/A</v>
      </c>
      <c r="AM288" s="75" t="e">
        <f>IF(VLOOKUP($AB288,変換表貼り付け用シート!$A$3:$AN$3000,20,FALSE)="","",(VLOOKUP($AB288,変換表貼り付け用シート!$A$3:$AN$3000,20,FALSE)))</f>
        <v>#N/A</v>
      </c>
    </row>
    <row r="289" spans="2:39" ht="21" customHeight="1" x14ac:dyDescent="0.35">
      <c r="B289" s="39"/>
      <c r="C289" s="117" t="s">
        <v>993</v>
      </c>
      <c r="D289" s="96" t="s">
        <v>492</v>
      </c>
      <c r="E289" s="27" t="s">
        <v>44</v>
      </c>
      <c r="F289" s="37" t="s">
        <v>45</v>
      </c>
      <c r="G289" s="33" t="s">
        <v>206</v>
      </c>
      <c r="H289" s="27" t="s">
        <v>419</v>
      </c>
      <c r="I289" s="27" t="s">
        <v>206</v>
      </c>
      <c r="J289" s="37" t="s">
        <v>419</v>
      </c>
      <c r="K289" s="39" t="s">
        <v>127</v>
      </c>
      <c r="L289" s="28" t="s">
        <v>151</v>
      </c>
      <c r="M289" s="28" t="s">
        <v>48</v>
      </c>
      <c r="N289" s="41" t="s">
        <v>120</v>
      </c>
      <c r="O289" s="39" t="s">
        <v>116</v>
      </c>
      <c r="P289" s="28"/>
      <c r="Q289" s="28"/>
      <c r="R289" s="41"/>
      <c r="S289" s="39"/>
      <c r="T289" s="41"/>
      <c r="U289" s="39"/>
      <c r="V289" s="41"/>
      <c r="W289" s="43" t="s">
        <v>711</v>
      </c>
      <c r="X289" s="33"/>
      <c r="Y289" s="27"/>
      <c r="Z289" s="29"/>
      <c r="AB289" s="73" t="str">
        <f t="shared" si="8"/>
        <v>性能検討用走行抵抗式(ePT連れ回り排除)熱TowingA0－</v>
      </c>
      <c r="AC289" s="74" t="e">
        <f>VLOOKUP($AB289,変換表貼り付け用シート!$A$3:$AN$1133,3,FALSE)</f>
        <v>#N/A</v>
      </c>
      <c r="AD289" s="74" t="e">
        <f t="shared" si="9"/>
        <v>#N/A</v>
      </c>
      <c r="AE289" s="79" t="e">
        <f>IF(VLOOKUP($AB289,変換表貼り付け用シート!$A$3:$AN$3000,12,FALSE)="","",(VLOOKUP($AB289,変換表貼り付け用シート!$A$3:$AN$3000,12,FALSE)))</f>
        <v>#N/A</v>
      </c>
      <c r="AF289" s="80" t="e">
        <f>IF(VLOOKUP($AB289,変換表貼り付け用シート!$A$3:$AN$3000,13,FALSE)="","",(VLOOKUP($AB289,変換表貼り付け用シート!$A$3:$AN$3000,13,FALSE)))</f>
        <v>#N/A</v>
      </c>
      <c r="AG289" s="80" t="e">
        <f>IF(VLOOKUP($AB289,変換表貼り付け用シート!$A$3:$AN$3000,14,FALSE)="","",(VLOOKUP($AB289,変換表貼り付け用シート!$A$3:$AN$3000,14,FALSE)))</f>
        <v>#N/A</v>
      </c>
      <c r="AH289" s="85" t="e">
        <f>IF(VLOOKUP($AB289,変換表貼り付け用シート!$A$3:$AN$3000,15,FALSE)="","",(VLOOKUP($AB289,変換表貼り付け用シート!$A$3:$AN$3000,15,FALSE)))</f>
        <v>#N/A</v>
      </c>
      <c r="AI289" s="79" t="e">
        <f>IF(VLOOKUP($AB289,変換表貼り付け用シート!$A$3:$AN$3000,16,FALSE)="","",(VLOOKUP($AB289,変換表貼り付け用シート!$A$3:$AN$3000,16,FALSE)))</f>
        <v>#N/A</v>
      </c>
      <c r="AJ289" s="81" t="e">
        <f>IF(VLOOKUP($AB289,変換表貼り付け用シート!$A$3:$AN$3000,17,FALSE)="","",(VLOOKUP($AB289,変換表貼り付け用シート!$A$3:$AN$3000,17,FALSE)))</f>
        <v>#N/A</v>
      </c>
      <c r="AK289" s="88" t="e">
        <f>IF(VLOOKUP($AB289,変換表貼り付け用シート!$A$3:$AN$3000,18,FALSE)="","",(VLOOKUP($AB289,変換表貼り付け用シート!$A$3:$AN$3000,18,FALSE)))</f>
        <v>#N/A</v>
      </c>
      <c r="AL289" s="81" t="e">
        <f>IF(VLOOKUP($AB289,変換表貼り付け用シート!$A$3:$AN$3000,19,FALSE)="","",(VLOOKUP($AB289,変換表貼り付け用シート!$A$3:$AN$3000,19,FALSE)))</f>
        <v>#N/A</v>
      </c>
      <c r="AM289" s="75" t="e">
        <f>IF(VLOOKUP($AB289,変換表貼り付け用シート!$A$3:$AN$3000,20,FALSE)="","",(VLOOKUP($AB289,変換表貼り付け用シート!$A$3:$AN$3000,20,FALSE)))</f>
        <v>#N/A</v>
      </c>
    </row>
    <row r="290" spans="2:39" ht="21" customHeight="1" x14ac:dyDescent="0.35">
      <c r="B290" s="39"/>
      <c r="C290" s="117" t="s">
        <v>994</v>
      </c>
      <c r="D290" s="96" t="s">
        <v>493</v>
      </c>
      <c r="E290" s="27" t="s">
        <v>44</v>
      </c>
      <c r="F290" s="37" t="s">
        <v>45</v>
      </c>
      <c r="G290" s="33" t="s">
        <v>206</v>
      </c>
      <c r="H290" s="27" t="s">
        <v>419</v>
      </c>
      <c r="I290" s="27" t="s">
        <v>206</v>
      </c>
      <c r="J290" s="37" t="s">
        <v>419</v>
      </c>
      <c r="K290" s="39" t="s">
        <v>127</v>
      </c>
      <c r="L290" s="28" t="s">
        <v>152</v>
      </c>
      <c r="M290" s="28" t="s">
        <v>48</v>
      </c>
      <c r="N290" s="41" t="s">
        <v>122</v>
      </c>
      <c r="O290" s="39" t="s">
        <v>116</v>
      </c>
      <c r="P290" s="28"/>
      <c r="Q290" s="28"/>
      <c r="R290" s="41"/>
      <c r="S290" s="39"/>
      <c r="T290" s="41"/>
      <c r="U290" s="39"/>
      <c r="V290" s="41"/>
      <c r="W290" s="43" t="s">
        <v>711</v>
      </c>
      <c r="X290" s="33"/>
      <c r="Y290" s="27"/>
      <c r="Z290" s="29"/>
      <c r="AB290" s="73" t="str">
        <f t="shared" si="8"/>
        <v>性能検討用走行抵抗式(ePT連れ回り排除)熱TowingA1－</v>
      </c>
      <c r="AC290" s="74" t="e">
        <f>VLOOKUP($AB290,変換表貼り付け用シート!$A$3:$AN$1133,3,FALSE)</f>
        <v>#N/A</v>
      </c>
      <c r="AD290" s="74" t="e">
        <f t="shared" si="9"/>
        <v>#N/A</v>
      </c>
      <c r="AE290" s="79" t="e">
        <f>IF(VLOOKUP($AB290,変換表貼り付け用シート!$A$3:$AN$3000,12,FALSE)="","",(VLOOKUP($AB290,変換表貼り付け用シート!$A$3:$AN$3000,12,FALSE)))</f>
        <v>#N/A</v>
      </c>
      <c r="AF290" s="80" t="e">
        <f>IF(VLOOKUP($AB290,変換表貼り付け用シート!$A$3:$AN$3000,13,FALSE)="","",(VLOOKUP($AB290,変換表貼り付け用シート!$A$3:$AN$3000,13,FALSE)))</f>
        <v>#N/A</v>
      </c>
      <c r="AG290" s="80" t="e">
        <f>IF(VLOOKUP($AB290,変換表貼り付け用シート!$A$3:$AN$3000,14,FALSE)="","",(VLOOKUP($AB290,変換表貼り付け用シート!$A$3:$AN$3000,14,FALSE)))</f>
        <v>#N/A</v>
      </c>
      <c r="AH290" s="85" t="e">
        <f>IF(VLOOKUP($AB290,変換表貼り付け用シート!$A$3:$AN$3000,15,FALSE)="","",(VLOOKUP($AB290,変換表貼り付け用シート!$A$3:$AN$3000,15,FALSE)))</f>
        <v>#N/A</v>
      </c>
      <c r="AI290" s="79" t="e">
        <f>IF(VLOOKUP($AB290,変換表貼り付け用シート!$A$3:$AN$3000,16,FALSE)="","",(VLOOKUP($AB290,変換表貼り付け用シート!$A$3:$AN$3000,16,FALSE)))</f>
        <v>#N/A</v>
      </c>
      <c r="AJ290" s="81" t="e">
        <f>IF(VLOOKUP($AB290,変換表貼り付け用シート!$A$3:$AN$3000,17,FALSE)="","",(VLOOKUP($AB290,変換表貼り付け用シート!$A$3:$AN$3000,17,FALSE)))</f>
        <v>#N/A</v>
      </c>
      <c r="AK290" s="88" t="e">
        <f>IF(VLOOKUP($AB290,変換表貼り付け用シート!$A$3:$AN$3000,18,FALSE)="","",(VLOOKUP($AB290,変換表貼り付け用シート!$A$3:$AN$3000,18,FALSE)))</f>
        <v>#N/A</v>
      </c>
      <c r="AL290" s="81" t="e">
        <f>IF(VLOOKUP($AB290,変換表貼り付け用シート!$A$3:$AN$3000,19,FALSE)="","",(VLOOKUP($AB290,変換表貼り付け用シート!$A$3:$AN$3000,19,FALSE)))</f>
        <v>#N/A</v>
      </c>
      <c r="AM290" s="75" t="e">
        <f>IF(VLOOKUP($AB290,変換表貼り付け用シート!$A$3:$AN$3000,20,FALSE)="","",(VLOOKUP($AB290,変換表貼り付け用シート!$A$3:$AN$3000,20,FALSE)))</f>
        <v>#N/A</v>
      </c>
    </row>
    <row r="291" spans="2:39" ht="21" customHeight="1" x14ac:dyDescent="0.35">
      <c r="B291" s="39"/>
      <c r="C291" s="117" t="s">
        <v>995</v>
      </c>
      <c r="D291" s="96" t="s">
        <v>494</v>
      </c>
      <c r="E291" s="27" t="s">
        <v>44</v>
      </c>
      <c r="F291" s="37" t="s">
        <v>45</v>
      </c>
      <c r="G291" s="33" t="s">
        <v>206</v>
      </c>
      <c r="H291" s="27" t="s">
        <v>419</v>
      </c>
      <c r="I291" s="27" t="s">
        <v>206</v>
      </c>
      <c r="J291" s="37" t="s">
        <v>419</v>
      </c>
      <c r="K291" s="39" t="s">
        <v>127</v>
      </c>
      <c r="L291" s="28" t="s">
        <v>153</v>
      </c>
      <c r="M291" s="28" t="s">
        <v>48</v>
      </c>
      <c r="N291" s="41" t="s">
        <v>124</v>
      </c>
      <c r="O291" s="39" t="s">
        <v>116</v>
      </c>
      <c r="P291" s="28"/>
      <c r="Q291" s="28"/>
      <c r="R291" s="41"/>
      <c r="S291" s="39"/>
      <c r="T291" s="41"/>
      <c r="U291" s="39"/>
      <c r="V291" s="41"/>
      <c r="W291" s="43" t="s">
        <v>711</v>
      </c>
      <c r="X291" s="33"/>
      <c r="Y291" s="27"/>
      <c r="Z291" s="29"/>
      <c r="AB291" s="73" t="str">
        <f t="shared" si="8"/>
        <v>性能検討用走行抵抗式(ePT連れ回り排除)熱TowingA2－</v>
      </c>
      <c r="AC291" s="74" t="e">
        <f>VLOOKUP($AB291,変換表貼り付け用シート!$A$3:$AN$1133,3,FALSE)</f>
        <v>#N/A</v>
      </c>
      <c r="AD291" s="74" t="e">
        <f t="shared" si="9"/>
        <v>#N/A</v>
      </c>
      <c r="AE291" s="79" t="e">
        <f>IF(VLOOKUP($AB291,変換表貼り付け用シート!$A$3:$AN$3000,12,FALSE)="","",(VLOOKUP($AB291,変換表貼り付け用シート!$A$3:$AN$3000,12,FALSE)))</f>
        <v>#N/A</v>
      </c>
      <c r="AF291" s="80" t="e">
        <f>IF(VLOOKUP($AB291,変換表貼り付け用シート!$A$3:$AN$3000,13,FALSE)="","",(VLOOKUP($AB291,変換表貼り付け用シート!$A$3:$AN$3000,13,FALSE)))</f>
        <v>#N/A</v>
      </c>
      <c r="AG291" s="80" t="e">
        <f>IF(VLOOKUP($AB291,変換表貼り付け用シート!$A$3:$AN$3000,14,FALSE)="","",(VLOOKUP($AB291,変換表貼り付け用シート!$A$3:$AN$3000,14,FALSE)))</f>
        <v>#N/A</v>
      </c>
      <c r="AH291" s="85" t="e">
        <f>IF(VLOOKUP($AB291,変換表貼り付け用シート!$A$3:$AN$3000,15,FALSE)="","",(VLOOKUP($AB291,変換表貼り付け用シート!$A$3:$AN$3000,15,FALSE)))</f>
        <v>#N/A</v>
      </c>
      <c r="AI291" s="79" t="e">
        <f>IF(VLOOKUP($AB291,変換表貼り付け用シート!$A$3:$AN$3000,16,FALSE)="","",(VLOOKUP($AB291,変換表貼り付け用シート!$A$3:$AN$3000,16,FALSE)))</f>
        <v>#N/A</v>
      </c>
      <c r="AJ291" s="81" t="e">
        <f>IF(VLOOKUP($AB291,変換表貼り付け用シート!$A$3:$AN$3000,17,FALSE)="","",(VLOOKUP($AB291,変換表貼り付け用シート!$A$3:$AN$3000,17,FALSE)))</f>
        <v>#N/A</v>
      </c>
      <c r="AK291" s="88" t="e">
        <f>IF(VLOOKUP($AB291,変換表貼り付け用シート!$A$3:$AN$3000,18,FALSE)="","",(VLOOKUP($AB291,変換表貼り付け用シート!$A$3:$AN$3000,18,FALSE)))</f>
        <v>#N/A</v>
      </c>
      <c r="AL291" s="81" t="e">
        <f>IF(VLOOKUP($AB291,変換表貼り付け用シート!$A$3:$AN$3000,19,FALSE)="","",(VLOOKUP($AB291,変換表貼り付け用シート!$A$3:$AN$3000,19,FALSE)))</f>
        <v>#N/A</v>
      </c>
      <c r="AM291" s="75" t="e">
        <f>IF(VLOOKUP($AB291,変換表貼り付け用シート!$A$3:$AN$3000,20,FALSE)="","",(VLOOKUP($AB291,変換表貼り付け用シート!$A$3:$AN$3000,20,FALSE)))</f>
        <v>#N/A</v>
      </c>
    </row>
    <row r="292" spans="2:39" ht="21" customHeight="1" x14ac:dyDescent="0.35">
      <c r="B292" s="39"/>
      <c r="C292" s="117" t="s">
        <v>996</v>
      </c>
      <c r="D292" s="96" t="s">
        <v>495</v>
      </c>
      <c r="E292" s="27" t="s">
        <v>44</v>
      </c>
      <c r="F292" s="37" t="s">
        <v>45</v>
      </c>
      <c r="G292" s="33" t="s">
        <v>206</v>
      </c>
      <c r="H292" s="27" t="s">
        <v>419</v>
      </c>
      <c r="I292" s="27" t="s">
        <v>206</v>
      </c>
      <c r="J292" s="37" t="s">
        <v>419</v>
      </c>
      <c r="K292" s="39" t="s">
        <v>127</v>
      </c>
      <c r="L292" s="28" t="s">
        <v>154</v>
      </c>
      <c r="M292" s="28" t="s">
        <v>48</v>
      </c>
      <c r="N292" s="41" t="s">
        <v>49</v>
      </c>
      <c r="O292" s="39" t="s">
        <v>116</v>
      </c>
      <c r="P292" s="28"/>
      <c r="Q292" s="28"/>
      <c r="R292" s="41"/>
      <c r="S292" s="39"/>
      <c r="T292" s="41"/>
      <c r="U292" s="39"/>
      <c r="V292" s="41"/>
      <c r="W292" s="43" t="s">
        <v>711</v>
      </c>
      <c r="X292" s="33"/>
      <c r="Y292" s="27"/>
      <c r="Z292" s="29"/>
      <c r="AB292" s="73" t="str">
        <f t="shared" si="8"/>
        <v>性能検討用走行抵抗式(ePT連れ回り排除)熱TowingIP－</v>
      </c>
      <c r="AC292" s="74" t="e">
        <f>VLOOKUP($AB292,変換表貼り付け用シート!$A$3:$AN$1133,3,FALSE)</f>
        <v>#N/A</v>
      </c>
      <c r="AD292" s="74" t="e">
        <f t="shared" si="9"/>
        <v>#N/A</v>
      </c>
      <c r="AE292" s="79" t="e">
        <f>IF(VLOOKUP($AB292,変換表貼り付け用シート!$A$3:$AN$3000,12,FALSE)="","",(VLOOKUP($AB292,変換表貼り付け用シート!$A$3:$AN$3000,12,FALSE)))</f>
        <v>#N/A</v>
      </c>
      <c r="AF292" s="80" t="e">
        <f>IF(VLOOKUP($AB292,変換表貼り付け用シート!$A$3:$AN$3000,13,FALSE)="","",(VLOOKUP($AB292,変換表貼り付け用シート!$A$3:$AN$3000,13,FALSE)))</f>
        <v>#N/A</v>
      </c>
      <c r="AG292" s="80" t="e">
        <f>IF(VLOOKUP($AB292,変換表貼り付け用シート!$A$3:$AN$3000,14,FALSE)="","",(VLOOKUP($AB292,変換表貼り付け用シート!$A$3:$AN$3000,14,FALSE)))</f>
        <v>#N/A</v>
      </c>
      <c r="AH292" s="85" t="e">
        <f>IF(VLOOKUP($AB292,変換表貼り付け用シート!$A$3:$AN$3000,15,FALSE)="","",(VLOOKUP($AB292,変換表貼り付け用シート!$A$3:$AN$3000,15,FALSE)))</f>
        <v>#N/A</v>
      </c>
      <c r="AI292" s="79" t="e">
        <f>IF(VLOOKUP($AB292,変換表貼り付け用シート!$A$3:$AN$3000,16,FALSE)="","",(VLOOKUP($AB292,変換表貼り付け用シート!$A$3:$AN$3000,16,FALSE)))</f>
        <v>#N/A</v>
      </c>
      <c r="AJ292" s="81" t="e">
        <f>IF(VLOOKUP($AB292,変換表貼り付け用シート!$A$3:$AN$3000,17,FALSE)="","",(VLOOKUP($AB292,変換表貼り付け用シート!$A$3:$AN$3000,17,FALSE)))</f>
        <v>#N/A</v>
      </c>
      <c r="AK292" s="88" t="e">
        <f>IF(VLOOKUP($AB292,変換表貼り付け用シート!$A$3:$AN$3000,18,FALSE)="","",(VLOOKUP($AB292,変換表貼り付け用シート!$A$3:$AN$3000,18,FALSE)))</f>
        <v>#N/A</v>
      </c>
      <c r="AL292" s="81" t="e">
        <f>IF(VLOOKUP($AB292,変換表貼り付け用シート!$A$3:$AN$3000,19,FALSE)="","",(VLOOKUP($AB292,変換表貼り付け用シート!$A$3:$AN$3000,19,FALSE)))</f>
        <v>#N/A</v>
      </c>
      <c r="AM292" s="75" t="e">
        <f>IF(VLOOKUP($AB292,変換表貼り付け用シート!$A$3:$AN$3000,20,FALSE)="","",(VLOOKUP($AB292,変換表貼り付け用シート!$A$3:$AN$3000,20,FALSE)))</f>
        <v>#N/A</v>
      </c>
    </row>
    <row r="293" spans="2:39" ht="21" customHeight="1" x14ac:dyDescent="0.35">
      <c r="B293" s="39"/>
      <c r="C293" s="117" t="s">
        <v>997</v>
      </c>
      <c r="D293" s="96" t="s">
        <v>496</v>
      </c>
      <c r="E293" s="27" t="s">
        <v>44</v>
      </c>
      <c r="F293" s="37" t="s">
        <v>45</v>
      </c>
      <c r="G293" s="33" t="s">
        <v>206</v>
      </c>
      <c r="H293" s="27" t="s">
        <v>419</v>
      </c>
      <c r="I293" s="27" t="s">
        <v>206</v>
      </c>
      <c r="J293" s="37" t="s">
        <v>419</v>
      </c>
      <c r="K293" s="39" t="s">
        <v>127</v>
      </c>
      <c r="L293" s="28" t="s">
        <v>155</v>
      </c>
      <c r="M293" s="28" t="s">
        <v>48</v>
      </c>
      <c r="N293" s="41" t="s">
        <v>120</v>
      </c>
      <c r="O293" s="39" t="s">
        <v>57</v>
      </c>
      <c r="P293" s="28"/>
      <c r="Q293" s="28"/>
      <c r="R293" s="41"/>
      <c r="S293" s="39"/>
      <c r="T293" s="41"/>
      <c r="U293" s="39"/>
      <c r="V293" s="41"/>
      <c r="W293" s="43" t="s">
        <v>711</v>
      </c>
      <c r="X293" s="33"/>
      <c r="Y293" s="27"/>
      <c r="Z293" s="29"/>
      <c r="AB293" s="73" t="str">
        <f t="shared" si="8"/>
        <v>性能検討用走行抵抗式(ePT連れ回り排除)熱低温性能A0－</v>
      </c>
      <c r="AC293" s="74" t="e">
        <f>VLOOKUP($AB293,変換表貼り付け用シート!$A$3:$AN$1133,3,FALSE)</f>
        <v>#N/A</v>
      </c>
      <c r="AD293" s="74" t="e">
        <f t="shared" si="9"/>
        <v>#N/A</v>
      </c>
      <c r="AE293" s="79" t="e">
        <f>IF(VLOOKUP($AB293,変換表貼り付け用シート!$A$3:$AN$3000,12,FALSE)="","",(VLOOKUP($AB293,変換表貼り付け用シート!$A$3:$AN$3000,12,FALSE)))</f>
        <v>#N/A</v>
      </c>
      <c r="AF293" s="80" t="e">
        <f>IF(VLOOKUP($AB293,変換表貼り付け用シート!$A$3:$AN$3000,13,FALSE)="","",(VLOOKUP($AB293,変換表貼り付け用シート!$A$3:$AN$3000,13,FALSE)))</f>
        <v>#N/A</v>
      </c>
      <c r="AG293" s="80" t="e">
        <f>IF(VLOOKUP($AB293,変換表貼り付け用シート!$A$3:$AN$3000,14,FALSE)="","",(VLOOKUP($AB293,変換表貼り付け用シート!$A$3:$AN$3000,14,FALSE)))</f>
        <v>#N/A</v>
      </c>
      <c r="AH293" s="85" t="e">
        <f>IF(VLOOKUP($AB293,変換表貼り付け用シート!$A$3:$AN$3000,15,FALSE)="","",(VLOOKUP($AB293,変換表貼り付け用シート!$A$3:$AN$3000,15,FALSE)))</f>
        <v>#N/A</v>
      </c>
      <c r="AI293" s="79" t="e">
        <f>IF(VLOOKUP($AB293,変換表貼り付け用シート!$A$3:$AN$3000,16,FALSE)="","",(VLOOKUP($AB293,変換表貼り付け用シート!$A$3:$AN$3000,16,FALSE)))</f>
        <v>#N/A</v>
      </c>
      <c r="AJ293" s="81" t="e">
        <f>IF(VLOOKUP($AB293,変換表貼り付け用シート!$A$3:$AN$3000,17,FALSE)="","",(VLOOKUP($AB293,変換表貼り付け用シート!$A$3:$AN$3000,17,FALSE)))</f>
        <v>#N/A</v>
      </c>
      <c r="AK293" s="88" t="e">
        <f>IF(VLOOKUP($AB293,変換表貼り付け用シート!$A$3:$AN$3000,18,FALSE)="","",(VLOOKUP($AB293,変換表貼り付け用シート!$A$3:$AN$3000,18,FALSE)))</f>
        <v>#N/A</v>
      </c>
      <c r="AL293" s="81" t="e">
        <f>IF(VLOOKUP($AB293,変換表貼り付け用シート!$A$3:$AN$3000,19,FALSE)="","",(VLOOKUP($AB293,変換表貼り付け用シート!$A$3:$AN$3000,19,FALSE)))</f>
        <v>#N/A</v>
      </c>
      <c r="AM293" s="75" t="e">
        <f>IF(VLOOKUP($AB293,変換表貼り付け用シート!$A$3:$AN$3000,20,FALSE)="","",(VLOOKUP($AB293,変換表貼り付け用シート!$A$3:$AN$3000,20,FALSE)))</f>
        <v>#N/A</v>
      </c>
    </row>
    <row r="294" spans="2:39" ht="21" customHeight="1" x14ac:dyDescent="0.35">
      <c r="B294" s="39"/>
      <c r="C294" s="117" t="s">
        <v>998</v>
      </c>
      <c r="D294" s="96" t="s">
        <v>497</v>
      </c>
      <c r="E294" s="27" t="s">
        <v>44</v>
      </c>
      <c r="F294" s="37" t="s">
        <v>45</v>
      </c>
      <c r="G294" s="33" t="s">
        <v>206</v>
      </c>
      <c r="H294" s="27" t="s">
        <v>419</v>
      </c>
      <c r="I294" s="27" t="s">
        <v>206</v>
      </c>
      <c r="J294" s="37" t="s">
        <v>419</v>
      </c>
      <c r="K294" s="39" t="s">
        <v>127</v>
      </c>
      <c r="L294" s="28" t="s">
        <v>156</v>
      </c>
      <c r="M294" s="28" t="s">
        <v>48</v>
      </c>
      <c r="N294" s="41" t="s">
        <v>122</v>
      </c>
      <c r="O294" s="39" t="s">
        <v>57</v>
      </c>
      <c r="P294" s="28"/>
      <c r="Q294" s="28"/>
      <c r="R294" s="41"/>
      <c r="S294" s="39"/>
      <c r="T294" s="41"/>
      <c r="U294" s="39"/>
      <c r="V294" s="41"/>
      <c r="W294" s="43" t="s">
        <v>711</v>
      </c>
      <c r="X294" s="33"/>
      <c r="Y294" s="27"/>
      <c r="Z294" s="29"/>
      <c r="AB294" s="73" t="str">
        <f t="shared" si="8"/>
        <v>性能検討用走行抵抗式(ePT連れ回り排除)熱低温性能A1－</v>
      </c>
      <c r="AC294" s="74" t="e">
        <f>VLOOKUP($AB294,変換表貼り付け用シート!$A$3:$AN$1133,3,FALSE)</f>
        <v>#N/A</v>
      </c>
      <c r="AD294" s="74" t="e">
        <f t="shared" si="9"/>
        <v>#N/A</v>
      </c>
      <c r="AE294" s="79" t="e">
        <f>IF(VLOOKUP($AB294,変換表貼り付け用シート!$A$3:$AN$3000,12,FALSE)="","",(VLOOKUP($AB294,変換表貼り付け用シート!$A$3:$AN$3000,12,FALSE)))</f>
        <v>#N/A</v>
      </c>
      <c r="AF294" s="80" t="e">
        <f>IF(VLOOKUP($AB294,変換表貼り付け用シート!$A$3:$AN$3000,13,FALSE)="","",(VLOOKUP($AB294,変換表貼り付け用シート!$A$3:$AN$3000,13,FALSE)))</f>
        <v>#N/A</v>
      </c>
      <c r="AG294" s="80" t="e">
        <f>IF(VLOOKUP($AB294,変換表貼り付け用シート!$A$3:$AN$3000,14,FALSE)="","",(VLOOKUP($AB294,変換表貼り付け用シート!$A$3:$AN$3000,14,FALSE)))</f>
        <v>#N/A</v>
      </c>
      <c r="AH294" s="85" t="e">
        <f>IF(VLOOKUP($AB294,変換表貼り付け用シート!$A$3:$AN$3000,15,FALSE)="","",(VLOOKUP($AB294,変換表貼り付け用シート!$A$3:$AN$3000,15,FALSE)))</f>
        <v>#N/A</v>
      </c>
      <c r="AI294" s="79" t="e">
        <f>IF(VLOOKUP($AB294,変換表貼り付け用シート!$A$3:$AN$3000,16,FALSE)="","",(VLOOKUP($AB294,変換表貼り付け用シート!$A$3:$AN$3000,16,FALSE)))</f>
        <v>#N/A</v>
      </c>
      <c r="AJ294" s="81" t="e">
        <f>IF(VLOOKUP($AB294,変換表貼り付け用シート!$A$3:$AN$3000,17,FALSE)="","",(VLOOKUP($AB294,変換表貼り付け用シート!$A$3:$AN$3000,17,FALSE)))</f>
        <v>#N/A</v>
      </c>
      <c r="AK294" s="88" t="e">
        <f>IF(VLOOKUP($AB294,変換表貼り付け用シート!$A$3:$AN$3000,18,FALSE)="","",(VLOOKUP($AB294,変換表貼り付け用シート!$A$3:$AN$3000,18,FALSE)))</f>
        <v>#N/A</v>
      </c>
      <c r="AL294" s="81" t="e">
        <f>IF(VLOOKUP($AB294,変換表貼り付け用シート!$A$3:$AN$3000,19,FALSE)="","",(VLOOKUP($AB294,変換表貼り付け用シート!$A$3:$AN$3000,19,FALSE)))</f>
        <v>#N/A</v>
      </c>
      <c r="AM294" s="75" t="e">
        <f>IF(VLOOKUP($AB294,変換表貼り付け用シート!$A$3:$AN$3000,20,FALSE)="","",(VLOOKUP($AB294,変換表貼り付け用シート!$A$3:$AN$3000,20,FALSE)))</f>
        <v>#N/A</v>
      </c>
    </row>
    <row r="295" spans="2:39" ht="21" customHeight="1" x14ac:dyDescent="0.35">
      <c r="B295" s="39"/>
      <c r="C295" s="117" t="s">
        <v>999</v>
      </c>
      <c r="D295" s="96" t="s">
        <v>498</v>
      </c>
      <c r="E295" s="27" t="s">
        <v>44</v>
      </c>
      <c r="F295" s="37" t="s">
        <v>45</v>
      </c>
      <c r="G295" s="33" t="s">
        <v>206</v>
      </c>
      <c r="H295" s="27" t="s">
        <v>419</v>
      </c>
      <c r="I295" s="27" t="s">
        <v>206</v>
      </c>
      <c r="J295" s="37" t="s">
        <v>419</v>
      </c>
      <c r="K295" s="39" t="s">
        <v>127</v>
      </c>
      <c r="L295" s="28" t="s">
        <v>157</v>
      </c>
      <c r="M295" s="28" t="s">
        <v>48</v>
      </c>
      <c r="N295" s="41" t="s">
        <v>124</v>
      </c>
      <c r="O295" s="39" t="s">
        <v>57</v>
      </c>
      <c r="P295" s="28"/>
      <c r="Q295" s="28"/>
      <c r="R295" s="41"/>
      <c r="S295" s="39"/>
      <c r="T295" s="41"/>
      <c r="U295" s="39"/>
      <c r="V295" s="41"/>
      <c r="W295" s="43" t="s">
        <v>711</v>
      </c>
      <c r="X295" s="33"/>
      <c r="Y295" s="27"/>
      <c r="Z295" s="29"/>
      <c r="AB295" s="73" t="str">
        <f t="shared" si="8"/>
        <v>性能検討用走行抵抗式(ePT連れ回り排除)熱低温性能A2－</v>
      </c>
      <c r="AC295" s="74" t="e">
        <f>VLOOKUP($AB295,変換表貼り付け用シート!$A$3:$AN$1133,3,FALSE)</f>
        <v>#N/A</v>
      </c>
      <c r="AD295" s="74" t="e">
        <f t="shared" si="9"/>
        <v>#N/A</v>
      </c>
      <c r="AE295" s="79" t="e">
        <f>IF(VLOOKUP($AB295,変換表貼り付け用シート!$A$3:$AN$3000,12,FALSE)="","",(VLOOKUP($AB295,変換表貼り付け用シート!$A$3:$AN$3000,12,FALSE)))</f>
        <v>#N/A</v>
      </c>
      <c r="AF295" s="80" t="e">
        <f>IF(VLOOKUP($AB295,変換表貼り付け用シート!$A$3:$AN$3000,13,FALSE)="","",(VLOOKUP($AB295,変換表貼り付け用シート!$A$3:$AN$3000,13,FALSE)))</f>
        <v>#N/A</v>
      </c>
      <c r="AG295" s="80" t="e">
        <f>IF(VLOOKUP($AB295,変換表貼り付け用シート!$A$3:$AN$3000,14,FALSE)="","",(VLOOKUP($AB295,変換表貼り付け用シート!$A$3:$AN$3000,14,FALSE)))</f>
        <v>#N/A</v>
      </c>
      <c r="AH295" s="85" t="e">
        <f>IF(VLOOKUP($AB295,変換表貼り付け用シート!$A$3:$AN$3000,15,FALSE)="","",(VLOOKUP($AB295,変換表貼り付け用シート!$A$3:$AN$3000,15,FALSE)))</f>
        <v>#N/A</v>
      </c>
      <c r="AI295" s="79" t="e">
        <f>IF(VLOOKUP($AB295,変換表貼り付け用シート!$A$3:$AN$3000,16,FALSE)="","",(VLOOKUP($AB295,変換表貼り付け用シート!$A$3:$AN$3000,16,FALSE)))</f>
        <v>#N/A</v>
      </c>
      <c r="AJ295" s="81" t="e">
        <f>IF(VLOOKUP($AB295,変換表貼り付け用シート!$A$3:$AN$3000,17,FALSE)="","",(VLOOKUP($AB295,変換表貼り付け用シート!$A$3:$AN$3000,17,FALSE)))</f>
        <v>#N/A</v>
      </c>
      <c r="AK295" s="88" t="e">
        <f>IF(VLOOKUP($AB295,変換表貼り付け用シート!$A$3:$AN$3000,18,FALSE)="","",(VLOOKUP($AB295,変換表貼り付け用シート!$A$3:$AN$3000,18,FALSE)))</f>
        <v>#N/A</v>
      </c>
      <c r="AL295" s="81" t="e">
        <f>IF(VLOOKUP($AB295,変換表貼り付け用シート!$A$3:$AN$3000,19,FALSE)="","",(VLOOKUP($AB295,変換表貼り付け用シート!$A$3:$AN$3000,19,FALSE)))</f>
        <v>#N/A</v>
      </c>
      <c r="AM295" s="75" t="e">
        <f>IF(VLOOKUP($AB295,変換表貼り付け用シート!$A$3:$AN$3000,20,FALSE)="","",(VLOOKUP($AB295,変換表貼り付け用シート!$A$3:$AN$3000,20,FALSE)))</f>
        <v>#N/A</v>
      </c>
    </row>
    <row r="296" spans="2:39" ht="21" customHeight="1" x14ac:dyDescent="0.35">
      <c r="B296" s="39"/>
      <c r="C296" s="117" t="s">
        <v>1000</v>
      </c>
      <c r="D296" s="96" t="s">
        <v>499</v>
      </c>
      <c r="E296" s="27" t="s">
        <v>44</v>
      </c>
      <c r="F296" s="37" t="s">
        <v>45</v>
      </c>
      <c r="G296" s="33" t="s">
        <v>206</v>
      </c>
      <c r="H296" s="27" t="s">
        <v>419</v>
      </c>
      <c r="I296" s="27" t="s">
        <v>206</v>
      </c>
      <c r="J296" s="37" t="s">
        <v>419</v>
      </c>
      <c r="K296" s="39" t="s">
        <v>127</v>
      </c>
      <c r="L296" s="28" t="s">
        <v>158</v>
      </c>
      <c r="M296" s="28" t="s">
        <v>48</v>
      </c>
      <c r="N296" s="41" t="s">
        <v>49</v>
      </c>
      <c r="O296" s="39" t="s">
        <v>57</v>
      </c>
      <c r="P296" s="28"/>
      <c r="Q296" s="28"/>
      <c r="R296" s="41"/>
      <c r="S296" s="39"/>
      <c r="T296" s="41"/>
      <c r="U296" s="39"/>
      <c r="V296" s="41"/>
      <c r="W296" s="43" t="s">
        <v>711</v>
      </c>
      <c r="X296" s="33"/>
      <c r="Y296" s="27"/>
      <c r="Z296" s="29"/>
      <c r="AB296" s="73" t="str">
        <f t="shared" si="8"/>
        <v>性能検討用走行抵抗式(ePT連れ回り排除)熱低温性能IP－</v>
      </c>
      <c r="AC296" s="74" t="e">
        <f>VLOOKUP($AB296,変換表貼り付け用シート!$A$3:$AN$1133,3,FALSE)</f>
        <v>#N/A</v>
      </c>
      <c r="AD296" s="74" t="e">
        <f t="shared" si="9"/>
        <v>#N/A</v>
      </c>
      <c r="AE296" s="79" t="e">
        <f>IF(VLOOKUP($AB296,変換表貼り付け用シート!$A$3:$AN$3000,12,FALSE)="","",(VLOOKUP($AB296,変換表貼り付け用シート!$A$3:$AN$3000,12,FALSE)))</f>
        <v>#N/A</v>
      </c>
      <c r="AF296" s="80" t="e">
        <f>IF(VLOOKUP($AB296,変換表貼り付け用シート!$A$3:$AN$3000,13,FALSE)="","",(VLOOKUP($AB296,変換表貼り付け用シート!$A$3:$AN$3000,13,FALSE)))</f>
        <v>#N/A</v>
      </c>
      <c r="AG296" s="80" t="e">
        <f>IF(VLOOKUP($AB296,変換表貼り付け用シート!$A$3:$AN$3000,14,FALSE)="","",(VLOOKUP($AB296,変換表貼り付け用シート!$A$3:$AN$3000,14,FALSE)))</f>
        <v>#N/A</v>
      </c>
      <c r="AH296" s="85" t="e">
        <f>IF(VLOOKUP($AB296,変換表貼り付け用シート!$A$3:$AN$3000,15,FALSE)="","",(VLOOKUP($AB296,変換表貼り付け用シート!$A$3:$AN$3000,15,FALSE)))</f>
        <v>#N/A</v>
      </c>
      <c r="AI296" s="79" t="e">
        <f>IF(VLOOKUP($AB296,変換表貼り付け用シート!$A$3:$AN$3000,16,FALSE)="","",(VLOOKUP($AB296,変換表貼り付け用シート!$A$3:$AN$3000,16,FALSE)))</f>
        <v>#N/A</v>
      </c>
      <c r="AJ296" s="81" t="e">
        <f>IF(VLOOKUP($AB296,変換表貼り付け用シート!$A$3:$AN$3000,17,FALSE)="","",(VLOOKUP($AB296,変換表貼り付け用シート!$A$3:$AN$3000,17,FALSE)))</f>
        <v>#N/A</v>
      </c>
      <c r="AK296" s="88" t="e">
        <f>IF(VLOOKUP($AB296,変換表貼り付け用シート!$A$3:$AN$3000,18,FALSE)="","",(VLOOKUP($AB296,変換表貼り付け用シート!$A$3:$AN$3000,18,FALSE)))</f>
        <v>#N/A</v>
      </c>
      <c r="AL296" s="81" t="e">
        <f>IF(VLOOKUP($AB296,変換表貼り付け用シート!$A$3:$AN$3000,19,FALSE)="","",(VLOOKUP($AB296,変換表貼り付け用シート!$A$3:$AN$3000,19,FALSE)))</f>
        <v>#N/A</v>
      </c>
      <c r="AM296" s="75" t="e">
        <f>IF(VLOOKUP($AB296,変換表貼り付け用シート!$A$3:$AN$3000,20,FALSE)="","",(VLOOKUP($AB296,変換表貼り付け用シート!$A$3:$AN$3000,20,FALSE)))</f>
        <v>#N/A</v>
      </c>
    </row>
    <row r="297" spans="2:39" ht="21" customHeight="1" x14ac:dyDescent="0.35">
      <c r="B297" s="39"/>
      <c r="C297" s="117" t="s">
        <v>1001</v>
      </c>
      <c r="D297" s="96" t="s">
        <v>500</v>
      </c>
      <c r="E297" s="27" t="s">
        <v>44</v>
      </c>
      <c r="F297" s="37" t="s">
        <v>45</v>
      </c>
      <c r="G297" s="33" t="s">
        <v>206</v>
      </c>
      <c r="H297" s="27" t="s">
        <v>419</v>
      </c>
      <c r="I297" s="27" t="s">
        <v>206</v>
      </c>
      <c r="J297" s="37" t="s">
        <v>419</v>
      </c>
      <c r="K297" s="39" t="s">
        <v>159</v>
      </c>
      <c r="L297" s="28" t="s">
        <v>160</v>
      </c>
      <c r="M297" s="28" t="s">
        <v>48</v>
      </c>
      <c r="N297" s="41" t="s">
        <v>161</v>
      </c>
      <c r="O297" s="39">
        <v>47</v>
      </c>
      <c r="P297" s="28"/>
      <c r="Q297" s="28"/>
      <c r="R297" s="41"/>
      <c r="S297" s="39"/>
      <c r="T297" s="41"/>
      <c r="U297" s="39"/>
      <c r="V297" s="41"/>
      <c r="W297" s="43" t="s">
        <v>711</v>
      </c>
      <c r="X297" s="33"/>
      <c r="Y297" s="27"/>
      <c r="Z297" s="29"/>
      <c r="AB297" s="73" t="str">
        <f t="shared" si="8"/>
        <v>ePT最高システム総合出力(公称）－</v>
      </c>
      <c r="AC297" s="74" t="e">
        <f>VLOOKUP($AB297,変換表貼り付け用シート!$A$3:$AN$1133,3,FALSE)</f>
        <v>#N/A</v>
      </c>
      <c r="AD297" s="74" t="e">
        <f t="shared" si="9"/>
        <v>#N/A</v>
      </c>
      <c r="AE297" s="79" t="e">
        <f>IF(VLOOKUP($AB297,変換表貼り付け用シート!$A$3:$AN$3000,12,FALSE)="","",(VLOOKUP($AB297,変換表貼り付け用シート!$A$3:$AN$3000,12,FALSE)))</f>
        <v>#N/A</v>
      </c>
      <c r="AF297" s="80" t="e">
        <f>IF(VLOOKUP($AB297,変換表貼り付け用シート!$A$3:$AN$3000,13,FALSE)="","",(VLOOKUP($AB297,変換表貼り付け用シート!$A$3:$AN$3000,13,FALSE)))</f>
        <v>#N/A</v>
      </c>
      <c r="AG297" s="80" t="e">
        <f>IF(VLOOKUP($AB297,変換表貼り付け用シート!$A$3:$AN$3000,14,FALSE)="","",(VLOOKUP($AB297,変換表貼り付け用シート!$A$3:$AN$3000,14,FALSE)))</f>
        <v>#N/A</v>
      </c>
      <c r="AH297" s="85" t="e">
        <f>IF(VLOOKUP($AB297,変換表貼り付け用シート!$A$3:$AN$3000,15,FALSE)="","",(VLOOKUP($AB297,変換表貼り付け用シート!$A$3:$AN$3000,15,FALSE)))</f>
        <v>#N/A</v>
      </c>
      <c r="AI297" s="79" t="e">
        <f>IF(VLOOKUP($AB297,変換表貼り付け用シート!$A$3:$AN$3000,16,FALSE)="","",(VLOOKUP($AB297,変換表貼り付け用シート!$A$3:$AN$3000,16,FALSE)))</f>
        <v>#N/A</v>
      </c>
      <c r="AJ297" s="81" t="e">
        <f>IF(VLOOKUP($AB297,変換表貼り付け用シート!$A$3:$AN$3000,17,FALSE)="","",(VLOOKUP($AB297,変換表貼り付け用シート!$A$3:$AN$3000,17,FALSE)))</f>
        <v>#N/A</v>
      </c>
      <c r="AK297" s="88" t="e">
        <f>IF(VLOOKUP($AB297,変換表貼り付け用シート!$A$3:$AN$3000,18,FALSE)="","",(VLOOKUP($AB297,変換表貼り付け用シート!$A$3:$AN$3000,18,FALSE)))</f>
        <v>#N/A</v>
      </c>
      <c r="AL297" s="81" t="e">
        <f>IF(VLOOKUP($AB297,変換表貼り付け用シート!$A$3:$AN$3000,19,FALSE)="","",(VLOOKUP($AB297,変換表貼り付け用シート!$A$3:$AN$3000,19,FALSE)))</f>
        <v>#N/A</v>
      </c>
      <c r="AM297" s="75" t="e">
        <f>IF(VLOOKUP($AB297,変換表貼り付け用シート!$A$3:$AN$3000,20,FALSE)="","",(VLOOKUP($AB297,変換表貼り付け用シート!$A$3:$AN$3000,20,FALSE)))</f>
        <v>#N/A</v>
      </c>
    </row>
    <row r="298" spans="2:39" ht="21" customHeight="1" x14ac:dyDescent="0.35">
      <c r="B298" s="39"/>
      <c r="C298" s="117" t="s">
        <v>1002</v>
      </c>
      <c r="D298" s="96" t="s">
        <v>501</v>
      </c>
      <c r="E298" s="27" t="s">
        <v>44</v>
      </c>
      <c r="F298" s="37" t="s">
        <v>45</v>
      </c>
      <c r="G298" s="33" t="s">
        <v>206</v>
      </c>
      <c r="H298" s="27" t="s">
        <v>419</v>
      </c>
      <c r="I298" s="27" t="s">
        <v>206</v>
      </c>
      <c r="J298" s="37" t="s">
        <v>419</v>
      </c>
      <c r="K298" s="39" t="s">
        <v>159</v>
      </c>
      <c r="L298" s="28" t="s">
        <v>162</v>
      </c>
      <c r="M298" s="28" t="s">
        <v>48</v>
      </c>
      <c r="N298" s="41" t="s">
        <v>78</v>
      </c>
      <c r="O298" s="39">
        <v>1.1044999999999999E-2</v>
      </c>
      <c r="P298" s="28"/>
      <c r="Q298" s="28"/>
      <c r="R298" s="41"/>
      <c r="S298" s="39"/>
      <c r="T298" s="41"/>
      <c r="U298" s="39"/>
      <c r="V298" s="41"/>
      <c r="W298" s="43" t="s">
        <v>711</v>
      </c>
      <c r="X298" s="33"/>
      <c r="Y298" s="27"/>
      <c r="Z298" s="29"/>
      <c r="AB298" s="73" t="str">
        <f t="shared" si="8"/>
        <v>ePTFR MOTイナーシャ－</v>
      </c>
      <c r="AC298" s="74" t="e">
        <f>VLOOKUP($AB298,変換表貼り付け用シート!$A$3:$AN$1133,3,FALSE)</f>
        <v>#N/A</v>
      </c>
      <c r="AD298" s="74" t="e">
        <f t="shared" si="9"/>
        <v>#N/A</v>
      </c>
      <c r="AE298" s="79" t="e">
        <f>IF(VLOOKUP($AB298,変換表貼り付け用シート!$A$3:$AN$3000,12,FALSE)="","",(VLOOKUP($AB298,変換表貼り付け用シート!$A$3:$AN$3000,12,FALSE)))</f>
        <v>#N/A</v>
      </c>
      <c r="AF298" s="80" t="e">
        <f>IF(VLOOKUP($AB298,変換表貼り付け用シート!$A$3:$AN$3000,13,FALSE)="","",(VLOOKUP($AB298,変換表貼り付け用シート!$A$3:$AN$3000,13,FALSE)))</f>
        <v>#N/A</v>
      </c>
      <c r="AG298" s="80" t="e">
        <f>IF(VLOOKUP($AB298,変換表貼り付け用シート!$A$3:$AN$3000,14,FALSE)="","",(VLOOKUP($AB298,変換表貼り付け用シート!$A$3:$AN$3000,14,FALSE)))</f>
        <v>#N/A</v>
      </c>
      <c r="AH298" s="85" t="e">
        <f>IF(VLOOKUP($AB298,変換表貼り付け用シート!$A$3:$AN$3000,15,FALSE)="","",(VLOOKUP($AB298,変換表貼り付け用シート!$A$3:$AN$3000,15,FALSE)))</f>
        <v>#N/A</v>
      </c>
      <c r="AI298" s="79" t="e">
        <f>IF(VLOOKUP($AB298,変換表貼り付け用シート!$A$3:$AN$3000,16,FALSE)="","",(VLOOKUP($AB298,変換表貼り付け用シート!$A$3:$AN$3000,16,FALSE)))</f>
        <v>#N/A</v>
      </c>
      <c r="AJ298" s="81" t="e">
        <f>IF(VLOOKUP($AB298,変換表貼り付け用シート!$A$3:$AN$3000,17,FALSE)="","",(VLOOKUP($AB298,変換表貼り付け用シート!$A$3:$AN$3000,17,FALSE)))</f>
        <v>#N/A</v>
      </c>
      <c r="AK298" s="88" t="e">
        <f>IF(VLOOKUP($AB298,変換表貼り付け用シート!$A$3:$AN$3000,18,FALSE)="","",(VLOOKUP($AB298,変換表貼り付け用シート!$A$3:$AN$3000,18,FALSE)))</f>
        <v>#N/A</v>
      </c>
      <c r="AL298" s="81" t="e">
        <f>IF(VLOOKUP($AB298,変換表貼り付け用シート!$A$3:$AN$3000,19,FALSE)="","",(VLOOKUP($AB298,変換表貼り付け用シート!$A$3:$AN$3000,19,FALSE)))</f>
        <v>#N/A</v>
      </c>
      <c r="AM298" s="75" t="e">
        <f>IF(VLOOKUP($AB298,変換表貼り付け用シート!$A$3:$AN$3000,20,FALSE)="","",(VLOOKUP($AB298,変換表貼り付け用シート!$A$3:$AN$3000,20,FALSE)))</f>
        <v>#N/A</v>
      </c>
    </row>
    <row r="299" spans="2:39" ht="21" customHeight="1" x14ac:dyDescent="0.35">
      <c r="B299" s="39"/>
      <c r="C299" s="117" t="s">
        <v>1003</v>
      </c>
      <c r="D299" s="96" t="s">
        <v>502</v>
      </c>
      <c r="E299" s="27" t="s">
        <v>44</v>
      </c>
      <c r="F299" s="37" t="s">
        <v>45</v>
      </c>
      <c r="G299" s="33" t="s">
        <v>206</v>
      </c>
      <c r="H299" s="27" t="s">
        <v>419</v>
      </c>
      <c r="I299" s="27" t="s">
        <v>206</v>
      </c>
      <c r="J299" s="37" t="s">
        <v>419</v>
      </c>
      <c r="K299" s="39" t="s">
        <v>159</v>
      </c>
      <c r="L299" s="28" t="s">
        <v>163</v>
      </c>
      <c r="M299" s="28" t="s">
        <v>48</v>
      </c>
      <c r="N299" s="41" t="s">
        <v>78</v>
      </c>
      <c r="O299" s="39" t="s">
        <v>164</v>
      </c>
      <c r="P299" s="28"/>
      <c r="Q299" s="28"/>
      <c r="R299" s="41"/>
      <c r="S299" s="39"/>
      <c r="T299" s="41"/>
      <c r="U299" s="39"/>
      <c r="V299" s="41"/>
      <c r="W299" s="43" t="s">
        <v>711</v>
      </c>
      <c r="X299" s="33"/>
      <c r="Y299" s="27"/>
      <c r="Z299" s="29"/>
      <c r="AB299" s="73" t="str">
        <f t="shared" si="8"/>
        <v>ePTFR GBイナーシャ－</v>
      </c>
      <c r="AC299" s="74" t="e">
        <f>VLOOKUP($AB299,変換表貼り付け用シート!$A$3:$AN$1133,3,FALSE)</f>
        <v>#N/A</v>
      </c>
      <c r="AD299" s="74" t="e">
        <f t="shared" si="9"/>
        <v>#N/A</v>
      </c>
      <c r="AE299" s="79" t="e">
        <f>IF(VLOOKUP($AB299,変換表貼り付け用シート!$A$3:$AN$3000,12,FALSE)="","",(VLOOKUP($AB299,変換表貼り付け用シート!$A$3:$AN$3000,12,FALSE)))</f>
        <v>#N/A</v>
      </c>
      <c r="AF299" s="80" t="e">
        <f>IF(VLOOKUP($AB299,変換表貼り付け用シート!$A$3:$AN$3000,13,FALSE)="","",(VLOOKUP($AB299,変換表貼り付け用シート!$A$3:$AN$3000,13,FALSE)))</f>
        <v>#N/A</v>
      </c>
      <c r="AG299" s="80" t="e">
        <f>IF(VLOOKUP($AB299,変換表貼り付け用シート!$A$3:$AN$3000,14,FALSE)="","",(VLOOKUP($AB299,変換表貼り付け用シート!$A$3:$AN$3000,14,FALSE)))</f>
        <v>#N/A</v>
      </c>
      <c r="AH299" s="85" t="e">
        <f>IF(VLOOKUP($AB299,変換表貼り付け用シート!$A$3:$AN$3000,15,FALSE)="","",(VLOOKUP($AB299,変換表貼り付け用シート!$A$3:$AN$3000,15,FALSE)))</f>
        <v>#N/A</v>
      </c>
      <c r="AI299" s="79" t="e">
        <f>IF(VLOOKUP($AB299,変換表貼り付け用シート!$A$3:$AN$3000,16,FALSE)="","",(VLOOKUP($AB299,変換表貼り付け用シート!$A$3:$AN$3000,16,FALSE)))</f>
        <v>#N/A</v>
      </c>
      <c r="AJ299" s="81" t="e">
        <f>IF(VLOOKUP($AB299,変換表貼り付け用シート!$A$3:$AN$3000,17,FALSE)="","",(VLOOKUP($AB299,変換表貼り付け用シート!$A$3:$AN$3000,17,FALSE)))</f>
        <v>#N/A</v>
      </c>
      <c r="AK299" s="88" t="e">
        <f>IF(VLOOKUP($AB299,変換表貼り付け用シート!$A$3:$AN$3000,18,FALSE)="","",(VLOOKUP($AB299,変換表貼り付け用シート!$A$3:$AN$3000,18,FALSE)))</f>
        <v>#N/A</v>
      </c>
      <c r="AL299" s="81" t="e">
        <f>IF(VLOOKUP($AB299,変換表貼り付け用シート!$A$3:$AN$3000,19,FALSE)="","",(VLOOKUP($AB299,変換表貼り付け用シート!$A$3:$AN$3000,19,FALSE)))</f>
        <v>#N/A</v>
      </c>
      <c r="AM299" s="75" t="e">
        <f>IF(VLOOKUP($AB299,変換表貼り付け用シート!$A$3:$AN$3000,20,FALSE)="","",(VLOOKUP($AB299,変換表貼り付け用シート!$A$3:$AN$3000,20,FALSE)))</f>
        <v>#N/A</v>
      </c>
    </row>
    <row r="300" spans="2:39" ht="21" customHeight="1" x14ac:dyDescent="0.35">
      <c r="B300" s="39"/>
      <c r="C300" s="117" t="s">
        <v>1004</v>
      </c>
      <c r="D300" s="96" t="s">
        <v>503</v>
      </c>
      <c r="E300" s="27" t="s">
        <v>44</v>
      </c>
      <c r="F300" s="37" t="s">
        <v>45</v>
      </c>
      <c r="G300" s="33" t="s">
        <v>206</v>
      </c>
      <c r="H300" s="27" t="s">
        <v>419</v>
      </c>
      <c r="I300" s="27" t="s">
        <v>206</v>
      </c>
      <c r="J300" s="37" t="s">
        <v>419</v>
      </c>
      <c r="K300" s="39" t="s">
        <v>159</v>
      </c>
      <c r="L300" s="28" t="s">
        <v>165</v>
      </c>
      <c r="M300" s="28" t="s">
        <v>48</v>
      </c>
      <c r="N300" s="41" t="s">
        <v>78</v>
      </c>
      <c r="O300" s="39" t="s">
        <v>57</v>
      </c>
      <c r="P300" s="28"/>
      <c r="Q300" s="28"/>
      <c r="R300" s="41"/>
      <c r="S300" s="39"/>
      <c r="T300" s="41"/>
      <c r="U300" s="39"/>
      <c r="V300" s="41"/>
      <c r="W300" s="43" t="s">
        <v>711</v>
      </c>
      <c r="X300" s="33"/>
      <c r="Y300" s="27"/>
      <c r="Z300" s="29"/>
      <c r="AB300" s="73" t="str">
        <f t="shared" si="8"/>
        <v>ePTRR MOTイナーシャ－</v>
      </c>
      <c r="AC300" s="74" t="e">
        <f>VLOOKUP($AB300,変換表貼り付け用シート!$A$3:$AN$1133,3,FALSE)</f>
        <v>#N/A</v>
      </c>
      <c r="AD300" s="74" t="e">
        <f t="shared" si="9"/>
        <v>#N/A</v>
      </c>
      <c r="AE300" s="79" t="e">
        <f>IF(VLOOKUP($AB300,変換表貼り付け用シート!$A$3:$AN$3000,12,FALSE)="","",(VLOOKUP($AB300,変換表貼り付け用シート!$A$3:$AN$3000,12,FALSE)))</f>
        <v>#N/A</v>
      </c>
      <c r="AF300" s="80" t="e">
        <f>IF(VLOOKUP($AB300,変換表貼り付け用シート!$A$3:$AN$3000,13,FALSE)="","",(VLOOKUP($AB300,変換表貼り付け用シート!$A$3:$AN$3000,13,FALSE)))</f>
        <v>#N/A</v>
      </c>
      <c r="AG300" s="80" t="e">
        <f>IF(VLOOKUP($AB300,変換表貼り付け用シート!$A$3:$AN$3000,14,FALSE)="","",(VLOOKUP($AB300,変換表貼り付け用シート!$A$3:$AN$3000,14,FALSE)))</f>
        <v>#N/A</v>
      </c>
      <c r="AH300" s="85" t="e">
        <f>IF(VLOOKUP($AB300,変換表貼り付け用シート!$A$3:$AN$3000,15,FALSE)="","",(VLOOKUP($AB300,変換表貼り付け用シート!$A$3:$AN$3000,15,FALSE)))</f>
        <v>#N/A</v>
      </c>
      <c r="AI300" s="79" t="e">
        <f>IF(VLOOKUP($AB300,変換表貼り付け用シート!$A$3:$AN$3000,16,FALSE)="","",(VLOOKUP($AB300,変換表貼り付け用シート!$A$3:$AN$3000,16,FALSE)))</f>
        <v>#N/A</v>
      </c>
      <c r="AJ300" s="81" t="e">
        <f>IF(VLOOKUP($AB300,変換表貼り付け用シート!$A$3:$AN$3000,17,FALSE)="","",(VLOOKUP($AB300,変換表貼り付け用シート!$A$3:$AN$3000,17,FALSE)))</f>
        <v>#N/A</v>
      </c>
      <c r="AK300" s="88" t="e">
        <f>IF(VLOOKUP($AB300,変換表貼り付け用シート!$A$3:$AN$3000,18,FALSE)="","",(VLOOKUP($AB300,変換表貼り付け用シート!$A$3:$AN$3000,18,FALSE)))</f>
        <v>#N/A</v>
      </c>
      <c r="AL300" s="81" t="e">
        <f>IF(VLOOKUP($AB300,変換表貼り付け用シート!$A$3:$AN$3000,19,FALSE)="","",(VLOOKUP($AB300,変換表貼り付け用シート!$A$3:$AN$3000,19,FALSE)))</f>
        <v>#N/A</v>
      </c>
      <c r="AM300" s="75" t="e">
        <f>IF(VLOOKUP($AB300,変換表貼り付け用シート!$A$3:$AN$3000,20,FALSE)="","",(VLOOKUP($AB300,変換表貼り付け用シート!$A$3:$AN$3000,20,FALSE)))</f>
        <v>#N/A</v>
      </c>
    </row>
    <row r="301" spans="2:39" ht="21" customHeight="1" x14ac:dyDescent="0.35">
      <c r="B301" s="39"/>
      <c r="C301" s="117" t="s">
        <v>1005</v>
      </c>
      <c r="D301" s="96" t="s">
        <v>504</v>
      </c>
      <c r="E301" s="27" t="s">
        <v>44</v>
      </c>
      <c r="F301" s="37" t="s">
        <v>45</v>
      </c>
      <c r="G301" s="33" t="s">
        <v>206</v>
      </c>
      <c r="H301" s="27" t="s">
        <v>419</v>
      </c>
      <c r="I301" s="27" t="s">
        <v>206</v>
      </c>
      <c r="J301" s="37" t="s">
        <v>419</v>
      </c>
      <c r="K301" s="39" t="s">
        <v>159</v>
      </c>
      <c r="L301" s="28" t="s">
        <v>166</v>
      </c>
      <c r="M301" s="28" t="s">
        <v>48</v>
      </c>
      <c r="N301" s="41" t="s">
        <v>78</v>
      </c>
      <c r="O301" s="39" t="s">
        <v>53</v>
      </c>
      <c r="P301" s="28"/>
      <c r="Q301" s="28"/>
      <c r="R301" s="41"/>
      <c r="S301" s="39"/>
      <c r="T301" s="41"/>
      <c r="U301" s="39"/>
      <c r="V301" s="41"/>
      <c r="W301" s="43" t="s">
        <v>711</v>
      </c>
      <c r="X301" s="33"/>
      <c r="Y301" s="27"/>
      <c r="Z301" s="29"/>
      <c r="AB301" s="73" t="str">
        <f t="shared" si="8"/>
        <v>ePTRR GBイナーシャ－</v>
      </c>
      <c r="AC301" s="74" t="e">
        <f>VLOOKUP($AB301,変換表貼り付け用シート!$A$3:$AN$1133,3,FALSE)</f>
        <v>#N/A</v>
      </c>
      <c r="AD301" s="74" t="e">
        <f t="shared" si="9"/>
        <v>#N/A</v>
      </c>
      <c r="AE301" s="79" t="e">
        <f>IF(VLOOKUP($AB301,変換表貼り付け用シート!$A$3:$AN$3000,12,FALSE)="","",(VLOOKUP($AB301,変換表貼り付け用シート!$A$3:$AN$3000,12,FALSE)))</f>
        <v>#N/A</v>
      </c>
      <c r="AF301" s="80" t="e">
        <f>IF(VLOOKUP($AB301,変換表貼り付け用シート!$A$3:$AN$3000,13,FALSE)="","",(VLOOKUP($AB301,変換表貼り付け用シート!$A$3:$AN$3000,13,FALSE)))</f>
        <v>#N/A</v>
      </c>
      <c r="AG301" s="80" t="e">
        <f>IF(VLOOKUP($AB301,変換表貼り付け用シート!$A$3:$AN$3000,14,FALSE)="","",(VLOOKUP($AB301,変換表貼り付け用シート!$A$3:$AN$3000,14,FALSE)))</f>
        <v>#N/A</v>
      </c>
      <c r="AH301" s="85" t="e">
        <f>IF(VLOOKUP($AB301,変換表貼り付け用シート!$A$3:$AN$3000,15,FALSE)="","",(VLOOKUP($AB301,変換表貼り付け用シート!$A$3:$AN$3000,15,FALSE)))</f>
        <v>#N/A</v>
      </c>
      <c r="AI301" s="79" t="e">
        <f>IF(VLOOKUP($AB301,変換表貼り付け用シート!$A$3:$AN$3000,16,FALSE)="","",(VLOOKUP($AB301,変換表貼り付け用シート!$A$3:$AN$3000,16,FALSE)))</f>
        <v>#N/A</v>
      </c>
      <c r="AJ301" s="81" t="e">
        <f>IF(VLOOKUP($AB301,変換表貼り付け用シート!$A$3:$AN$3000,17,FALSE)="","",(VLOOKUP($AB301,変換表貼り付け用シート!$A$3:$AN$3000,17,FALSE)))</f>
        <v>#N/A</v>
      </c>
      <c r="AK301" s="88" t="e">
        <f>IF(VLOOKUP($AB301,変換表貼り付け用シート!$A$3:$AN$3000,18,FALSE)="","",(VLOOKUP($AB301,変換表貼り付け用シート!$A$3:$AN$3000,18,FALSE)))</f>
        <v>#N/A</v>
      </c>
      <c r="AL301" s="81" t="e">
        <f>IF(VLOOKUP($AB301,変換表貼り付け用シート!$A$3:$AN$3000,19,FALSE)="","",(VLOOKUP($AB301,変換表貼り付け用シート!$A$3:$AN$3000,19,FALSE)))</f>
        <v>#N/A</v>
      </c>
      <c r="AM301" s="75" t="e">
        <f>IF(VLOOKUP($AB301,変換表貼り付け用シート!$A$3:$AN$3000,20,FALSE)="","",(VLOOKUP($AB301,変換表貼り付け用シート!$A$3:$AN$3000,20,FALSE)))</f>
        <v>#N/A</v>
      </c>
    </row>
    <row r="302" spans="2:39" ht="21" customHeight="1" x14ac:dyDescent="0.35">
      <c r="B302" s="39"/>
      <c r="C302" s="117" t="s">
        <v>1006</v>
      </c>
      <c r="D302" s="96" t="s">
        <v>505</v>
      </c>
      <c r="E302" s="27" t="s">
        <v>44</v>
      </c>
      <c r="F302" s="37" t="s">
        <v>45</v>
      </c>
      <c r="G302" s="33" t="s">
        <v>206</v>
      </c>
      <c r="H302" s="27" t="s">
        <v>419</v>
      </c>
      <c r="I302" s="27" t="s">
        <v>206</v>
      </c>
      <c r="J302" s="37" t="s">
        <v>419</v>
      </c>
      <c r="K302" s="39" t="s">
        <v>159</v>
      </c>
      <c r="L302" s="28" t="s">
        <v>167</v>
      </c>
      <c r="M302" s="28" t="s">
        <v>48</v>
      </c>
      <c r="N302" s="41" t="s">
        <v>168</v>
      </c>
      <c r="O302" s="39">
        <v>135</v>
      </c>
      <c r="P302" s="28"/>
      <c r="Q302" s="28"/>
      <c r="R302" s="41"/>
      <c r="S302" s="39"/>
      <c r="T302" s="41"/>
      <c r="U302" s="39"/>
      <c r="V302" s="41"/>
      <c r="W302" s="43" t="s">
        <v>711</v>
      </c>
      <c r="X302" s="33"/>
      <c r="Y302" s="27"/>
      <c r="Z302" s="29"/>
      <c r="AB302" s="73" t="str">
        <f t="shared" si="8"/>
        <v>ePTFR MOT制限設定トルク上限(第一象限)－</v>
      </c>
      <c r="AC302" s="74" t="e">
        <f>VLOOKUP($AB302,変換表貼り付け用シート!$A$3:$AN$1133,3,FALSE)</f>
        <v>#N/A</v>
      </c>
      <c r="AD302" s="74" t="e">
        <f t="shared" si="9"/>
        <v>#N/A</v>
      </c>
      <c r="AE302" s="79" t="e">
        <f>IF(VLOOKUP($AB302,変換表貼り付け用シート!$A$3:$AN$3000,12,FALSE)="","",(VLOOKUP($AB302,変換表貼り付け用シート!$A$3:$AN$3000,12,FALSE)))</f>
        <v>#N/A</v>
      </c>
      <c r="AF302" s="80" t="e">
        <f>IF(VLOOKUP($AB302,変換表貼り付け用シート!$A$3:$AN$3000,13,FALSE)="","",(VLOOKUP($AB302,変換表貼り付け用シート!$A$3:$AN$3000,13,FALSE)))</f>
        <v>#N/A</v>
      </c>
      <c r="AG302" s="80" t="e">
        <f>IF(VLOOKUP($AB302,変換表貼り付け用シート!$A$3:$AN$3000,14,FALSE)="","",(VLOOKUP($AB302,変換表貼り付け用シート!$A$3:$AN$3000,14,FALSE)))</f>
        <v>#N/A</v>
      </c>
      <c r="AH302" s="85" t="e">
        <f>IF(VLOOKUP($AB302,変換表貼り付け用シート!$A$3:$AN$3000,15,FALSE)="","",(VLOOKUP($AB302,変換表貼り付け用シート!$A$3:$AN$3000,15,FALSE)))</f>
        <v>#N/A</v>
      </c>
      <c r="AI302" s="79" t="e">
        <f>IF(VLOOKUP($AB302,変換表貼り付け用シート!$A$3:$AN$3000,16,FALSE)="","",(VLOOKUP($AB302,変換表貼り付け用シート!$A$3:$AN$3000,16,FALSE)))</f>
        <v>#N/A</v>
      </c>
      <c r="AJ302" s="81" t="e">
        <f>IF(VLOOKUP($AB302,変換表貼り付け用シート!$A$3:$AN$3000,17,FALSE)="","",(VLOOKUP($AB302,変換表貼り付け用シート!$A$3:$AN$3000,17,FALSE)))</f>
        <v>#N/A</v>
      </c>
      <c r="AK302" s="88" t="e">
        <f>IF(VLOOKUP($AB302,変換表貼り付け用シート!$A$3:$AN$3000,18,FALSE)="","",(VLOOKUP($AB302,変換表貼り付け用シート!$A$3:$AN$3000,18,FALSE)))</f>
        <v>#N/A</v>
      </c>
      <c r="AL302" s="81" t="e">
        <f>IF(VLOOKUP($AB302,変換表貼り付け用シート!$A$3:$AN$3000,19,FALSE)="","",(VLOOKUP($AB302,変換表貼り付け用シート!$A$3:$AN$3000,19,FALSE)))</f>
        <v>#N/A</v>
      </c>
      <c r="AM302" s="75" t="e">
        <f>IF(VLOOKUP($AB302,変換表貼り付け用シート!$A$3:$AN$3000,20,FALSE)="","",(VLOOKUP($AB302,変換表貼り付け用シート!$A$3:$AN$3000,20,FALSE)))</f>
        <v>#N/A</v>
      </c>
    </row>
    <row r="303" spans="2:39" ht="21" customHeight="1" x14ac:dyDescent="0.35">
      <c r="B303" s="39"/>
      <c r="C303" s="117" t="s">
        <v>1007</v>
      </c>
      <c r="D303" s="96" t="s">
        <v>506</v>
      </c>
      <c r="E303" s="27" t="s">
        <v>44</v>
      </c>
      <c r="F303" s="37" t="s">
        <v>45</v>
      </c>
      <c r="G303" s="33" t="s">
        <v>206</v>
      </c>
      <c r="H303" s="27" t="s">
        <v>419</v>
      </c>
      <c r="I303" s="27" t="s">
        <v>206</v>
      </c>
      <c r="J303" s="37" t="s">
        <v>419</v>
      </c>
      <c r="K303" s="39" t="s">
        <v>159</v>
      </c>
      <c r="L303" s="28" t="s">
        <v>169</v>
      </c>
      <c r="M303" s="28" t="s">
        <v>48</v>
      </c>
      <c r="N303" s="41" t="s">
        <v>168</v>
      </c>
      <c r="O303" s="39">
        <v>-135</v>
      </c>
      <c r="P303" s="28"/>
      <c r="Q303" s="28"/>
      <c r="R303" s="41"/>
      <c r="S303" s="39"/>
      <c r="T303" s="41"/>
      <c r="U303" s="39"/>
      <c r="V303" s="41"/>
      <c r="W303" s="43" t="s">
        <v>711</v>
      </c>
      <c r="X303" s="33"/>
      <c r="Y303" s="27"/>
      <c r="Z303" s="29"/>
      <c r="AB303" s="73" t="str">
        <f t="shared" si="8"/>
        <v>ePTFR MOT制限設定トルク下限(第四象限)－</v>
      </c>
      <c r="AC303" s="74" t="e">
        <f>VLOOKUP($AB303,変換表貼り付け用シート!$A$3:$AN$1133,3,FALSE)</f>
        <v>#N/A</v>
      </c>
      <c r="AD303" s="74" t="e">
        <f t="shared" si="9"/>
        <v>#N/A</v>
      </c>
      <c r="AE303" s="79" t="e">
        <f>IF(VLOOKUP($AB303,変換表貼り付け用シート!$A$3:$AN$3000,12,FALSE)="","",(VLOOKUP($AB303,変換表貼り付け用シート!$A$3:$AN$3000,12,FALSE)))</f>
        <v>#N/A</v>
      </c>
      <c r="AF303" s="80" t="e">
        <f>IF(VLOOKUP($AB303,変換表貼り付け用シート!$A$3:$AN$3000,13,FALSE)="","",(VLOOKUP($AB303,変換表貼り付け用シート!$A$3:$AN$3000,13,FALSE)))</f>
        <v>#N/A</v>
      </c>
      <c r="AG303" s="80" t="e">
        <f>IF(VLOOKUP($AB303,変換表貼り付け用シート!$A$3:$AN$3000,14,FALSE)="","",(VLOOKUP($AB303,変換表貼り付け用シート!$A$3:$AN$3000,14,FALSE)))</f>
        <v>#N/A</v>
      </c>
      <c r="AH303" s="85" t="e">
        <f>IF(VLOOKUP($AB303,変換表貼り付け用シート!$A$3:$AN$3000,15,FALSE)="","",(VLOOKUP($AB303,変換表貼り付け用シート!$A$3:$AN$3000,15,FALSE)))</f>
        <v>#N/A</v>
      </c>
      <c r="AI303" s="79" t="e">
        <f>IF(VLOOKUP($AB303,変換表貼り付け用シート!$A$3:$AN$3000,16,FALSE)="","",(VLOOKUP($AB303,変換表貼り付け用シート!$A$3:$AN$3000,16,FALSE)))</f>
        <v>#N/A</v>
      </c>
      <c r="AJ303" s="81" t="e">
        <f>IF(VLOOKUP($AB303,変換表貼り付け用シート!$A$3:$AN$3000,17,FALSE)="","",(VLOOKUP($AB303,変換表貼り付け用シート!$A$3:$AN$3000,17,FALSE)))</f>
        <v>#N/A</v>
      </c>
      <c r="AK303" s="88" t="e">
        <f>IF(VLOOKUP($AB303,変換表貼り付け用シート!$A$3:$AN$3000,18,FALSE)="","",(VLOOKUP($AB303,変換表貼り付け用シート!$A$3:$AN$3000,18,FALSE)))</f>
        <v>#N/A</v>
      </c>
      <c r="AL303" s="81" t="e">
        <f>IF(VLOOKUP($AB303,変換表貼り付け用シート!$A$3:$AN$3000,19,FALSE)="","",(VLOOKUP($AB303,変換表貼り付け用シート!$A$3:$AN$3000,19,FALSE)))</f>
        <v>#N/A</v>
      </c>
      <c r="AM303" s="75" t="e">
        <f>IF(VLOOKUP($AB303,変換表貼り付け用シート!$A$3:$AN$3000,20,FALSE)="","",(VLOOKUP($AB303,変換表貼り付け用シート!$A$3:$AN$3000,20,FALSE)))</f>
        <v>#N/A</v>
      </c>
    </row>
    <row r="304" spans="2:39" ht="21" customHeight="1" x14ac:dyDescent="0.35">
      <c r="B304" s="39"/>
      <c r="C304" s="117" t="s">
        <v>1008</v>
      </c>
      <c r="D304" s="96" t="s">
        <v>507</v>
      </c>
      <c r="E304" s="27" t="s">
        <v>44</v>
      </c>
      <c r="F304" s="37" t="s">
        <v>45</v>
      </c>
      <c r="G304" s="33" t="s">
        <v>206</v>
      </c>
      <c r="H304" s="27" t="s">
        <v>419</v>
      </c>
      <c r="I304" s="27" t="s">
        <v>206</v>
      </c>
      <c r="J304" s="37" t="s">
        <v>419</v>
      </c>
      <c r="K304" s="39" t="s">
        <v>159</v>
      </c>
      <c r="L304" s="28" t="s">
        <v>170</v>
      </c>
      <c r="M304" s="28" t="s">
        <v>48</v>
      </c>
      <c r="N304" s="41" t="s">
        <v>48</v>
      </c>
      <c r="O304" s="39">
        <v>12.728</v>
      </c>
      <c r="P304" s="28"/>
      <c r="Q304" s="28"/>
      <c r="R304" s="41"/>
      <c r="S304" s="39"/>
      <c r="T304" s="41"/>
      <c r="U304" s="39"/>
      <c r="V304" s="41"/>
      <c r="W304" s="43" t="s">
        <v>711</v>
      </c>
      <c r="X304" s="33"/>
      <c r="Y304" s="27"/>
      <c r="Z304" s="29"/>
      <c r="AB304" s="73" t="str">
        <f t="shared" si="8"/>
        <v>ePTFR GB減速比－</v>
      </c>
      <c r="AC304" s="74" t="e">
        <f>VLOOKUP($AB304,変換表貼り付け用シート!$A$3:$AN$1133,3,FALSE)</f>
        <v>#N/A</v>
      </c>
      <c r="AD304" s="74" t="e">
        <f t="shared" si="9"/>
        <v>#N/A</v>
      </c>
      <c r="AE304" s="79" t="e">
        <f>IF(VLOOKUP($AB304,変換表貼り付け用シート!$A$3:$AN$3000,12,FALSE)="","",(VLOOKUP($AB304,変換表貼り付け用シート!$A$3:$AN$3000,12,FALSE)))</f>
        <v>#N/A</v>
      </c>
      <c r="AF304" s="80" t="e">
        <f>IF(VLOOKUP($AB304,変換表貼り付け用シート!$A$3:$AN$3000,13,FALSE)="","",(VLOOKUP($AB304,変換表貼り付け用シート!$A$3:$AN$3000,13,FALSE)))</f>
        <v>#N/A</v>
      </c>
      <c r="AG304" s="80" t="e">
        <f>IF(VLOOKUP($AB304,変換表貼り付け用シート!$A$3:$AN$3000,14,FALSE)="","",(VLOOKUP($AB304,変換表貼り付け用シート!$A$3:$AN$3000,14,FALSE)))</f>
        <v>#N/A</v>
      </c>
      <c r="AH304" s="85" t="e">
        <f>IF(VLOOKUP($AB304,変換表貼り付け用シート!$A$3:$AN$3000,15,FALSE)="","",(VLOOKUP($AB304,変換表貼り付け用シート!$A$3:$AN$3000,15,FALSE)))</f>
        <v>#N/A</v>
      </c>
      <c r="AI304" s="79" t="e">
        <f>IF(VLOOKUP($AB304,変換表貼り付け用シート!$A$3:$AN$3000,16,FALSE)="","",(VLOOKUP($AB304,変換表貼り付け用シート!$A$3:$AN$3000,16,FALSE)))</f>
        <v>#N/A</v>
      </c>
      <c r="AJ304" s="81" t="e">
        <f>IF(VLOOKUP($AB304,変換表貼り付け用シート!$A$3:$AN$3000,17,FALSE)="","",(VLOOKUP($AB304,変換表貼り付け用シート!$A$3:$AN$3000,17,FALSE)))</f>
        <v>#N/A</v>
      </c>
      <c r="AK304" s="88" t="e">
        <f>IF(VLOOKUP($AB304,変換表貼り付け用シート!$A$3:$AN$3000,18,FALSE)="","",(VLOOKUP($AB304,変換表貼り付け用シート!$A$3:$AN$3000,18,FALSE)))</f>
        <v>#N/A</v>
      </c>
      <c r="AL304" s="81" t="e">
        <f>IF(VLOOKUP($AB304,変換表貼り付け用シート!$A$3:$AN$3000,19,FALSE)="","",(VLOOKUP($AB304,変換表貼り付け用シート!$A$3:$AN$3000,19,FALSE)))</f>
        <v>#N/A</v>
      </c>
      <c r="AM304" s="75" t="e">
        <f>IF(VLOOKUP($AB304,変換表貼り付け用シート!$A$3:$AN$3000,20,FALSE)="","",(VLOOKUP($AB304,変換表貼り付け用シート!$A$3:$AN$3000,20,FALSE)))</f>
        <v>#N/A</v>
      </c>
    </row>
    <row r="305" spans="2:39" ht="21" customHeight="1" x14ac:dyDescent="0.35">
      <c r="B305" s="39"/>
      <c r="C305" s="117" t="s">
        <v>1009</v>
      </c>
      <c r="D305" s="96" t="s">
        <v>508</v>
      </c>
      <c r="E305" s="27" t="s">
        <v>44</v>
      </c>
      <c r="F305" s="37" t="s">
        <v>45</v>
      </c>
      <c r="G305" s="33" t="s">
        <v>206</v>
      </c>
      <c r="H305" s="27" t="s">
        <v>419</v>
      </c>
      <c r="I305" s="27" t="s">
        <v>206</v>
      </c>
      <c r="J305" s="37" t="s">
        <v>419</v>
      </c>
      <c r="K305" s="39" t="s">
        <v>159</v>
      </c>
      <c r="L305" s="28" t="s">
        <v>171</v>
      </c>
      <c r="M305" s="28" t="s">
        <v>48</v>
      </c>
      <c r="N305" s="41" t="s">
        <v>168</v>
      </c>
      <c r="O305" s="39" t="s">
        <v>53</v>
      </c>
      <c r="P305" s="28"/>
      <c r="Q305" s="28"/>
      <c r="R305" s="41"/>
      <c r="S305" s="39"/>
      <c r="T305" s="41"/>
      <c r="U305" s="39"/>
      <c r="V305" s="41"/>
      <c r="W305" s="43" t="s">
        <v>711</v>
      </c>
      <c r="X305" s="33"/>
      <c r="Y305" s="27"/>
      <c r="Z305" s="29"/>
      <c r="AB305" s="73" t="str">
        <f t="shared" si="8"/>
        <v>ePTRR MOT制限設定トルク上限(第一象限)－</v>
      </c>
      <c r="AC305" s="74" t="e">
        <f>VLOOKUP($AB305,変換表貼り付け用シート!$A$3:$AN$1133,3,FALSE)</f>
        <v>#N/A</v>
      </c>
      <c r="AD305" s="74" t="e">
        <f t="shared" si="9"/>
        <v>#N/A</v>
      </c>
      <c r="AE305" s="79" t="e">
        <f>IF(VLOOKUP($AB305,変換表貼り付け用シート!$A$3:$AN$3000,12,FALSE)="","",(VLOOKUP($AB305,変換表貼り付け用シート!$A$3:$AN$3000,12,FALSE)))</f>
        <v>#N/A</v>
      </c>
      <c r="AF305" s="80" t="e">
        <f>IF(VLOOKUP($AB305,変換表貼り付け用シート!$A$3:$AN$3000,13,FALSE)="","",(VLOOKUP($AB305,変換表貼り付け用シート!$A$3:$AN$3000,13,FALSE)))</f>
        <v>#N/A</v>
      </c>
      <c r="AG305" s="80" t="e">
        <f>IF(VLOOKUP($AB305,変換表貼り付け用シート!$A$3:$AN$3000,14,FALSE)="","",(VLOOKUP($AB305,変換表貼り付け用シート!$A$3:$AN$3000,14,FALSE)))</f>
        <v>#N/A</v>
      </c>
      <c r="AH305" s="85" t="e">
        <f>IF(VLOOKUP($AB305,変換表貼り付け用シート!$A$3:$AN$3000,15,FALSE)="","",(VLOOKUP($AB305,変換表貼り付け用シート!$A$3:$AN$3000,15,FALSE)))</f>
        <v>#N/A</v>
      </c>
      <c r="AI305" s="79" t="e">
        <f>IF(VLOOKUP($AB305,変換表貼り付け用シート!$A$3:$AN$3000,16,FALSE)="","",(VLOOKUP($AB305,変換表貼り付け用シート!$A$3:$AN$3000,16,FALSE)))</f>
        <v>#N/A</v>
      </c>
      <c r="AJ305" s="81" t="e">
        <f>IF(VLOOKUP($AB305,変換表貼り付け用シート!$A$3:$AN$3000,17,FALSE)="","",(VLOOKUP($AB305,変換表貼り付け用シート!$A$3:$AN$3000,17,FALSE)))</f>
        <v>#N/A</v>
      </c>
      <c r="AK305" s="88" t="e">
        <f>IF(VLOOKUP($AB305,変換表貼り付け用シート!$A$3:$AN$3000,18,FALSE)="","",(VLOOKUP($AB305,変換表貼り付け用シート!$A$3:$AN$3000,18,FALSE)))</f>
        <v>#N/A</v>
      </c>
      <c r="AL305" s="81" t="e">
        <f>IF(VLOOKUP($AB305,変換表貼り付け用シート!$A$3:$AN$3000,19,FALSE)="","",(VLOOKUP($AB305,変換表貼り付け用シート!$A$3:$AN$3000,19,FALSE)))</f>
        <v>#N/A</v>
      </c>
      <c r="AM305" s="75" t="e">
        <f>IF(VLOOKUP($AB305,変換表貼り付け用シート!$A$3:$AN$3000,20,FALSE)="","",(VLOOKUP($AB305,変換表貼り付け用シート!$A$3:$AN$3000,20,FALSE)))</f>
        <v>#N/A</v>
      </c>
    </row>
    <row r="306" spans="2:39" ht="21" customHeight="1" x14ac:dyDescent="0.35">
      <c r="B306" s="39"/>
      <c r="C306" s="117" t="s">
        <v>1010</v>
      </c>
      <c r="D306" s="96" t="s">
        <v>509</v>
      </c>
      <c r="E306" s="27" t="s">
        <v>44</v>
      </c>
      <c r="F306" s="37" t="s">
        <v>45</v>
      </c>
      <c r="G306" s="33" t="s">
        <v>206</v>
      </c>
      <c r="H306" s="27" t="s">
        <v>419</v>
      </c>
      <c r="I306" s="27" t="s">
        <v>206</v>
      </c>
      <c r="J306" s="37" t="s">
        <v>419</v>
      </c>
      <c r="K306" s="39" t="s">
        <v>159</v>
      </c>
      <c r="L306" s="28" t="s">
        <v>172</v>
      </c>
      <c r="M306" s="28" t="s">
        <v>48</v>
      </c>
      <c r="N306" s="41" t="s">
        <v>168</v>
      </c>
      <c r="O306" s="39" t="s">
        <v>53</v>
      </c>
      <c r="P306" s="28"/>
      <c r="Q306" s="28"/>
      <c r="R306" s="41"/>
      <c r="S306" s="39"/>
      <c r="T306" s="41"/>
      <c r="U306" s="39"/>
      <c r="V306" s="41"/>
      <c r="W306" s="43" t="s">
        <v>711</v>
      </c>
      <c r="X306" s="33"/>
      <c r="Y306" s="27"/>
      <c r="Z306" s="29"/>
      <c r="AB306" s="73" t="str">
        <f t="shared" si="8"/>
        <v>ePTRR MOT制限設定トルク下限(第四象限)－</v>
      </c>
      <c r="AC306" s="74" t="e">
        <f>VLOOKUP($AB306,変換表貼り付け用シート!$A$3:$AN$1133,3,FALSE)</f>
        <v>#N/A</v>
      </c>
      <c r="AD306" s="74" t="e">
        <f t="shared" si="9"/>
        <v>#N/A</v>
      </c>
      <c r="AE306" s="79" t="e">
        <f>IF(VLOOKUP($AB306,変換表貼り付け用シート!$A$3:$AN$3000,12,FALSE)="","",(VLOOKUP($AB306,変換表貼り付け用シート!$A$3:$AN$3000,12,FALSE)))</f>
        <v>#N/A</v>
      </c>
      <c r="AF306" s="80" t="e">
        <f>IF(VLOOKUP($AB306,変換表貼り付け用シート!$A$3:$AN$3000,13,FALSE)="","",(VLOOKUP($AB306,変換表貼り付け用シート!$A$3:$AN$3000,13,FALSE)))</f>
        <v>#N/A</v>
      </c>
      <c r="AG306" s="80" t="e">
        <f>IF(VLOOKUP($AB306,変換表貼り付け用シート!$A$3:$AN$3000,14,FALSE)="","",(VLOOKUP($AB306,変換表貼り付け用シート!$A$3:$AN$3000,14,FALSE)))</f>
        <v>#N/A</v>
      </c>
      <c r="AH306" s="85" t="e">
        <f>IF(VLOOKUP($AB306,変換表貼り付け用シート!$A$3:$AN$3000,15,FALSE)="","",(VLOOKUP($AB306,変換表貼り付け用シート!$A$3:$AN$3000,15,FALSE)))</f>
        <v>#N/A</v>
      </c>
      <c r="AI306" s="79" t="e">
        <f>IF(VLOOKUP($AB306,変換表貼り付け用シート!$A$3:$AN$3000,16,FALSE)="","",(VLOOKUP($AB306,変換表貼り付け用シート!$A$3:$AN$3000,16,FALSE)))</f>
        <v>#N/A</v>
      </c>
      <c r="AJ306" s="81" t="e">
        <f>IF(VLOOKUP($AB306,変換表貼り付け用シート!$A$3:$AN$3000,17,FALSE)="","",(VLOOKUP($AB306,変換表貼り付け用シート!$A$3:$AN$3000,17,FALSE)))</f>
        <v>#N/A</v>
      </c>
      <c r="AK306" s="88" t="e">
        <f>IF(VLOOKUP($AB306,変換表貼り付け用シート!$A$3:$AN$3000,18,FALSE)="","",(VLOOKUP($AB306,変換表貼り付け用シート!$A$3:$AN$3000,18,FALSE)))</f>
        <v>#N/A</v>
      </c>
      <c r="AL306" s="81" t="e">
        <f>IF(VLOOKUP($AB306,変換表貼り付け用シート!$A$3:$AN$3000,19,FALSE)="","",(VLOOKUP($AB306,変換表貼り付け用シート!$A$3:$AN$3000,19,FALSE)))</f>
        <v>#N/A</v>
      </c>
      <c r="AM306" s="75" t="e">
        <f>IF(VLOOKUP($AB306,変換表貼り付け用シート!$A$3:$AN$3000,20,FALSE)="","",(VLOOKUP($AB306,変換表貼り付け用シート!$A$3:$AN$3000,20,FALSE)))</f>
        <v>#N/A</v>
      </c>
    </row>
    <row r="307" spans="2:39" ht="21" customHeight="1" x14ac:dyDescent="0.35">
      <c r="B307" s="39"/>
      <c r="C307" s="117" t="s">
        <v>1011</v>
      </c>
      <c r="D307" s="96" t="s">
        <v>510</v>
      </c>
      <c r="E307" s="27" t="s">
        <v>44</v>
      </c>
      <c r="F307" s="37" t="s">
        <v>45</v>
      </c>
      <c r="G307" s="33" t="s">
        <v>206</v>
      </c>
      <c r="H307" s="27" t="s">
        <v>419</v>
      </c>
      <c r="I307" s="27" t="s">
        <v>206</v>
      </c>
      <c r="J307" s="37" t="s">
        <v>419</v>
      </c>
      <c r="K307" s="39" t="s">
        <v>159</v>
      </c>
      <c r="L307" s="28" t="s">
        <v>173</v>
      </c>
      <c r="M307" s="28" t="s">
        <v>48</v>
      </c>
      <c r="N307" s="41" t="s">
        <v>48</v>
      </c>
      <c r="O307" s="39" t="s">
        <v>53</v>
      </c>
      <c r="P307" s="28"/>
      <c r="Q307" s="28"/>
      <c r="R307" s="41"/>
      <c r="S307" s="39"/>
      <c r="T307" s="41"/>
      <c r="U307" s="39"/>
      <c r="V307" s="41"/>
      <c r="W307" s="43" t="s">
        <v>711</v>
      </c>
      <c r="X307" s="33"/>
      <c r="Y307" s="27"/>
      <c r="Z307" s="29"/>
      <c r="AB307" s="73" t="str">
        <f t="shared" si="8"/>
        <v>ePTRR GB減速比－</v>
      </c>
      <c r="AC307" s="74" t="e">
        <f>VLOOKUP($AB307,変換表貼り付け用シート!$A$3:$AN$1133,3,FALSE)</f>
        <v>#N/A</v>
      </c>
      <c r="AD307" s="74" t="e">
        <f t="shared" si="9"/>
        <v>#N/A</v>
      </c>
      <c r="AE307" s="79" t="e">
        <f>IF(VLOOKUP($AB307,変換表貼り付け用シート!$A$3:$AN$3000,12,FALSE)="","",(VLOOKUP($AB307,変換表貼り付け用シート!$A$3:$AN$3000,12,FALSE)))</f>
        <v>#N/A</v>
      </c>
      <c r="AF307" s="80" t="e">
        <f>IF(VLOOKUP($AB307,変換表貼り付け用シート!$A$3:$AN$3000,13,FALSE)="","",(VLOOKUP($AB307,変換表貼り付け用シート!$A$3:$AN$3000,13,FALSE)))</f>
        <v>#N/A</v>
      </c>
      <c r="AG307" s="80" t="e">
        <f>IF(VLOOKUP($AB307,変換表貼り付け用シート!$A$3:$AN$3000,14,FALSE)="","",(VLOOKUP($AB307,変換表貼り付け用シート!$A$3:$AN$3000,14,FALSE)))</f>
        <v>#N/A</v>
      </c>
      <c r="AH307" s="85" t="e">
        <f>IF(VLOOKUP($AB307,変換表貼り付け用シート!$A$3:$AN$3000,15,FALSE)="","",(VLOOKUP($AB307,変換表貼り付け用シート!$A$3:$AN$3000,15,FALSE)))</f>
        <v>#N/A</v>
      </c>
      <c r="AI307" s="79" t="e">
        <f>IF(VLOOKUP($AB307,変換表貼り付け用シート!$A$3:$AN$3000,16,FALSE)="","",(VLOOKUP($AB307,変換表貼り付け用シート!$A$3:$AN$3000,16,FALSE)))</f>
        <v>#N/A</v>
      </c>
      <c r="AJ307" s="81" t="e">
        <f>IF(VLOOKUP($AB307,変換表貼り付け用シート!$A$3:$AN$3000,17,FALSE)="","",(VLOOKUP($AB307,変換表貼り付け用シート!$A$3:$AN$3000,17,FALSE)))</f>
        <v>#N/A</v>
      </c>
      <c r="AK307" s="88" t="e">
        <f>IF(VLOOKUP($AB307,変換表貼り付け用シート!$A$3:$AN$3000,18,FALSE)="","",(VLOOKUP($AB307,変換表貼り付け用シート!$A$3:$AN$3000,18,FALSE)))</f>
        <v>#N/A</v>
      </c>
      <c r="AL307" s="81" t="e">
        <f>IF(VLOOKUP($AB307,変換表貼り付け用シート!$A$3:$AN$3000,19,FALSE)="","",(VLOOKUP($AB307,変換表貼り付け用シート!$A$3:$AN$3000,19,FALSE)))</f>
        <v>#N/A</v>
      </c>
      <c r="AM307" s="75" t="e">
        <f>IF(VLOOKUP($AB307,変換表貼り付け用シート!$A$3:$AN$3000,20,FALSE)="","",(VLOOKUP($AB307,変換表貼り付け用シート!$A$3:$AN$3000,20,FALSE)))</f>
        <v>#N/A</v>
      </c>
    </row>
    <row r="308" spans="2:39" ht="21" customHeight="1" x14ac:dyDescent="0.35">
      <c r="B308" s="39"/>
      <c r="C308" s="117" t="s">
        <v>1012</v>
      </c>
      <c r="D308" s="96" t="s">
        <v>511</v>
      </c>
      <c r="E308" s="27" t="s">
        <v>44</v>
      </c>
      <c r="F308" s="37" t="s">
        <v>45</v>
      </c>
      <c r="G308" s="33" t="s">
        <v>206</v>
      </c>
      <c r="H308" s="27" t="s">
        <v>419</v>
      </c>
      <c r="I308" s="27" t="s">
        <v>206</v>
      </c>
      <c r="J308" s="37" t="s">
        <v>419</v>
      </c>
      <c r="K308" s="39" t="s">
        <v>174</v>
      </c>
      <c r="L308" s="28" t="s">
        <v>175</v>
      </c>
      <c r="M308" s="28" t="s">
        <v>48</v>
      </c>
      <c r="N308" s="41" t="s">
        <v>78</v>
      </c>
      <c r="O308" s="39" t="s">
        <v>301</v>
      </c>
      <c r="P308" s="28"/>
      <c r="Q308" s="28"/>
      <c r="R308" s="41"/>
      <c r="S308" s="39"/>
      <c r="T308" s="41"/>
      <c r="U308" s="39"/>
      <c r="V308" s="41"/>
      <c r="W308" s="43" t="s">
        <v>711</v>
      </c>
      <c r="X308" s="33"/>
      <c r="Y308" s="27"/>
      <c r="Z308" s="29"/>
      <c r="AB308" s="73" t="str">
        <f t="shared" si="8"/>
        <v>ドライブシャフトFR右ドライブシャフトイナーシャ－</v>
      </c>
      <c r="AC308" s="74" t="e">
        <f>VLOOKUP($AB308,変換表貼り付け用シート!$A$3:$AN$1133,3,FALSE)</f>
        <v>#N/A</v>
      </c>
      <c r="AD308" s="74" t="e">
        <f t="shared" si="9"/>
        <v>#N/A</v>
      </c>
      <c r="AE308" s="79" t="e">
        <f>IF(VLOOKUP($AB308,変換表貼り付け用シート!$A$3:$AN$3000,12,FALSE)="","",(VLOOKUP($AB308,変換表貼り付け用シート!$A$3:$AN$3000,12,FALSE)))</f>
        <v>#N/A</v>
      </c>
      <c r="AF308" s="80" t="e">
        <f>IF(VLOOKUP($AB308,変換表貼り付け用シート!$A$3:$AN$3000,13,FALSE)="","",(VLOOKUP($AB308,変換表貼り付け用シート!$A$3:$AN$3000,13,FALSE)))</f>
        <v>#N/A</v>
      </c>
      <c r="AG308" s="80" t="e">
        <f>IF(VLOOKUP($AB308,変換表貼り付け用シート!$A$3:$AN$3000,14,FALSE)="","",(VLOOKUP($AB308,変換表貼り付け用シート!$A$3:$AN$3000,14,FALSE)))</f>
        <v>#N/A</v>
      </c>
      <c r="AH308" s="85" t="e">
        <f>IF(VLOOKUP($AB308,変換表貼り付け用シート!$A$3:$AN$3000,15,FALSE)="","",(VLOOKUP($AB308,変換表貼り付け用シート!$A$3:$AN$3000,15,FALSE)))</f>
        <v>#N/A</v>
      </c>
      <c r="AI308" s="79" t="e">
        <f>IF(VLOOKUP($AB308,変換表貼り付け用シート!$A$3:$AN$3000,16,FALSE)="","",(VLOOKUP($AB308,変換表貼り付け用シート!$A$3:$AN$3000,16,FALSE)))</f>
        <v>#N/A</v>
      </c>
      <c r="AJ308" s="81" t="e">
        <f>IF(VLOOKUP($AB308,変換表貼り付け用シート!$A$3:$AN$3000,17,FALSE)="","",(VLOOKUP($AB308,変換表貼り付け用シート!$A$3:$AN$3000,17,FALSE)))</f>
        <v>#N/A</v>
      </c>
      <c r="AK308" s="88" t="e">
        <f>IF(VLOOKUP($AB308,変換表貼り付け用シート!$A$3:$AN$3000,18,FALSE)="","",(VLOOKUP($AB308,変換表貼り付け用シート!$A$3:$AN$3000,18,FALSE)))</f>
        <v>#N/A</v>
      </c>
      <c r="AL308" s="81" t="e">
        <f>IF(VLOOKUP($AB308,変換表貼り付け用シート!$A$3:$AN$3000,19,FALSE)="","",(VLOOKUP($AB308,変換表貼り付け用シート!$A$3:$AN$3000,19,FALSE)))</f>
        <v>#N/A</v>
      </c>
      <c r="AM308" s="75" t="e">
        <f>IF(VLOOKUP($AB308,変換表貼り付け用シート!$A$3:$AN$3000,20,FALSE)="","",(VLOOKUP($AB308,変換表貼り付け用シート!$A$3:$AN$3000,20,FALSE)))</f>
        <v>#N/A</v>
      </c>
    </row>
    <row r="309" spans="2:39" ht="21" customHeight="1" x14ac:dyDescent="0.35">
      <c r="B309" s="39"/>
      <c r="C309" s="117" t="s">
        <v>1013</v>
      </c>
      <c r="D309" s="96" t="s">
        <v>512</v>
      </c>
      <c r="E309" s="27" t="s">
        <v>44</v>
      </c>
      <c r="F309" s="37" t="s">
        <v>45</v>
      </c>
      <c r="G309" s="33" t="s">
        <v>206</v>
      </c>
      <c r="H309" s="27" t="s">
        <v>419</v>
      </c>
      <c r="I309" s="27" t="s">
        <v>206</v>
      </c>
      <c r="J309" s="37" t="s">
        <v>419</v>
      </c>
      <c r="K309" s="39" t="s">
        <v>174</v>
      </c>
      <c r="L309" s="28" t="s">
        <v>176</v>
      </c>
      <c r="M309" s="28" t="s">
        <v>48</v>
      </c>
      <c r="N309" s="41" t="s">
        <v>78</v>
      </c>
      <c r="O309" s="39" t="s">
        <v>303</v>
      </c>
      <c r="P309" s="28"/>
      <c r="Q309" s="28"/>
      <c r="R309" s="41"/>
      <c r="S309" s="39"/>
      <c r="T309" s="41"/>
      <c r="U309" s="39"/>
      <c r="V309" s="41"/>
      <c r="W309" s="43" t="s">
        <v>711</v>
      </c>
      <c r="X309" s="33"/>
      <c r="Y309" s="27"/>
      <c r="Z309" s="29"/>
      <c r="AB309" s="73" t="str">
        <f t="shared" si="8"/>
        <v>ドライブシャフトFR左ドライブシャフトイナーシャ－</v>
      </c>
      <c r="AC309" s="74" t="e">
        <f>VLOOKUP($AB309,変換表貼り付け用シート!$A$3:$AN$1133,3,FALSE)</f>
        <v>#N/A</v>
      </c>
      <c r="AD309" s="74" t="e">
        <f t="shared" si="9"/>
        <v>#N/A</v>
      </c>
      <c r="AE309" s="79" t="e">
        <f>IF(VLOOKUP($AB309,変換表貼り付け用シート!$A$3:$AN$3000,12,FALSE)="","",(VLOOKUP($AB309,変換表貼り付け用シート!$A$3:$AN$3000,12,FALSE)))</f>
        <v>#N/A</v>
      </c>
      <c r="AF309" s="80" t="e">
        <f>IF(VLOOKUP($AB309,変換表貼り付け用シート!$A$3:$AN$3000,13,FALSE)="","",(VLOOKUP($AB309,変換表貼り付け用シート!$A$3:$AN$3000,13,FALSE)))</f>
        <v>#N/A</v>
      </c>
      <c r="AG309" s="80" t="e">
        <f>IF(VLOOKUP($AB309,変換表貼り付け用シート!$A$3:$AN$3000,14,FALSE)="","",(VLOOKUP($AB309,変換表貼り付け用シート!$A$3:$AN$3000,14,FALSE)))</f>
        <v>#N/A</v>
      </c>
      <c r="AH309" s="85" t="e">
        <f>IF(VLOOKUP($AB309,変換表貼り付け用シート!$A$3:$AN$3000,15,FALSE)="","",(VLOOKUP($AB309,変換表貼り付け用シート!$A$3:$AN$3000,15,FALSE)))</f>
        <v>#N/A</v>
      </c>
      <c r="AI309" s="79" t="e">
        <f>IF(VLOOKUP($AB309,変換表貼り付け用シート!$A$3:$AN$3000,16,FALSE)="","",(VLOOKUP($AB309,変換表貼り付け用シート!$A$3:$AN$3000,16,FALSE)))</f>
        <v>#N/A</v>
      </c>
      <c r="AJ309" s="81" t="e">
        <f>IF(VLOOKUP($AB309,変換表貼り付け用シート!$A$3:$AN$3000,17,FALSE)="","",(VLOOKUP($AB309,変換表貼り付け用シート!$A$3:$AN$3000,17,FALSE)))</f>
        <v>#N/A</v>
      </c>
      <c r="AK309" s="88" t="e">
        <f>IF(VLOOKUP($AB309,変換表貼り付け用シート!$A$3:$AN$3000,18,FALSE)="","",(VLOOKUP($AB309,変換表貼り付け用シート!$A$3:$AN$3000,18,FALSE)))</f>
        <v>#N/A</v>
      </c>
      <c r="AL309" s="81" t="e">
        <f>IF(VLOOKUP($AB309,変換表貼り付け用シート!$A$3:$AN$3000,19,FALSE)="","",(VLOOKUP($AB309,変換表貼り付け用シート!$A$3:$AN$3000,19,FALSE)))</f>
        <v>#N/A</v>
      </c>
      <c r="AM309" s="75" t="e">
        <f>IF(VLOOKUP($AB309,変換表貼り付け用シート!$A$3:$AN$3000,20,FALSE)="","",(VLOOKUP($AB309,変換表貼り付け用シート!$A$3:$AN$3000,20,FALSE)))</f>
        <v>#N/A</v>
      </c>
    </row>
    <row r="310" spans="2:39" ht="21" customHeight="1" x14ac:dyDescent="0.35">
      <c r="B310" s="39"/>
      <c r="C310" s="117" t="s">
        <v>1014</v>
      </c>
      <c r="D310" s="96" t="s">
        <v>513</v>
      </c>
      <c r="E310" s="27" t="s">
        <v>44</v>
      </c>
      <c r="F310" s="37" t="s">
        <v>45</v>
      </c>
      <c r="G310" s="33" t="s">
        <v>206</v>
      </c>
      <c r="H310" s="27" t="s">
        <v>419</v>
      </c>
      <c r="I310" s="27" t="s">
        <v>206</v>
      </c>
      <c r="J310" s="37" t="s">
        <v>419</v>
      </c>
      <c r="K310" s="39" t="s">
        <v>174</v>
      </c>
      <c r="L310" s="28" t="s">
        <v>177</v>
      </c>
      <c r="M310" s="28" t="s">
        <v>48</v>
      </c>
      <c r="N310" s="41" t="s">
        <v>78</v>
      </c>
      <c r="O310" s="39" t="s">
        <v>53</v>
      </c>
      <c r="P310" s="28"/>
      <c r="Q310" s="28"/>
      <c r="R310" s="41"/>
      <c r="S310" s="39"/>
      <c r="T310" s="41"/>
      <c r="U310" s="39"/>
      <c r="V310" s="41"/>
      <c r="W310" s="43" t="s">
        <v>711</v>
      </c>
      <c r="X310" s="33"/>
      <c r="Y310" s="27"/>
      <c r="Z310" s="29"/>
      <c r="AB310" s="73" t="str">
        <f t="shared" si="8"/>
        <v>ドライブシャフトRR右ドライブシャフトイナーシャ－</v>
      </c>
      <c r="AC310" s="74" t="e">
        <f>VLOOKUP($AB310,変換表貼り付け用シート!$A$3:$AN$1133,3,FALSE)</f>
        <v>#N/A</v>
      </c>
      <c r="AD310" s="74" t="e">
        <f t="shared" si="9"/>
        <v>#N/A</v>
      </c>
      <c r="AE310" s="79" t="e">
        <f>IF(VLOOKUP($AB310,変換表貼り付け用シート!$A$3:$AN$3000,12,FALSE)="","",(VLOOKUP($AB310,変換表貼り付け用シート!$A$3:$AN$3000,12,FALSE)))</f>
        <v>#N/A</v>
      </c>
      <c r="AF310" s="80" t="e">
        <f>IF(VLOOKUP($AB310,変換表貼り付け用シート!$A$3:$AN$3000,13,FALSE)="","",(VLOOKUP($AB310,変換表貼り付け用シート!$A$3:$AN$3000,13,FALSE)))</f>
        <v>#N/A</v>
      </c>
      <c r="AG310" s="80" t="e">
        <f>IF(VLOOKUP($AB310,変換表貼り付け用シート!$A$3:$AN$3000,14,FALSE)="","",(VLOOKUP($AB310,変換表貼り付け用シート!$A$3:$AN$3000,14,FALSE)))</f>
        <v>#N/A</v>
      </c>
      <c r="AH310" s="85" t="e">
        <f>IF(VLOOKUP($AB310,変換表貼り付け用シート!$A$3:$AN$3000,15,FALSE)="","",(VLOOKUP($AB310,変換表貼り付け用シート!$A$3:$AN$3000,15,FALSE)))</f>
        <v>#N/A</v>
      </c>
      <c r="AI310" s="79" t="e">
        <f>IF(VLOOKUP($AB310,変換表貼り付け用シート!$A$3:$AN$3000,16,FALSE)="","",(VLOOKUP($AB310,変換表貼り付け用シート!$A$3:$AN$3000,16,FALSE)))</f>
        <v>#N/A</v>
      </c>
      <c r="AJ310" s="81" t="e">
        <f>IF(VLOOKUP($AB310,変換表貼り付け用シート!$A$3:$AN$3000,17,FALSE)="","",(VLOOKUP($AB310,変換表貼り付け用シート!$A$3:$AN$3000,17,FALSE)))</f>
        <v>#N/A</v>
      </c>
      <c r="AK310" s="88" t="e">
        <f>IF(VLOOKUP($AB310,変換表貼り付け用シート!$A$3:$AN$3000,18,FALSE)="","",(VLOOKUP($AB310,変換表貼り付け用シート!$A$3:$AN$3000,18,FALSE)))</f>
        <v>#N/A</v>
      </c>
      <c r="AL310" s="81" t="e">
        <f>IF(VLOOKUP($AB310,変換表貼り付け用シート!$A$3:$AN$3000,19,FALSE)="","",(VLOOKUP($AB310,変換表貼り付け用シート!$A$3:$AN$3000,19,FALSE)))</f>
        <v>#N/A</v>
      </c>
      <c r="AM310" s="75" t="e">
        <f>IF(VLOOKUP($AB310,変換表貼り付け用シート!$A$3:$AN$3000,20,FALSE)="","",(VLOOKUP($AB310,変換表貼り付け用シート!$A$3:$AN$3000,20,FALSE)))</f>
        <v>#N/A</v>
      </c>
    </row>
    <row r="311" spans="2:39" ht="21" customHeight="1" x14ac:dyDescent="0.35">
      <c r="B311" s="39"/>
      <c r="C311" s="117" t="s">
        <v>1015</v>
      </c>
      <c r="D311" s="96" t="s">
        <v>514</v>
      </c>
      <c r="E311" s="27" t="s">
        <v>44</v>
      </c>
      <c r="F311" s="37" t="s">
        <v>45</v>
      </c>
      <c r="G311" s="33" t="s">
        <v>206</v>
      </c>
      <c r="H311" s="27" t="s">
        <v>419</v>
      </c>
      <c r="I311" s="27" t="s">
        <v>206</v>
      </c>
      <c r="J311" s="37" t="s">
        <v>419</v>
      </c>
      <c r="K311" s="39" t="s">
        <v>174</v>
      </c>
      <c r="L311" s="28" t="s">
        <v>178</v>
      </c>
      <c r="M311" s="28" t="s">
        <v>48</v>
      </c>
      <c r="N311" s="41" t="s">
        <v>78</v>
      </c>
      <c r="O311" s="39" t="s">
        <v>53</v>
      </c>
      <c r="P311" s="28"/>
      <c r="Q311" s="28"/>
      <c r="R311" s="41"/>
      <c r="S311" s="39"/>
      <c r="T311" s="41"/>
      <c r="U311" s="39"/>
      <c r="V311" s="41"/>
      <c r="W311" s="43" t="s">
        <v>711</v>
      </c>
      <c r="X311" s="33"/>
      <c r="Y311" s="27"/>
      <c r="Z311" s="29"/>
      <c r="AB311" s="73" t="str">
        <f t="shared" si="8"/>
        <v>ドライブシャフトRR左ドライブシャフトイナーシャ－</v>
      </c>
      <c r="AC311" s="74" t="e">
        <f>VLOOKUP($AB311,変換表貼り付け用シート!$A$3:$AN$1133,3,FALSE)</f>
        <v>#N/A</v>
      </c>
      <c r="AD311" s="74" t="e">
        <f t="shared" si="9"/>
        <v>#N/A</v>
      </c>
      <c r="AE311" s="79" t="e">
        <f>IF(VLOOKUP($AB311,変換表貼り付け用シート!$A$3:$AN$3000,12,FALSE)="","",(VLOOKUP($AB311,変換表貼り付け用シート!$A$3:$AN$3000,12,FALSE)))</f>
        <v>#N/A</v>
      </c>
      <c r="AF311" s="80" t="e">
        <f>IF(VLOOKUP($AB311,変換表貼り付け用シート!$A$3:$AN$3000,13,FALSE)="","",(VLOOKUP($AB311,変換表貼り付け用シート!$A$3:$AN$3000,13,FALSE)))</f>
        <v>#N/A</v>
      </c>
      <c r="AG311" s="80" t="e">
        <f>IF(VLOOKUP($AB311,変換表貼り付け用シート!$A$3:$AN$3000,14,FALSE)="","",(VLOOKUP($AB311,変換表貼り付け用シート!$A$3:$AN$3000,14,FALSE)))</f>
        <v>#N/A</v>
      </c>
      <c r="AH311" s="85" t="e">
        <f>IF(VLOOKUP($AB311,変換表貼り付け用シート!$A$3:$AN$3000,15,FALSE)="","",(VLOOKUP($AB311,変換表貼り付け用シート!$A$3:$AN$3000,15,FALSE)))</f>
        <v>#N/A</v>
      </c>
      <c r="AI311" s="79" t="e">
        <f>IF(VLOOKUP($AB311,変換表貼り付け用シート!$A$3:$AN$3000,16,FALSE)="","",(VLOOKUP($AB311,変換表貼り付け用シート!$A$3:$AN$3000,16,FALSE)))</f>
        <v>#N/A</v>
      </c>
      <c r="AJ311" s="81" t="e">
        <f>IF(VLOOKUP($AB311,変換表貼り付け用シート!$A$3:$AN$3000,17,FALSE)="","",(VLOOKUP($AB311,変換表貼り付け用シート!$A$3:$AN$3000,17,FALSE)))</f>
        <v>#N/A</v>
      </c>
      <c r="AK311" s="88" t="e">
        <f>IF(VLOOKUP($AB311,変換表貼り付け用シート!$A$3:$AN$3000,18,FALSE)="","",(VLOOKUP($AB311,変換表貼り付け用シート!$A$3:$AN$3000,18,FALSE)))</f>
        <v>#N/A</v>
      </c>
      <c r="AL311" s="81" t="e">
        <f>IF(VLOOKUP($AB311,変換表貼り付け用シート!$A$3:$AN$3000,19,FALSE)="","",(VLOOKUP($AB311,変換表貼り付け用シート!$A$3:$AN$3000,19,FALSE)))</f>
        <v>#N/A</v>
      </c>
      <c r="AM311" s="75" t="e">
        <f>IF(VLOOKUP($AB311,変換表貼り付け用シート!$A$3:$AN$3000,20,FALSE)="","",(VLOOKUP($AB311,変換表貼り付け用シート!$A$3:$AN$3000,20,FALSE)))</f>
        <v>#N/A</v>
      </c>
    </row>
    <row r="312" spans="2:39" ht="21" customHeight="1" x14ac:dyDescent="0.35">
      <c r="B312" s="39"/>
      <c r="C312" s="117" t="s">
        <v>1016</v>
      </c>
      <c r="D312" s="96" t="s">
        <v>515</v>
      </c>
      <c r="E312" s="27" t="s">
        <v>44</v>
      </c>
      <c r="F312" s="37" t="s">
        <v>45</v>
      </c>
      <c r="G312" s="33" t="s">
        <v>206</v>
      </c>
      <c r="H312" s="27" t="s">
        <v>419</v>
      </c>
      <c r="I312" s="27" t="s">
        <v>206</v>
      </c>
      <c r="J312" s="37" t="s">
        <v>419</v>
      </c>
      <c r="K312" s="39" t="s">
        <v>179</v>
      </c>
      <c r="L312" s="28" t="s">
        <v>180</v>
      </c>
      <c r="M312" s="28" t="s">
        <v>48</v>
      </c>
      <c r="N312" s="41" t="s">
        <v>181</v>
      </c>
      <c r="O312" s="39">
        <v>75</v>
      </c>
      <c r="P312" s="28"/>
      <c r="Q312" s="28"/>
      <c r="R312" s="41"/>
      <c r="S312" s="39"/>
      <c r="T312" s="41"/>
      <c r="U312" s="39"/>
      <c r="V312" s="41"/>
      <c r="W312" s="43" t="s">
        <v>711</v>
      </c>
      <c r="X312" s="33"/>
      <c r="Y312" s="27"/>
      <c r="Z312" s="29"/>
      <c r="AB312" s="73" t="str">
        <f t="shared" si="8"/>
        <v>DCDCDCDC効率(走行時弱電220W,355V入力(SOC20%),13V出力)－</v>
      </c>
      <c r="AC312" s="74" t="e">
        <f>VLOOKUP($AB312,変換表貼り付け用シート!$A$3:$AN$1133,3,FALSE)</f>
        <v>#N/A</v>
      </c>
      <c r="AD312" s="74" t="e">
        <f t="shared" si="9"/>
        <v>#N/A</v>
      </c>
      <c r="AE312" s="79" t="e">
        <f>IF(VLOOKUP($AB312,変換表貼り付け用シート!$A$3:$AN$3000,12,FALSE)="","",(VLOOKUP($AB312,変換表貼り付け用シート!$A$3:$AN$3000,12,FALSE)))</f>
        <v>#N/A</v>
      </c>
      <c r="AF312" s="80" t="e">
        <f>IF(VLOOKUP($AB312,変換表貼り付け用シート!$A$3:$AN$3000,13,FALSE)="","",(VLOOKUP($AB312,変換表貼り付け用シート!$A$3:$AN$3000,13,FALSE)))</f>
        <v>#N/A</v>
      </c>
      <c r="AG312" s="80" t="e">
        <f>IF(VLOOKUP($AB312,変換表貼り付け用シート!$A$3:$AN$3000,14,FALSE)="","",(VLOOKUP($AB312,変換表貼り付け用シート!$A$3:$AN$3000,14,FALSE)))</f>
        <v>#N/A</v>
      </c>
      <c r="AH312" s="85" t="e">
        <f>IF(VLOOKUP($AB312,変換表貼り付け用シート!$A$3:$AN$3000,15,FALSE)="","",(VLOOKUP($AB312,変換表貼り付け用シート!$A$3:$AN$3000,15,FALSE)))</f>
        <v>#N/A</v>
      </c>
      <c r="AI312" s="79" t="e">
        <f>IF(VLOOKUP($AB312,変換表貼り付け用シート!$A$3:$AN$3000,16,FALSE)="","",(VLOOKUP($AB312,変換表貼り付け用シート!$A$3:$AN$3000,16,FALSE)))</f>
        <v>#N/A</v>
      </c>
      <c r="AJ312" s="81" t="e">
        <f>IF(VLOOKUP($AB312,変換表貼り付け用シート!$A$3:$AN$3000,17,FALSE)="","",(VLOOKUP($AB312,変換表貼り付け用シート!$A$3:$AN$3000,17,FALSE)))</f>
        <v>#N/A</v>
      </c>
      <c r="AK312" s="88" t="e">
        <f>IF(VLOOKUP($AB312,変換表貼り付け用シート!$A$3:$AN$3000,18,FALSE)="","",(VLOOKUP($AB312,変換表貼り付け用シート!$A$3:$AN$3000,18,FALSE)))</f>
        <v>#N/A</v>
      </c>
      <c r="AL312" s="81" t="e">
        <f>IF(VLOOKUP($AB312,変換表貼り付け用シート!$A$3:$AN$3000,19,FALSE)="","",(VLOOKUP($AB312,変換表貼り付け用シート!$A$3:$AN$3000,19,FALSE)))</f>
        <v>#N/A</v>
      </c>
      <c r="AM312" s="75" t="e">
        <f>IF(VLOOKUP($AB312,変換表貼り付け用シート!$A$3:$AN$3000,20,FALSE)="","",(VLOOKUP($AB312,変換表貼り付け用シート!$A$3:$AN$3000,20,FALSE)))</f>
        <v>#N/A</v>
      </c>
    </row>
    <row r="313" spans="2:39" ht="21" customHeight="1" x14ac:dyDescent="0.35">
      <c r="B313" s="39"/>
      <c r="C313" s="117" t="s">
        <v>1017</v>
      </c>
      <c r="D313" s="96" t="s">
        <v>516</v>
      </c>
      <c r="E313" s="27" t="s">
        <v>44</v>
      </c>
      <c r="F313" s="37" t="s">
        <v>45</v>
      </c>
      <c r="G313" s="33" t="s">
        <v>206</v>
      </c>
      <c r="H313" s="27" t="s">
        <v>419</v>
      </c>
      <c r="I313" s="27" t="s">
        <v>206</v>
      </c>
      <c r="J313" s="37" t="s">
        <v>419</v>
      </c>
      <c r="K313" s="39" t="s">
        <v>182</v>
      </c>
      <c r="L313" s="28" t="s">
        <v>183</v>
      </c>
      <c r="M313" s="28" t="s">
        <v>48</v>
      </c>
      <c r="N313" s="41" t="s">
        <v>161</v>
      </c>
      <c r="O313" s="39">
        <v>227</v>
      </c>
      <c r="P313" s="28"/>
      <c r="Q313" s="28"/>
      <c r="R313" s="41"/>
      <c r="S313" s="39"/>
      <c r="T313" s="41"/>
      <c r="U313" s="39"/>
      <c r="V313" s="41"/>
      <c r="W313" s="43" t="s">
        <v>711</v>
      </c>
      <c r="X313" s="33"/>
      <c r="Y313" s="27"/>
      <c r="Z313" s="29"/>
      <c r="AB313" s="73" t="str">
        <f t="shared" si="8"/>
        <v>LV BATT消費電力(電費試験時WLTCモード)－</v>
      </c>
      <c r="AC313" s="74" t="e">
        <f>VLOOKUP($AB313,変換表貼り付け用シート!$A$3:$AN$1133,3,FALSE)</f>
        <v>#N/A</v>
      </c>
      <c r="AD313" s="74" t="e">
        <f t="shared" si="9"/>
        <v>#N/A</v>
      </c>
      <c r="AE313" s="79" t="e">
        <f>IF(VLOOKUP($AB313,変換表貼り付け用シート!$A$3:$AN$3000,12,FALSE)="","",(VLOOKUP($AB313,変換表貼り付け用シート!$A$3:$AN$3000,12,FALSE)))</f>
        <v>#N/A</v>
      </c>
      <c r="AF313" s="80" t="e">
        <f>IF(VLOOKUP($AB313,変換表貼り付け用シート!$A$3:$AN$3000,13,FALSE)="","",(VLOOKUP($AB313,変換表貼り付け用シート!$A$3:$AN$3000,13,FALSE)))</f>
        <v>#N/A</v>
      </c>
      <c r="AG313" s="80" t="e">
        <f>IF(VLOOKUP($AB313,変換表貼り付け用シート!$A$3:$AN$3000,14,FALSE)="","",(VLOOKUP($AB313,変換表貼り付け用シート!$A$3:$AN$3000,14,FALSE)))</f>
        <v>#N/A</v>
      </c>
      <c r="AH313" s="85" t="e">
        <f>IF(VLOOKUP($AB313,変換表貼り付け用シート!$A$3:$AN$3000,15,FALSE)="","",(VLOOKUP($AB313,変換表貼り付け用シート!$A$3:$AN$3000,15,FALSE)))</f>
        <v>#N/A</v>
      </c>
      <c r="AI313" s="79" t="e">
        <f>IF(VLOOKUP($AB313,変換表貼り付け用シート!$A$3:$AN$3000,16,FALSE)="","",(VLOOKUP($AB313,変換表貼り付け用シート!$A$3:$AN$3000,16,FALSE)))</f>
        <v>#N/A</v>
      </c>
      <c r="AJ313" s="81" t="e">
        <f>IF(VLOOKUP($AB313,変換表貼り付け用シート!$A$3:$AN$3000,17,FALSE)="","",(VLOOKUP($AB313,変換表貼り付け用シート!$A$3:$AN$3000,17,FALSE)))</f>
        <v>#N/A</v>
      </c>
      <c r="AK313" s="88" t="e">
        <f>IF(VLOOKUP($AB313,変換表貼り付け用シート!$A$3:$AN$3000,18,FALSE)="","",(VLOOKUP($AB313,変換表貼り付け用シート!$A$3:$AN$3000,18,FALSE)))</f>
        <v>#N/A</v>
      </c>
      <c r="AL313" s="81" t="e">
        <f>IF(VLOOKUP($AB313,変換表貼り付け用シート!$A$3:$AN$3000,19,FALSE)="","",(VLOOKUP($AB313,変換表貼り付け用シート!$A$3:$AN$3000,19,FALSE)))</f>
        <v>#N/A</v>
      </c>
      <c r="AM313" s="75" t="e">
        <f>IF(VLOOKUP($AB313,変換表貼り付け用シート!$A$3:$AN$3000,20,FALSE)="","",(VLOOKUP($AB313,変換表貼り付け用シート!$A$3:$AN$3000,20,FALSE)))</f>
        <v>#N/A</v>
      </c>
    </row>
    <row r="314" spans="2:39" ht="21" customHeight="1" x14ac:dyDescent="0.35">
      <c r="B314" s="39"/>
      <c r="C314" s="117" t="s">
        <v>1018</v>
      </c>
      <c r="D314" s="96" t="s">
        <v>517</v>
      </c>
      <c r="E314" s="27" t="s">
        <v>44</v>
      </c>
      <c r="F314" s="37" t="s">
        <v>45</v>
      </c>
      <c r="G314" s="33" t="s">
        <v>206</v>
      </c>
      <c r="H314" s="27" t="s">
        <v>419</v>
      </c>
      <c r="I314" s="27" t="s">
        <v>206</v>
      </c>
      <c r="J314" s="37" t="s">
        <v>419</v>
      </c>
      <c r="K314" s="39" t="s">
        <v>184</v>
      </c>
      <c r="L314" s="28" t="s">
        <v>185</v>
      </c>
      <c r="M314" s="28" t="s">
        <v>48</v>
      </c>
      <c r="N314" s="41" t="s">
        <v>186</v>
      </c>
      <c r="O314" s="39">
        <v>100</v>
      </c>
      <c r="P314" s="28"/>
      <c r="Q314" s="28"/>
      <c r="R314" s="41"/>
      <c r="S314" s="39"/>
      <c r="T314" s="41"/>
      <c r="U314" s="39"/>
      <c r="V314" s="41"/>
      <c r="W314" s="43" t="s">
        <v>711</v>
      </c>
      <c r="X314" s="33"/>
      <c r="Y314" s="27"/>
      <c r="Z314" s="29"/>
      <c r="AB314" s="73" t="str">
        <f t="shared" si="8"/>
        <v>HV BATT直列セル数－</v>
      </c>
      <c r="AC314" s="74" t="e">
        <f>VLOOKUP($AB314,変換表貼り付け用シート!$A$3:$AN$1133,3,FALSE)</f>
        <v>#N/A</v>
      </c>
      <c r="AD314" s="74" t="e">
        <f t="shared" si="9"/>
        <v>#N/A</v>
      </c>
      <c r="AE314" s="79" t="e">
        <f>IF(VLOOKUP($AB314,変換表貼り付け用シート!$A$3:$AN$3000,12,FALSE)="","",(VLOOKUP($AB314,変換表貼り付け用シート!$A$3:$AN$3000,12,FALSE)))</f>
        <v>#N/A</v>
      </c>
      <c r="AF314" s="80" t="e">
        <f>IF(VLOOKUP($AB314,変換表貼り付け用シート!$A$3:$AN$3000,13,FALSE)="","",(VLOOKUP($AB314,変換表貼り付け用シート!$A$3:$AN$3000,13,FALSE)))</f>
        <v>#N/A</v>
      </c>
      <c r="AG314" s="80" t="e">
        <f>IF(VLOOKUP($AB314,変換表貼り付け用シート!$A$3:$AN$3000,14,FALSE)="","",(VLOOKUP($AB314,変換表貼り付け用シート!$A$3:$AN$3000,14,FALSE)))</f>
        <v>#N/A</v>
      </c>
      <c r="AH314" s="85" t="e">
        <f>IF(VLOOKUP($AB314,変換表貼り付け用シート!$A$3:$AN$3000,15,FALSE)="","",(VLOOKUP($AB314,変換表貼り付け用シート!$A$3:$AN$3000,15,FALSE)))</f>
        <v>#N/A</v>
      </c>
      <c r="AI314" s="79" t="e">
        <f>IF(VLOOKUP($AB314,変換表貼り付け用シート!$A$3:$AN$3000,16,FALSE)="","",(VLOOKUP($AB314,変換表貼り付け用シート!$A$3:$AN$3000,16,FALSE)))</f>
        <v>#N/A</v>
      </c>
      <c r="AJ314" s="81" t="e">
        <f>IF(VLOOKUP($AB314,変換表貼り付け用シート!$A$3:$AN$3000,17,FALSE)="","",(VLOOKUP($AB314,変換表貼り付け用シート!$A$3:$AN$3000,17,FALSE)))</f>
        <v>#N/A</v>
      </c>
      <c r="AK314" s="88" t="e">
        <f>IF(VLOOKUP($AB314,変換表貼り付け用シート!$A$3:$AN$3000,18,FALSE)="","",(VLOOKUP($AB314,変換表貼り付け用シート!$A$3:$AN$3000,18,FALSE)))</f>
        <v>#N/A</v>
      </c>
      <c r="AL314" s="81" t="e">
        <f>IF(VLOOKUP($AB314,変換表貼り付け用シート!$A$3:$AN$3000,19,FALSE)="","",(VLOOKUP($AB314,変換表貼り付け用シート!$A$3:$AN$3000,19,FALSE)))</f>
        <v>#N/A</v>
      </c>
      <c r="AM314" s="75" t="e">
        <f>IF(VLOOKUP($AB314,変換表貼り付け用シート!$A$3:$AN$3000,20,FALSE)="","",(VLOOKUP($AB314,変換表貼り付け用シート!$A$3:$AN$3000,20,FALSE)))</f>
        <v>#N/A</v>
      </c>
    </row>
    <row r="315" spans="2:39" ht="21" customHeight="1" x14ac:dyDescent="0.35">
      <c r="B315" s="39"/>
      <c r="C315" s="117" t="s">
        <v>1019</v>
      </c>
      <c r="D315" s="96" t="s">
        <v>518</v>
      </c>
      <c r="E315" s="27" t="s">
        <v>44</v>
      </c>
      <c r="F315" s="37" t="s">
        <v>45</v>
      </c>
      <c r="G315" s="33" t="s">
        <v>206</v>
      </c>
      <c r="H315" s="27" t="s">
        <v>419</v>
      </c>
      <c r="I315" s="27" t="s">
        <v>206</v>
      </c>
      <c r="J315" s="37" t="s">
        <v>419</v>
      </c>
      <c r="K315" s="39" t="s">
        <v>184</v>
      </c>
      <c r="L315" s="28" t="s">
        <v>187</v>
      </c>
      <c r="M315" s="28" t="s">
        <v>48</v>
      </c>
      <c r="N315" s="41" t="s">
        <v>188</v>
      </c>
      <c r="O315" s="39">
        <v>1</v>
      </c>
      <c r="P315" s="28"/>
      <c r="Q315" s="28"/>
      <c r="R315" s="41"/>
      <c r="S315" s="39"/>
      <c r="T315" s="41"/>
      <c r="U315" s="39"/>
      <c r="V315" s="41"/>
      <c r="W315" s="43" t="s">
        <v>711</v>
      </c>
      <c r="X315" s="33"/>
      <c r="Y315" s="27"/>
      <c r="Z315" s="29"/>
      <c r="AB315" s="73" t="str">
        <f t="shared" si="8"/>
        <v>HV BATT並列セル数－</v>
      </c>
      <c r="AC315" s="74" t="e">
        <f>VLOOKUP($AB315,変換表貼り付け用シート!$A$3:$AN$1133,3,FALSE)</f>
        <v>#N/A</v>
      </c>
      <c r="AD315" s="74" t="e">
        <f t="shared" si="9"/>
        <v>#N/A</v>
      </c>
      <c r="AE315" s="79" t="e">
        <f>IF(VLOOKUP($AB315,変換表貼り付け用シート!$A$3:$AN$3000,12,FALSE)="","",(VLOOKUP($AB315,変換表貼り付け用シート!$A$3:$AN$3000,12,FALSE)))</f>
        <v>#N/A</v>
      </c>
      <c r="AF315" s="80" t="e">
        <f>IF(VLOOKUP($AB315,変換表貼り付け用シート!$A$3:$AN$3000,13,FALSE)="","",(VLOOKUP($AB315,変換表貼り付け用シート!$A$3:$AN$3000,13,FALSE)))</f>
        <v>#N/A</v>
      </c>
      <c r="AG315" s="80" t="e">
        <f>IF(VLOOKUP($AB315,変換表貼り付け用シート!$A$3:$AN$3000,14,FALSE)="","",(VLOOKUP($AB315,変換表貼り付け用シート!$A$3:$AN$3000,14,FALSE)))</f>
        <v>#N/A</v>
      </c>
      <c r="AH315" s="85" t="e">
        <f>IF(VLOOKUP($AB315,変換表貼り付け用シート!$A$3:$AN$3000,15,FALSE)="","",(VLOOKUP($AB315,変換表貼り付け用シート!$A$3:$AN$3000,15,FALSE)))</f>
        <v>#N/A</v>
      </c>
      <c r="AI315" s="79" t="e">
        <f>IF(VLOOKUP($AB315,変換表貼り付け用シート!$A$3:$AN$3000,16,FALSE)="","",(VLOOKUP($AB315,変換表貼り付け用シート!$A$3:$AN$3000,16,FALSE)))</f>
        <v>#N/A</v>
      </c>
      <c r="AJ315" s="81" t="e">
        <f>IF(VLOOKUP($AB315,変換表貼り付け用シート!$A$3:$AN$3000,17,FALSE)="","",(VLOOKUP($AB315,変換表貼り付け用シート!$A$3:$AN$3000,17,FALSE)))</f>
        <v>#N/A</v>
      </c>
      <c r="AK315" s="88" t="e">
        <f>IF(VLOOKUP($AB315,変換表貼り付け用シート!$A$3:$AN$3000,18,FALSE)="","",(VLOOKUP($AB315,変換表貼り付け用シート!$A$3:$AN$3000,18,FALSE)))</f>
        <v>#N/A</v>
      </c>
      <c r="AL315" s="81" t="e">
        <f>IF(VLOOKUP($AB315,変換表貼り付け用シート!$A$3:$AN$3000,19,FALSE)="","",(VLOOKUP($AB315,変換表貼り付け用シート!$A$3:$AN$3000,19,FALSE)))</f>
        <v>#N/A</v>
      </c>
      <c r="AM315" s="75" t="e">
        <f>IF(VLOOKUP($AB315,変換表貼り付け用シート!$A$3:$AN$3000,20,FALSE)="","",(VLOOKUP($AB315,変換表貼り付け用シート!$A$3:$AN$3000,20,FALSE)))</f>
        <v>#N/A</v>
      </c>
    </row>
    <row r="316" spans="2:39" ht="21" customHeight="1" x14ac:dyDescent="0.35">
      <c r="B316" s="39"/>
      <c r="C316" s="117" t="s">
        <v>1020</v>
      </c>
      <c r="D316" s="96" t="s">
        <v>519</v>
      </c>
      <c r="E316" s="27" t="s">
        <v>44</v>
      </c>
      <c r="F316" s="37" t="s">
        <v>45</v>
      </c>
      <c r="G316" s="33" t="s">
        <v>206</v>
      </c>
      <c r="H316" s="27" t="s">
        <v>419</v>
      </c>
      <c r="I316" s="27" t="s">
        <v>206</v>
      </c>
      <c r="J316" s="37" t="s">
        <v>419</v>
      </c>
      <c r="K316" s="39" t="s">
        <v>184</v>
      </c>
      <c r="L316" s="28" t="s">
        <v>189</v>
      </c>
      <c r="M316" s="28" t="s">
        <v>48</v>
      </c>
      <c r="N316" s="41" t="s">
        <v>190</v>
      </c>
      <c r="O316" s="39">
        <v>72</v>
      </c>
      <c r="P316" s="28"/>
      <c r="Q316" s="28"/>
      <c r="R316" s="41"/>
      <c r="S316" s="39"/>
      <c r="T316" s="41"/>
      <c r="U316" s="39"/>
      <c r="V316" s="41"/>
      <c r="W316" s="43" t="s">
        <v>711</v>
      </c>
      <c r="X316" s="33"/>
      <c r="Y316" s="27"/>
      <c r="Z316" s="29"/>
      <c r="AB316" s="73" t="str">
        <f t="shared" si="8"/>
        <v>HV BATTセル容量－</v>
      </c>
      <c r="AC316" s="74" t="e">
        <f>VLOOKUP($AB316,変換表貼り付け用シート!$A$3:$AN$1133,3,FALSE)</f>
        <v>#N/A</v>
      </c>
      <c r="AD316" s="74" t="e">
        <f t="shared" si="9"/>
        <v>#N/A</v>
      </c>
      <c r="AE316" s="79" t="e">
        <f>IF(VLOOKUP($AB316,変換表貼り付け用シート!$A$3:$AN$3000,12,FALSE)="","",(VLOOKUP($AB316,変換表貼り付け用シート!$A$3:$AN$3000,12,FALSE)))</f>
        <v>#N/A</v>
      </c>
      <c r="AF316" s="80" t="e">
        <f>IF(VLOOKUP($AB316,変換表貼り付け用シート!$A$3:$AN$3000,13,FALSE)="","",(VLOOKUP($AB316,変換表貼り付け用シート!$A$3:$AN$3000,13,FALSE)))</f>
        <v>#N/A</v>
      </c>
      <c r="AG316" s="80" t="e">
        <f>IF(VLOOKUP($AB316,変換表貼り付け用シート!$A$3:$AN$3000,14,FALSE)="","",(VLOOKUP($AB316,変換表貼り付け用シート!$A$3:$AN$3000,14,FALSE)))</f>
        <v>#N/A</v>
      </c>
      <c r="AH316" s="85" t="e">
        <f>IF(VLOOKUP($AB316,変換表貼り付け用シート!$A$3:$AN$3000,15,FALSE)="","",(VLOOKUP($AB316,変換表貼り付け用シート!$A$3:$AN$3000,15,FALSE)))</f>
        <v>#N/A</v>
      </c>
      <c r="AI316" s="79" t="e">
        <f>IF(VLOOKUP($AB316,変換表貼り付け用シート!$A$3:$AN$3000,16,FALSE)="","",(VLOOKUP($AB316,変換表貼り付け用シート!$A$3:$AN$3000,16,FALSE)))</f>
        <v>#N/A</v>
      </c>
      <c r="AJ316" s="81" t="e">
        <f>IF(VLOOKUP($AB316,変換表貼り付け用シート!$A$3:$AN$3000,17,FALSE)="","",(VLOOKUP($AB316,変換表貼り付け用シート!$A$3:$AN$3000,17,FALSE)))</f>
        <v>#N/A</v>
      </c>
      <c r="AK316" s="88" t="e">
        <f>IF(VLOOKUP($AB316,変換表貼り付け用シート!$A$3:$AN$3000,18,FALSE)="","",(VLOOKUP($AB316,変換表貼り付け用シート!$A$3:$AN$3000,18,FALSE)))</f>
        <v>#N/A</v>
      </c>
      <c r="AL316" s="81" t="e">
        <f>IF(VLOOKUP($AB316,変換表貼り付け用シート!$A$3:$AN$3000,19,FALSE)="","",(VLOOKUP($AB316,変換表貼り付け用シート!$A$3:$AN$3000,19,FALSE)))</f>
        <v>#N/A</v>
      </c>
      <c r="AM316" s="75" t="e">
        <f>IF(VLOOKUP($AB316,変換表貼り付け用シート!$A$3:$AN$3000,20,FALSE)="","",(VLOOKUP($AB316,変換表貼り付け用シート!$A$3:$AN$3000,20,FALSE)))</f>
        <v>#N/A</v>
      </c>
    </row>
    <row r="317" spans="2:39" ht="21" customHeight="1" x14ac:dyDescent="0.35">
      <c r="B317" s="39"/>
      <c r="C317" s="117" t="s">
        <v>1021</v>
      </c>
      <c r="D317" s="96" t="s">
        <v>520</v>
      </c>
      <c r="E317" s="27" t="s">
        <v>44</v>
      </c>
      <c r="F317" s="37" t="s">
        <v>45</v>
      </c>
      <c r="G317" s="33" t="s">
        <v>206</v>
      </c>
      <c r="H317" s="27" t="s">
        <v>419</v>
      </c>
      <c r="I317" s="27" t="s">
        <v>206</v>
      </c>
      <c r="J317" s="37" t="s">
        <v>419</v>
      </c>
      <c r="K317" s="39" t="s">
        <v>184</v>
      </c>
      <c r="L317" s="28" t="s">
        <v>191</v>
      </c>
      <c r="M317" s="28" t="s">
        <v>48</v>
      </c>
      <c r="N317" s="41" t="s">
        <v>192</v>
      </c>
      <c r="O317" s="39" t="s">
        <v>193</v>
      </c>
      <c r="P317" s="28"/>
      <c r="Q317" s="28"/>
      <c r="R317" s="41"/>
      <c r="S317" s="39"/>
      <c r="T317" s="41"/>
      <c r="U317" s="39"/>
      <c r="V317" s="41"/>
      <c r="W317" s="43" t="s">
        <v>711</v>
      </c>
      <c r="X317" s="33"/>
      <c r="Y317" s="27"/>
      <c r="Z317" s="29"/>
      <c r="AB317" s="73" t="str">
        <f t="shared" si="8"/>
        <v>HV BATTパック繋ぎ抵抗－</v>
      </c>
      <c r="AC317" s="74" t="e">
        <f>VLOOKUP($AB317,変換表貼り付け用シート!$A$3:$AN$1133,3,FALSE)</f>
        <v>#N/A</v>
      </c>
      <c r="AD317" s="74" t="e">
        <f t="shared" si="9"/>
        <v>#N/A</v>
      </c>
      <c r="AE317" s="79" t="e">
        <f>IF(VLOOKUP($AB317,変換表貼り付け用シート!$A$3:$AN$3000,12,FALSE)="","",(VLOOKUP($AB317,変換表貼り付け用シート!$A$3:$AN$3000,12,FALSE)))</f>
        <v>#N/A</v>
      </c>
      <c r="AF317" s="80" t="e">
        <f>IF(VLOOKUP($AB317,変換表貼り付け用シート!$A$3:$AN$3000,13,FALSE)="","",(VLOOKUP($AB317,変換表貼り付け用シート!$A$3:$AN$3000,13,FALSE)))</f>
        <v>#N/A</v>
      </c>
      <c r="AG317" s="80" t="e">
        <f>IF(VLOOKUP($AB317,変換表貼り付け用シート!$A$3:$AN$3000,14,FALSE)="","",(VLOOKUP($AB317,変換表貼り付け用シート!$A$3:$AN$3000,14,FALSE)))</f>
        <v>#N/A</v>
      </c>
      <c r="AH317" s="85" t="e">
        <f>IF(VLOOKUP($AB317,変換表貼り付け用シート!$A$3:$AN$3000,15,FALSE)="","",(VLOOKUP($AB317,変換表貼り付け用シート!$A$3:$AN$3000,15,FALSE)))</f>
        <v>#N/A</v>
      </c>
      <c r="AI317" s="79" t="e">
        <f>IF(VLOOKUP($AB317,変換表貼り付け用シート!$A$3:$AN$3000,16,FALSE)="","",(VLOOKUP($AB317,変換表貼り付け用シート!$A$3:$AN$3000,16,FALSE)))</f>
        <v>#N/A</v>
      </c>
      <c r="AJ317" s="81" t="e">
        <f>IF(VLOOKUP($AB317,変換表貼り付け用シート!$A$3:$AN$3000,17,FALSE)="","",(VLOOKUP($AB317,変換表貼り付け用シート!$A$3:$AN$3000,17,FALSE)))</f>
        <v>#N/A</v>
      </c>
      <c r="AK317" s="88" t="e">
        <f>IF(VLOOKUP($AB317,変換表貼り付け用シート!$A$3:$AN$3000,18,FALSE)="","",(VLOOKUP($AB317,変換表貼り付け用シート!$A$3:$AN$3000,18,FALSE)))</f>
        <v>#N/A</v>
      </c>
      <c r="AL317" s="81" t="e">
        <f>IF(VLOOKUP($AB317,変換表貼り付け用シート!$A$3:$AN$3000,19,FALSE)="","",(VLOOKUP($AB317,変換表貼り付け用シート!$A$3:$AN$3000,19,FALSE)))</f>
        <v>#N/A</v>
      </c>
      <c r="AM317" s="75" t="e">
        <f>IF(VLOOKUP($AB317,変換表貼り付け用シート!$A$3:$AN$3000,20,FALSE)="","",(VLOOKUP($AB317,変換表貼り付け用シート!$A$3:$AN$3000,20,FALSE)))</f>
        <v>#N/A</v>
      </c>
    </row>
    <row r="318" spans="2:39" ht="21" customHeight="1" x14ac:dyDescent="0.35">
      <c r="B318" s="39"/>
      <c r="C318" s="117" t="s">
        <v>1022</v>
      </c>
      <c r="D318" s="96" t="s">
        <v>521</v>
      </c>
      <c r="E318" s="27" t="s">
        <v>44</v>
      </c>
      <c r="F318" s="37" t="s">
        <v>45</v>
      </c>
      <c r="G318" s="33" t="s">
        <v>206</v>
      </c>
      <c r="H318" s="27" t="s">
        <v>419</v>
      </c>
      <c r="I318" s="27" t="s">
        <v>206</v>
      </c>
      <c r="J318" s="37" t="s">
        <v>419</v>
      </c>
      <c r="K318" s="39" t="s">
        <v>184</v>
      </c>
      <c r="L318" s="28" t="s">
        <v>194</v>
      </c>
      <c r="M318" s="28" t="s">
        <v>48</v>
      </c>
      <c r="N318" s="41" t="s">
        <v>192</v>
      </c>
      <c r="O318" s="39" t="s">
        <v>108</v>
      </c>
      <c r="P318" s="28"/>
      <c r="Q318" s="28"/>
      <c r="R318" s="41"/>
      <c r="S318" s="39"/>
      <c r="T318" s="41"/>
      <c r="U318" s="39"/>
      <c r="V318" s="41"/>
      <c r="W318" s="43" t="s">
        <v>711</v>
      </c>
      <c r="X318" s="33"/>
      <c r="Y318" s="27"/>
      <c r="Z318" s="29"/>
      <c r="AB318" s="73" t="str">
        <f t="shared" si="8"/>
        <v>HV BATTDCハーネスの抵抗－</v>
      </c>
      <c r="AC318" s="74" t="e">
        <f>VLOOKUP($AB318,変換表貼り付け用シート!$A$3:$AN$1133,3,FALSE)</f>
        <v>#N/A</v>
      </c>
      <c r="AD318" s="74" t="e">
        <f t="shared" si="9"/>
        <v>#N/A</v>
      </c>
      <c r="AE318" s="79" t="e">
        <f>IF(VLOOKUP($AB318,変換表貼り付け用シート!$A$3:$AN$3000,12,FALSE)="","",(VLOOKUP($AB318,変換表貼り付け用シート!$A$3:$AN$3000,12,FALSE)))</f>
        <v>#N/A</v>
      </c>
      <c r="AF318" s="80" t="e">
        <f>IF(VLOOKUP($AB318,変換表貼り付け用シート!$A$3:$AN$3000,13,FALSE)="","",(VLOOKUP($AB318,変換表貼り付け用シート!$A$3:$AN$3000,13,FALSE)))</f>
        <v>#N/A</v>
      </c>
      <c r="AG318" s="80" t="e">
        <f>IF(VLOOKUP($AB318,変換表貼り付け用シート!$A$3:$AN$3000,14,FALSE)="","",(VLOOKUP($AB318,変換表貼り付け用シート!$A$3:$AN$3000,14,FALSE)))</f>
        <v>#N/A</v>
      </c>
      <c r="AH318" s="85" t="e">
        <f>IF(VLOOKUP($AB318,変換表貼り付け用シート!$A$3:$AN$3000,15,FALSE)="","",(VLOOKUP($AB318,変換表貼り付け用シート!$A$3:$AN$3000,15,FALSE)))</f>
        <v>#N/A</v>
      </c>
      <c r="AI318" s="79" t="e">
        <f>IF(VLOOKUP($AB318,変換表貼り付け用シート!$A$3:$AN$3000,16,FALSE)="","",(VLOOKUP($AB318,変換表貼り付け用シート!$A$3:$AN$3000,16,FALSE)))</f>
        <v>#N/A</v>
      </c>
      <c r="AJ318" s="81" t="e">
        <f>IF(VLOOKUP($AB318,変換表貼り付け用シート!$A$3:$AN$3000,17,FALSE)="","",(VLOOKUP($AB318,変換表貼り付け用シート!$A$3:$AN$3000,17,FALSE)))</f>
        <v>#N/A</v>
      </c>
      <c r="AK318" s="88" t="e">
        <f>IF(VLOOKUP($AB318,変換表貼り付け用シート!$A$3:$AN$3000,18,FALSE)="","",(VLOOKUP($AB318,変換表貼り付け用シート!$A$3:$AN$3000,18,FALSE)))</f>
        <v>#N/A</v>
      </c>
      <c r="AL318" s="81" t="e">
        <f>IF(VLOOKUP($AB318,変換表貼り付け用シート!$A$3:$AN$3000,19,FALSE)="","",(VLOOKUP($AB318,変換表貼り付け用シート!$A$3:$AN$3000,19,FALSE)))</f>
        <v>#N/A</v>
      </c>
      <c r="AM318" s="75" t="e">
        <f>IF(VLOOKUP($AB318,変換表貼り付け用シート!$A$3:$AN$3000,20,FALSE)="","",(VLOOKUP($AB318,変換表貼り付け用シート!$A$3:$AN$3000,20,FALSE)))</f>
        <v>#N/A</v>
      </c>
    </row>
    <row r="319" spans="2:39" ht="21" customHeight="1" x14ac:dyDescent="0.35">
      <c r="B319" s="39"/>
      <c r="C319" s="117" t="s">
        <v>1023</v>
      </c>
      <c r="D319" s="96" t="s">
        <v>522</v>
      </c>
      <c r="E319" s="27" t="s">
        <v>44</v>
      </c>
      <c r="F319" s="37" t="s">
        <v>45</v>
      </c>
      <c r="G319" s="33" t="s">
        <v>206</v>
      </c>
      <c r="H319" s="27" t="s">
        <v>523</v>
      </c>
      <c r="I319" s="27" t="s">
        <v>206</v>
      </c>
      <c r="J319" s="37" t="s">
        <v>523</v>
      </c>
      <c r="K319" s="39" t="s">
        <v>46</v>
      </c>
      <c r="L319" s="28" t="s">
        <v>47</v>
      </c>
      <c r="M319" s="28" t="s">
        <v>48</v>
      </c>
      <c r="N319" s="41" t="s">
        <v>49</v>
      </c>
      <c r="O319" s="39">
        <v>1102</v>
      </c>
      <c r="P319" s="28"/>
      <c r="Q319" s="28"/>
      <c r="R319" s="41"/>
      <c r="S319" s="39"/>
      <c r="T319" s="41"/>
      <c r="U319" s="39"/>
      <c r="V319" s="41"/>
      <c r="W319" s="43" t="s">
        <v>711</v>
      </c>
      <c r="X319" s="33"/>
      <c r="Y319" s="27"/>
      <c r="Z319" s="29"/>
      <c r="AB319" s="73" t="str">
        <f t="shared" si="8"/>
        <v>Vehicle WeightMin.C.W.－</v>
      </c>
      <c r="AC319" s="74" t="e">
        <f>VLOOKUP($AB319,変換表貼り付け用シート!$A$3:$AN$1133,3,FALSE)</f>
        <v>#N/A</v>
      </c>
      <c r="AD319" s="74" t="e">
        <f t="shared" si="9"/>
        <v>#N/A</v>
      </c>
      <c r="AE319" s="79" t="e">
        <f>IF(VLOOKUP($AB319,変換表貼り付け用シート!$A$3:$AN$3000,12,FALSE)="","",(VLOOKUP($AB319,変換表貼り付け用シート!$A$3:$AN$3000,12,FALSE)))</f>
        <v>#N/A</v>
      </c>
      <c r="AF319" s="80" t="e">
        <f>IF(VLOOKUP($AB319,変換表貼り付け用シート!$A$3:$AN$3000,13,FALSE)="","",(VLOOKUP($AB319,変換表貼り付け用シート!$A$3:$AN$3000,13,FALSE)))</f>
        <v>#N/A</v>
      </c>
      <c r="AG319" s="80" t="e">
        <f>IF(VLOOKUP($AB319,変換表貼り付け用シート!$A$3:$AN$3000,14,FALSE)="","",(VLOOKUP($AB319,変換表貼り付け用シート!$A$3:$AN$3000,14,FALSE)))</f>
        <v>#N/A</v>
      </c>
      <c r="AH319" s="85" t="e">
        <f>IF(VLOOKUP($AB319,変換表貼り付け用シート!$A$3:$AN$3000,15,FALSE)="","",(VLOOKUP($AB319,変換表貼り付け用シート!$A$3:$AN$3000,15,FALSE)))</f>
        <v>#N/A</v>
      </c>
      <c r="AI319" s="79" t="e">
        <f>IF(VLOOKUP($AB319,変換表貼り付け用シート!$A$3:$AN$3000,16,FALSE)="","",(VLOOKUP($AB319,変換表貼り付け用シート!$A$3:$AN$3000,16,FALSE)))</f>
        <v>#N/A</v>
      </c>
      <c r="AJ319" s="81" t="e">
        <f>IF(VLOOKUP($AB319,変換表貼り付け用シート!$A$3:$AN$3000,17,FALSE)="","",(VLOOKUP($AB319,変換表貼り付け用シート!$A$3:$AN$3000,17,FALSE)))</f>
        <v>#N/A</v>
      </c>
      <c r="AK319" s="88" t="e">
        <f>IF(VLOOKUP($AB319,変換表貼り付け用シート!$A$3:$AN$3000,18,FALSE)="","",(VLOOKUP($AB319,変換表貼り付け用シート!$A$3:$AN$3000,18,FALSE)))</f>
        <v>#N/A</v>
      </c>
      <c r="AL319" s="81" t="e">
        <f>IF(VLOOKUP($AB319,変換表貼り付け用シート!$A$3:$AN$3000,19,FALSE)="","",(VLOOKUP($AB319,変換表貼り付け用シート!$A$3:$AN$3000,19,FALSE)))</f>
        <v>#N/A</v>
      </c>
      <c r="AM319" s="75" t="e">
        <f>IF(VLOOKUP($AB319,変換表貼り付け用シート!$A$3:$AN$3000,20,FALSE)="","",(VLOOKUP($AB319,変換表貼り付け用シート!$A$3:$AN$3000,20,FALSE)))</f>
        <v>#N/A</v>
      </c>
    </row>
    <row r="320" spans="2:39" ht="21" customHeight="1" x14ac:dyDescent="0.35">
      <c r="B320" s="39"/>
      <c r="C320" s="117" t="s">
        <v>1024</v>
      </c>
      <c r="D320" s="96" t="s">
        <v>524</v>
      </c>
      <c r="E320" s="27" t="s">
        <v>44</v>
      </c>
      <c r="F320" s="37" t="s">
        <v>45</v>
      </c>
      <c r="G320" s="33" t="s">
        <v>206</v>
      </c>
      <c r="H320" s="27" t="s">
        <v>523</v>
      </c>
      <c r="I320" s="27" t="s">
        <v>206</v>
      </c>
      <c r="J320" s="37" t="s">
        <v>523</v>
      </c>
      <c r="K320" s="39" t="s">
        <v>46</v>
      </c>
      <c r="L320" s="28" t="s">
        <v>50</v>
      </c>
      <c r="M320" s="28" t="s">
        <v>48</v>
      </c>
      <c r="N320" s="41" t="s">
        <v>49</v>
      </c>
      <c r="O320" s="39">
        <v>1116</v>
      </c>
      <c r="P320" s="28"/>
      <c r="Q320" s="28"/>
      <c r="R320" s="41"/>
      <c r="S320" s="39"/>
      <c r="T320" s="41"/>
      <c r="U320" s="39"/>
      <c r="V320" s="41"/>
      <c r="W320" s="43" t="s">
        <v>711</v>
      </c>
      <c r="X320" s="33"/>
      <c r="Y320" s="27"/>
      <c r="Z320" s="29"/>
      <c r="AB320" s="73" t="str">
        <f t="shared" si="8"/>
        <v>Vehicle WeightMax.C.W.－</v>
      </c>
      <c r="AC320" s="74" t="e">
        <f>VLOOKUP($AB320,変換表貼り付け用シート!$A$3:$AN$1133,3,FALSE)</f>
        <v>#N/A</v>
      </c>
      <c r="AD320" s="74" t="e">
        <f t="shared" si="9"/>
        <v>#N/A</v>
      </c>
      <c r="AE320" s="79" t="e">
        <f>IF(VLOOKUP($AB320,変換表貼り付け用シート!$A$3:$AN$3000,12,FALSE)="","",(VLOOKUP($AB320,変換表貼り付け用シート!$A$3:$AN$3000,12,FALSE)))</f>
        <v>#N/A</v>
      </c>
      <c r="AF320" s="80" t="e">
        <f>IF(VLOOKUP($AB320,変換表貼り付け用シート!$A$3:$AN$3000,13,FALSE)="","",(VLOOKUP($AB320,変換表貼り付け用シート!$A$3:$AN$3000,13,FALSE)))</f>
        <v>#N/A</v>
      </c>
      <c r="AG320" s="80" t="e">
        <f>IF(VLOOKUP($AB320,変換表貼り付け用シート!$A$3:$AN$3000,14,FALSE)="","",(VLOOKUP($AB320,変換表貼り付け用シート!$A$3:$AN$3000,14,FALSE)))</f>
        <v>#N/A</v>
      </c>
      <c r="AH320" s="85" t="e">
        <f>IF(VLOOKUP($AB320,変換表貼り付け用シート!$A$3:$AN$3000,15,FALSE)="","",(VLOOKUP($AB320,変換表貼り付け用シート!$A$3:$AN$3000,15,FALSE)))</f>
        <v>#N/A</v>
      </c>
      <c r="AI320" s="79" t="e">
        <f>IF(VLOOKUP($AB320,変換表貼り付け用シート!$A$3:$AN$3000,16,FALSE)="","",(VLOOKUP($AB320,変換表貼り付け用シート!$A$3:$AN$3000,16,FALSE)))</f>
        <v>#N/A</v>
      </c>
      <c r="AJ320" s="81" t="e">
        <f>IF(VLOOKUP($AB320,変換表貼り付け用シート!$A$3:$AN$3000,17,FALSE)="","",(VLOOKUP($AB320,変換表貼り付け用シート!$A$3:$AN$3000,17,FALSE)))</f>
        <v>#N/A</v>
      </c>
      <c r="AK320" s="88" t="e">
        <f>IF(VLOOKUP($AB320,変換表貼り付け用シート!$A$3:$AN$3000,18,FALSE)="","",(VLOOKUP($AB320,変換表貼り付け用シート!$A$3:$AN$3000,18,FALSE)))</f>
        <v>#N/A</v>
      </c>
      <c r="AL320" s="81" t="e">
        <f>IF(VLOOKUP($AB320,変換表貼り付け用シート!$A$3:$AN$3000,19,FALSE)="","",(VLOOKUP($AB320,変換表貼り付け用シート!$A$3:$AN$3000,19,FALSE)))</f>
        <v>#N/A</v>
      </c>
      <c r="AM320" s="75" t="e">
        <f>IF(VLOOKUP($AB320,変換表貼り付け用シート!$A$3:$AN$3000,20,FALSE)="","",(VLOOKUP($AB320,変換表貼り付け用シート!$A$3:$AN$3000,20,FALSE)))</f>
        <v>#N/A</v>
      </c>
    </row>
    <row r="321" spans="2:39" ht="21" customHeight="1" x14ac:dyDescent="0.35">
      <c r="B321" s="39"/>
      <c r="C321" s="117" t="s">
        <v>1025</v>
      </c>
      <c r="D321" s="96" t="s">
        <v>525</v>
      </c>
      <c r="E321" s="27" t="s">
        <v>44</v>
      </c>
      <c r="F321" s="37" t="s">
        <v>45</v>
      </c>
      <c r="G321" s="33" t="s">
        <v>206</v>
      </c>
      <c r="H321" s="27" t="s">
        <v>523</v>
      </c>
      <c r="I321" s="27" t="s">
        <v>206</v>
      </c>
      <c r="J321" s="37" t="s">
        <v>523</v>
      </c>
      <c r="K321" s="39" t="s">
        <v>46</v>
      </c>
      <c r="L321" s="28" t="s">
        <v>51</v>
      </c>
      <c r="M321" s="28" t="s">
        <v>48</v>
      </c>
      <c r="N321" s="41" t="s">
        <v>49</v>
      </c>
      <c r="O321" s="39">
        <v>1.6</v>
      </c>
      <c r="P321" s="28"/>
      <c r="Q321" s="28"/>
      <c r="R321" s="41"/>
      <c r="S321" s="39"/>
      <c r="T321" s="41"/>
      <c r="U321" s="39"/>
      <c r="V321" s="41"/>
      <c r="W321" s="43" t="s">
        <v>711</v>
      </c>
      <c r="X321" s="33"/>
      <c r="Y321" s="27"/>
      <c r="Z321" s="29"/>
      <c r="AB321" s="73" t="str">
        <f t="shared" si="8"/>
        <v>Vehicle Weightスペアタイヤ&amp;工具 －</v>
      </c>
      <c r="AC321" s="74" t="e">
        <f>VLOOKUP($AB321,変換表貼り付け用シート!$A$3:$AN$1133,3,FALSE)</f>
        <v>#N/A</v>
      </c>
      <c r="AD321" s="74" t="e">
        <f t="shared" si="9"/>
        <v>#N/A</v>
      </c>
      <c r="AE321" s="79" t="e">
        <f>IF(VLOOKUP($AB321,変換表貼り付け用シート!$A$3:$AN$3000,12,FALSE)="","",(VLOOKUP($AB321,変換表貼り付け用シート!$A$3:$AN$3000,12,FALSE)))</f>
        <v>#N/A</v>
      </c>
      <c r="AF321" s="80" t="e">
        <f>IF(VLOOKUP($AB321,変換表貼り付け用シート!$A$3:$AN$3000,13,FALSE)="","",(VLOOKUP($AB321,変換表貼り付け用シート!$A$3:$AN$3000,13,FALSE)))</f>
        <v>#N/A</v>
      </c>
      <c r="AG321" s="80" t="e">
        <f>IF(VLOOKUP($AB321,変換表貼り付け用シート!$A$3:$AN$3000,14,FALSE)="","",(VLOOKUP($AB321,変換表貼り付け用シート!$A$3:$AN$3000,14,FALSE)))</f>
        <v>#N/A</v>
      </c>
      <c r="AH321" s="85" t="e">
        <f>IF(VLOOKUP($AB321,変換表貼り付け用シート!$A$3:$AN$3000,15,FALSE)="","",(VLOOKUP($AB321,変換表貼り付け用シート!$A$3:$AN$3000,15,FALSE)))</f>
        <v>#N/A</v>
      </c>
      <c r="AI321" s="79" t="e">
        <f>IF(VLOOKUP($AB321,変換表貼り付け用シート!$A$3:$AN$3000,16,FALSE)="","",(VLOOKUP($AB321,変換表貼り付け用シート!$A$3:$AN$3000,16,FALSE)))</f>
        <v>#N/A</v>
      </c>
      <c r="AJ321" s="81" t="e">
        <f>IF(VLOOKUP($AB321,変換表貼り付け用シート!$A$3:$AN$3000,17,FALSE)="","",(VLOOKUP($AB321,変換表貼り付け用シート!$A$3:$AN$3000,17,FALSE)))</f>
        <v>#N/A</v>
      </c>
      <c r="AK321" s="88" t="e">
        <f>IF(VLOOKUP($AB321,変換表貼り付け用シート!$A$3:$AN$3000,18,FALSE)="","",(VLOOKUP($AB321,変換表貼り付け用シート!$A$3:$AN$3000,18,FALSE)))</f>
        <v>#N/A</v>
      </c>
      <c r="AL321" s="81" t="e">
        <f>IF(VLOOKUP($AB321,変換表貼り付け用シート!$A$3:$AN$3000,19,FALSE)="","",(VLOOKUP($AB321,変換表貼り付け用シート!$A$3:$AN$3000,19,FALSE)))</f>
        <v>#N/A</v>
      </c>
      <c r="AM321" s="75" t="e">
        <f>IF(VLOOKUP($AB321,変換表貼り付け用シート!$A$3:$AN$3000,20,FALSE)="","",(VLOOKUP($AB321,変換表貼り付け用シート!$A$3:$AN$3000,20,FALSE)))</f>
        <v>#N/A</v>
      </c>
    </row>
    <row r="322" spans="2:39" ht="21" customHeight="1" x14ac:dyDescent="0.35">
      <c r="B322" s="39"/>
      <c r="C322" s="117" t="s">
        <v>1026</v>
      </c>
      <c r="D322" s="96" t="s">
        <v>526</v>
      </c>
      <c r="E322" s="27" t="s">
        <v>44</v>
      </c>
      <c r="F322" s="37" t="s">
        <v>45</v>
      </c>
      <c r="G322" s="33" t="s">
        <v>206</v>
      </c>
      <c r="H322" s="27" t="s">
        <v>523</v>
      </c>
      <c r="I322" s="27" t="s">
        <v>206</v>
      </c>
      <c r="J322" s="37" t="s">
        <v>523</v>
      </c>
      <c r="K322" s="39" t="s">
        <v>46</v>
      </c>
      <c r="L322" s="28" t="s">
        <v>52</v>
      </c>
      <c r="M322" s="28" t="s">
        <v>48</v>
      </c>
      <c r="N322" s="41" t="s">
        <v>49</v>
      </c>
      <c r="O322" s="39" t="s">
        <v>53</v>
      </c>
      <c r="P322" s="28"/>
      <c r="Q322" s="28"/>
      <c r="R322" s="41"/>
      <c r="S322" s="39"/>
      <c r="T322" s="41"/>
      <c r="U322" s="39"/>
      <c r="V322" s="41"/>
      <c r="W322" s="43" t="s">
        <v>711</v>
      </c>
      <c r="X322" s="33"/>
      <c r="Y322" s="27"/>
      <c r="Z322" s="29"/>
      <c r="AB322" s="73" t="str">
        <f t="shared" si="8"/>
        <v>Vehicle WeightEPA届出重量－</v>
      </c>
      <c r="AC322" s="74" t="e">
        <f>VLOOKUP($AB322,変換表貼り付け用シート!$A$3:$AN$1133,3,FALSE)</f>
        <v>#N/A</v>
      </c>
      <c r="AD322" s="74" t="e">
        <f t="shared" si="9"/>
        <v>#N/A</v>
      </c>
      <c r="AE322" s="79" t="e">
        <f>IF(VLOOKUP($AB322,変換表貼り付け用シート!$A$3:$AN$3000,12,FALSE)="","",(VLOOKUP($AB322,変換表貼り付け用シート!$A$3:$AN$3000,12,FALSE)))</f>
        <v>#N/A</v>
      </c>
      <c r="AF322" s="80" t="e">
        <f>IF(VLOOKUP($AB322,変換表貼り付け用シート!$A$3:$AN$3000,13,FALSE)="","",(VLOOKUP($AB322,変換表貼り付け用シート!$A$3:$AN$3000,13,FALSE)))</f>
        <v>#N/A</v>
      </c>
      <c r="AG322" s="80" t="e">
        <f>IF(VLOOKUP($AB322,変換表貼り付け用シート!$A$3:$AN$3000,14,FALSE)="","",(VLOOKUP($AB322,変換表貼り付け用シート!$A$3:$AN$3000,14,FALSE)))</f>
        <v>#N/A</v>
      </c>
      <c r="AH322" s="85" t="e">
        <f>IF(VLOOKUP($AB322,変換表貼り付け用シート!$A$3:$AN$3000,15,FALSE)="","",(VLOOKUP($AB322,変換表貼り付け用シート!$A$3:$AN$3000,15,FALSE)))</f>
        <v>#N/A</v>
      </c>
      <c r="AI322" s="79" t="e">
        <f>IF(VLOOKUP($AB322,変換表貼り付け用シート!$A$3:$AN$3000,16,FALSE)="","",(VLOOKUP($AB322,変換表貼り付け用シート!$A$3:$AN$3000,16,FALSE)))</f>
        <v>#N/A</v>
      </c>
      <c r="AJ322" s="81" t="e">
        <f>IF(VLOOKUP($AB322,変換表貼り付け用シート!$A$3:$AN$3000,17,FALSE)="","",(VLOOKUP($AB322,変換表貼り付け用シート!$A$3:$AN$3000,17,FALSE)))</f>
        <v>#N/A</v>
      </c>
      <c r="AK322" s="88" t="e">
        <f>IF(VLOOKUP($AB322,変換表貼り付け用シート!$A$3:$AN$3000,18,FALSE)="","",(VLOOKUP($AB322,変換表貼り付け用シート!$A$3:$AN$3000,18,FALSE)))</f>
        <v>#N/A</v>
      </c>
      <c r="AL322" s="81" t="e">
        <f>IF(VLOOKUP($AB322,変換表貼り付け用シート!$A$3:$AN$3000,19,FALSE)="","",(VLOOKUP($AB322,変換表貼り付け用シート!$A$3:$AN$3000,19,FALSE)))</f>
        <v>#N/A</v>
      </c>
      <c r="AM322" s="75" t="e">
        <f>IF(VLOOKUP($AB322,変換表貼り付け用シート!$A$3:$AN$3000,20,FALSE)="","",(VLOOKUP($AB322,変換表貼り付け用シート!$A$3:$AN$3000,20,FALSE)))</f>
        <v>#N/A</v>
      </c>
    </row>
    <row r="323" spans="2:39" ht="21" customHeight="1" x14ac:dyDescent="0.35">
      <c r="B323" s="39"/>
      <c r="C323" s="117" t="s">
        <v>1027</v>
      </c>
      <c r="D323" s="96" t="s">
        <v>527</v>
      </c>
      <c r="E323" s="27" t="s">
        <v>44</v>
      </c>
      <c r="F323" s="37" t="s">
        <v>45</v>
      </c>
      <c r="G323" s="33" t="s">
        <v>206</v>
      </c>
      <c r="H323" s="27" t="s">
        <v>523</v>
      </c>
      <c r="I323" s="27" t="s">
        <v>206</v>
      </c>
      <c r="J323" s="37" t="s">
        <v>523</v>
      </c>
      <c r="K323" s="39" t="s">
        <v>54</v>
      </c>
      <c r="L323" s="28" t="s">
        <v>55</v>
      </c>
      <c r="M323" s="28" t="s">
        <v>48</v>
      </c>
      <c r="N323" s="41" t="s">
        <v>49</v>
      </c>
      <c r="O323" s="39">
        <v>1358</v>
      </c>
      <c r="P323" s="28"/>
      <c r="Q323" s="28"/>
      <c r="R323" s="41"/>
      <c r="S323" s="39"/>
      <c r="T323" s="41"/>
      <c r="U323" s="39"/>
      <c r="V323" s="41"/>
      <c r="W323" s="43" t="s">
        <v>711</v>
      </c>
      <c r="X323" s="33"/>
      <c r="Y323" s="27"/>
      <c r="Z323" s="29"/>
      <c r="AB323" s="73" t="str">
        <f t="shared" si="8"/>
        <v>Vehicle Severe WeightPTW or GVWR－</v>
      </c>
      <c r="AC323" s="74" t="e">
        <f>VLOOKUP($AB323,変換表貼り付け用シート!$A$3:$AN$1133,3,FALSE)</f>
        <v>#N/A</v>
      </c>
      <c r="AD323" s="74" t="e">
        <f t="shared" si="9"/>
        <v>#N/A</v>
      </c>
      <c r="AE323" s="79" t="e">
        <f>IF(VLOOKUP($AB323,変換表貼り付け用シート!$A$3:$AN$3000,12,FALSE)="","",(VLOOKUP($AB323,変換表貼り付け用シート!$A$3:$AN$3000,12,FALSE)))</f>
        <v>#N/A</v>
      </c>
      <c r="AF323" s="80" t="e">
        <f>IF(VLOOKUP($AB323,変換表貼り付け用シート!$A$3:$AN$3000,13,FALSE)="","",(VLOOKUP($AB323,変換表貼り付け用シート!$A$3:$AN$3000,13,FALSE)))</f>
        <v>#N/A</v>
      </c>
      <c r="AG323" s="80" t="e">
        <f>IF(VLOOKUP($AB323,変換表貼り付け用シート!$A$3:$AN$3000,14,FALSE)="","",(VLOOKUP($AB323,変換表貼り付け用シート!$A$3:$AN$3000,14,FALSE)))</f>
        <v>#N/A</v>
      </c>
      <c r="AH323" s="85" t="e">
        <f>IF(VLOOKUP($AB323,変換表貼り付け用シート!$A$3:$AN$3000,15,FALSE)="","",(VLOOKUP($AB323,変換表貼り付け用シート!$A$3:$AN$3000,15,FALSE)))</f>
        <v>#N/A</v>
      </c>
      <c r="AI323" s="79" t="e">
        <f>IF(VLOOKUP($AB323,変換表貼り付け用シート!$A$3:$AN$3000,16,FALSE)="","",(VLOOKUP($AB323,変換表貼り付け用シート!$A$3:$AN$3000,16,FALSE)))</f>
        <v>#N/A</v>
      </c>
      <c r="AJ323" s="81" t="e">
        <f>IF(VLOOKUP($AB323,変換表貼り付け用シート!$A$3:$AN$3000,17,FALSE)="","",(VLOOKUP($AB323,変換表貼り付け用シート!$A$3:$AN$3000,17,FALSE)))</f>
        <v>#N/A</v>
      </c>
      <c r="AK323" s="88" t="e">
        <f>IF(VLOOKUP($AB323,変換表貼り付け用シート!$A$3:$AN$3000,18,FALSE)="","",(VLOOKUP($AB323,変換表貼り付け用シート!$A$3:$AN$3000,18,FALSE)))</f>
        <v>#N/A</v>
      </c>
      <c r="AL323" s="81" t="e">
        <f>IF(VLOOKUP($AB323,変換表貼り付け用シート!$A$3:$AN$3000,19,FALSE)="","",(VLOOKUP($AB323,変換表貼り付け用シート!$A$3:$AN$3000,19,FALSE)))</f>
        <v>#N/A</v>
      </c>
      <c r="AM323" s="75" t="e">
        <f>IF(VLOOKUP($AB323,変換表貼り付け用シート!$A$3:$AN$3000,20,FALSE)="","",(VLOOKUP($AB323,変換表貼り付け用シート!$A$3:$AN$3000,20,FALSE)))</f>
        <v>#N/A</v>
      </c>
    </row>
    <row r="324" spans="2:39" ht="21" customHeight="1" x14ac:dyDescent="0.35">
      <c r="B324" s="39"/>
      <c r="C324" s="117" t="s">
        <v>1028</v>
      </c>
      <c r="D324" s="96" t="s">
        <v>528</v>
      </c>
      <c r="E324" s="27" t="s">
        <v>44</v>
      </c>
      <c r="F324" s="37" t="s">
        <v>45</v>
      </c>
      <c r="G324" s="33" t="s">
        <v>206</v>
      </c>
      <c r="H324" s="27" t="s">
        <v>523</v>
      </c>
      <c r="I324" s="27" t="s">
        <v>206</v>
      </c>
      <c r="J324" s="37" t="s">
        <v>523</v>
      </c>
      <c r="K324" s="39" t="s">
        <v>54</v>
      </c>
      <c r="L324" s="28" t="s">
        <v>56</v>
      </c>
      <c r="M324" s="28" t="s">
        <v>48</v>
      </c>
      <c r="N324" s="41" t="s">
        <v>49</v>
      </c>
      <c r="O324" s="39" t="s">
        <v>57</v>
      </c>
      <c r="P324" s="28"/>
      <c r="Q324" s="28"/>
      <c r="R324" s="41"/>
      <c r="S324" s="39"/>
      <c r="T324" s="41"/>
      <c r="U324" s="39"/>
      <c r="V324" s="41"/>
      <c r="W324" s="43" t="s">
        <v>711</v>
      </c>
      <c r="X324" s="33"/>
      <c r="Y324" s="27"/>
      <c r="Z324" s="29"/>
      <c r="AB324" s="73" t="str">
        <f t="shared" si="8"/>
        <v>Vehicle Severe WeightGAWR FR－</v>
      </c>
      <c r="AC324" s="74" t="e">
        <f>VLOOKUP($AB324,変換表貼り付け用シート!$A$3:$AN$1133,3,FALSE)</f>
        <v>#N/A</v>
      </c>
      <c r="AD324" s="74" t="e">
        <f t="shared" si="9"/>
        <v>#N/A</v>
      </c>
      <c r="AE324" s="79" t="e">
        <f>IF(VLOOKUP($AB324,変換表貼り付け用シート!$A$3:$AN$3000,12,FALSE)="","",(VLOOKUP($AB324,変換表貼り付け用シート!$A$3:$AN$3000,12,FALSE)))</f>
        <v>#N/A</v>
      </c>
      <c r="AF324" s="80" t="e">
        <f>IF(VLOOKUP($AB324,変換表貼り付け用シート!$A$3:$AN$3000,13,FALSE)="","",(VLOOKUP($AB324,変換表貼り付け用シート!$A$3:$AN$3000,13,FALSE)))</f>
        <v>#N/A</v>
      </c>
      <c r="AG324" s="80" t="e">
        <f>IF(VLOOKUP($AB324,変換表貼り付け用シート!$A$3:$AN$3000,14,FALSE)="","",(VLOOKUP($AB324,変換表貼り付け用シート!$A$3:$AN$3000,14,FALSE)))</f>
        <v>#N/A</v>
      </c>
      <c r="AH324" s="85" t="e">
        <f>IF(VLOOKUP($AB324,変換表貼り付け用シート!$A$3:$AN$3000,15,FALSE)="","",(VLOOKUP($AB324,変換表貼り付け用シート!$A$3:$AN$3000,15,FALSE)))</f>
        <v>#N/A</v>
      </c>
      <c r="AI324" s="79" t="e">
        <f>IF(VLOOKUP($AB324,変換表貼り付け用シート!$A$3:$AN$3000,16,FALSE)="","",(VLOOKUP($AB324,変換表貼り付け用シート!$A$3:$AN$3000,16,FALSE)))</f>
        <v>#N/A</v>
      </c>
      <c r="AJ324" s="81" t="e">
        <f>IF(VLOOKUP($AB324,変換表貼り付け用シート!$A$3:$AN$3000,17,FALSE)="","",(VLOOKUP($AB324,変換表貼り付け用シート!$A$3:$AN$3000,17,FALSE)))</f>
        <v>#N/A</v>
      </c>
      <c r="AK324" s="88" t="e">
        <f>IF(VLOOKUP($AB324,変換表貼り付け用シート!$A$3:$AN$3000,18,FALSE)="","",(VLOOKUP($AB324,変換表貼り付け用シート!$A$3:$AN$3000,18,FALSE)))</f>
        <v>#N/A</v>
      </c>
      <c r="AL324" s="81" t="e">
        <f>IF(VLOOKUP($AB324,変換表貼り付け用シート!$A$3:$AN$3000,19,FALSE)="","",(VLOOKUP($AB324,変換表貼り付け用シート!$A$3:$AN$3000,19,FALSE)))</f>
        <v>#N/A</v>
      </c>
      <c r="AM324" s="75" t="e">
        <f>IF(VLOOKUP($AB324,変換表貼り付け用シート!$A$3:$AN$3000,20,FALSE)="","",(VLOOKUP($AB324,変換表貼り付け用シート!$A$3:$AN$3000,20,FALSE)))</f>
        <v>#N/A</v>
      </c>
    </row>
    <row r="325" spans="2:39" ht="21" customHeight="1" x14ac:dyDescent="0.35">
      <c r="B325" s="39"/>
      <c r="C325" s="117" t="s">
        <v>1029</v>
      </c>
      <c r="D325" s="96" t="s">
        <v>529</v>
      </c>
      <c r="E325" s="27" t="s">
        <v>44</v>
      </c>
      <c r="F325" s="37" t="s">
        <v>45</v>
      </c>
      <c r="G325" s="33" t="s">
        <v>206</v>
      </c>
      <c r="H325" s="27" t="s">
        <v>523</v>
      </c>
      <c r="I325" s="27" t="s">
        <v>206</v>
      </c>
      <c r="J325" s="37" t="s">
        <v>523</v>
      </c>
      <c r="K325" s="39" t="s">
        <v>54</v>
      </c>
      <c r="L325" s="28" t="s">
        <v>58</v>
      </c>
      <c r="M325" s="28" t="s">
        <v>48</v>
      </c>
      <c r="N325" s="41" t="s">
        <v>49</v>
      </c>
      <c r="O325" s="39" t="s">
        <v>57</v>
      </c>
      <c r="P325" s="28"/>
      <c r="Q325" s="28"/>
      <c r="R325" s="41"/>
      <c r="S325" s="39"/>
      <c r="T325" s="41"/>
      <c r="U325" s="39"/>
      <c r="V325" s="41"/>
      <c r="W325" s="43" t="s">
        <v>711</v>
      </c>
      <c r="X325" s="33"/>
      <c r="Y325" s="27"/>
      <c r="Z325" s="29"/>
      <c r="AB325" s="73" t="str">
        <f t="shared" si="8"/>
        <v>Vehicle Severe WeightGAWR RR－</v>
      </c>
      <c r="AC325" s="74" t="e">
        <f>VLOOKUP($AB325,変換表貼り付け用シート!$A$3:$AN$1133,3,FALSE)</f>
        <v>#N/A</v>
      </c>
      <c r="AD325" s="74" t="e">
        <f t="shared" si="9"/>
        <v>#N/A</v>
      </c>
      <c r="AE325" s="79" t="e">
        <f>IF(VLOOKUP($AB325,変換表貼り付け用シート!$A$3:$AN$3000,12,FALSE)="","",(VLOOKUP($AB325,変換表貼り付け用シート!$A$3:$AN$3000,12,FALSE)))</f>
        <v>#N/A</v>
      </c>
      <c r="AF325" s="80" t="e">
        <f>IF(VLOOKUP($AB325,変換表貼り付け用シート!$A$3:$AN$3000,13,FALSE)="","",(VLOOKUP($AB325,変換表貼り付け用シート!$A$3:$AN$3000,13,FALSE)))</f>
        <v>#N/A</v>
      </c>
      <c r="AG325" s="80" t="e">
        <f>IF(VLOOKUP($AB325,変換表貼り付け用シート!$A$3:$AN$3000,14,FALSE)="","",(VLOOKUP($AB325,変換表貼り付け用シート!$A$3:$AN$3000,14,FALSE)))</f>
        <v>#N/A</v>
      </c>
      <c r="AH325" s="85" t="e">
        <f>IF(VLOOKUP($AB325,変換表貼り付け用シート!$A$3:$AN$3000,15,FALSE)="","",(VLOOKUP($AB325,変換表貼り付け用シート!$A$3:$AN$3000,15,FALSE)))</f>
        <v>#N/A</v>
      </c>
      <c r="AI325" s="79" t="e">
        <f>IF(VLOOKUP($AB325,変換表貼り付け用シート!$A$3:$AN$3000,16,FALSE)="","",(VLOOKUP($AB325,変換表貼り付け用シート!$A$3:$AN$3000,16,FALSE)))</f>
        <v>#N/A</v>
      </c>
      <c r="AJ325" s="81" t="e">
        <f>IF(VLOOKUP($AB325,変換表貼り付け用シート!$A$3:$AN$3000,17,FALSE)="","",(VLOOKUP($AB325,変換表貼り付け用シート!$A$3:$AN$3000,17,FALSE)))</f>
        <v>#N/A</v>
      </c>
      <c r="AK325" s="88" t="e">
        <f>IF(VLOOKUP($AB325,変換表貼り付け用シート!$A$3:$AN$3000,18,FALSE)="","",(VLOOKUP($AB325,変換表貼り付け用シート!$A$3:$AN$3000,18,FALSE)))</f>
        <v>#N/A</v>
      </c>
      <c r="AL325" s="81" t="e">
        <f>IF(VLOOKUP($AB325,変換表貼り付け用シート!$A$3:$AN$3000,19,FALSE)="","",(VLOOKUP($AB325,変換表貼り付け用シート!$A$3:$AN$3000,19,FALSE)))</f>
        <v>#N/A</v>
      </c>
      <c r="AM325" s="75" t="e">
        <f>IF(VLOOKUP($AB325,変換表貼り付け用シート!$A$3:$AN$3000,20,FALSE)="","",(VLOOKUP($AB325,変換表貼り付け用シート!$A$3:$AN$3000,20,FALSE)))</f>
        <v>#N/A</v>
      </c>
    </row>
    <row r="326" spans="2:39" ht="21" customHeight="1" x14ac:dyDescent="0.35">
      <c r="B326" s="39"/>
      <c r="C326" s="117" t="s">
        <v>1030</v>
      </c>
      <c r="D326" s="96" t="s">
        <v>530</v>
      </c>
      <c r="E326" s="27" t="s">
        <v>44</v>
      </c>
      <c r="F326" s="37" t="s">
        <v>45</v>
      </c>
      <c r="G326" s="33" t="s">
        <v>206</v>
      </c>
      <c r="H326" s="27" t="s">
        <v>523</v>
      </c>
      <c r="I326" s="27" t="s">
        <v>206</v>
      </c>
      <c r="J326" s="37" t="s">
        <v>523</v>
      </c>
      <c r="K326" s="39" t="s">
        <v>54</v>
      </c>
      <c r="L326" s="28" t="s">
        <v>59</v>
      </c>
      <c r="M326" s="28" t="s">
        <v>48</v>
      </c>
      <c r="N326" s="41" t="s">
        <v>49</v>
      </c>
      <c r="O326" s="39" t="s">
        <v>53</v>
      </c>
      <c r="P326" s="28"/>
      <c r="Q326" s="28"/>
      <c r="R326" s="41"/>
      <c r="S326" s="39"/>
      <c r="T326" s="41"/>
      <c r="U326" s="39"/>
      <c r="V326" s="41"/>
      <c r="W326" s="43" t="s">
        <v>711</v>
      </c>
      <c r="X326" s="33"/>
      <c r="Y326" s="27"/>
      <c r="Z326" s="29"/>
      <c r="AB326" s="73" t="str">
        <f t="shared" si="8"/>
        <v>Vehicle Severe WeightTowing－</v>
      </c>
      <c r="AC326" s="74" t="e">
        <f>VLOOKUP($AB326,変換表貼り付け用シート!$A$3:$AN$1133,3,FALSE)</f>
        <v>#N/A</v>
      </c>
      <c r="AD326" s="74" t="e">
        <f t="shared" si="9"/>
        <v>#N/A</v>
      </c>
      <c r="AE326" s="79" t="e">
        <f>IF(VLOOKUP($AB326,変換表貼り付け用シート!$A$3:$AN$3000,12,FALSE)="","",(VLOOKUP($AB326,変換表貼り付け用シート!$A$3:$AN$3000,12,FALSE)))</f>
        <v>#N/A</v>
      </c>
      <c r="AF326" s="80" t="e">
        <f>IF(VLOOKUP($AB326,変換表貼り付け用シート!$A$3:$AN$3000,13,FALSE)="","",(VLOOKUP($AB326,変換表貼り付け用シート!$A$3:$AN$3000,13,FALSE)))</f>
        <v>#N/A</v>
      </c>
      <c r="AG326" s="80" t="e">
        <f>IF(VLOOKUP($AB326,変換表貼り付け用シート!$A$3:$AN$3000,14,FALSE)="","",(VLOOKUP($AB326,変換表貼り付け用シート!$A$3:$AN$3000,14,FALSE)))</f>
        <v>#N/A</v>
      </c>
      <c r="AH326" s="85" t="e">
        <f>IF(VLOOKUP($AB326,変換表貼り付け用シート!$A$3:$AN$3000,15,FALSE)="","",(VLOOKUP($AB326,変換表貼り付け用シート!$A$3:$AN$3000,15,FALSE)))</f>
        <v>#N/A</v>
      </c>
      <c r="AI326" s="79" t="e">
        <f>IF(VLOOKUP($AB326,変換表貼り付け用シート!$A$3:$AN$3000,16,FALSE)="","",(VLOOKUP($AB326,変換表貼り付け用シート!$A$3:$AN$3000,16,FALSE)))</f>
        <v>#N/A</v>
      </c>
      <c r="AJ326" s="81" t="e">
        <f>IF(VLOOKUP($AB326,変換表貼り付け用シート!$A$3:$AN$3000,17,FALSE)="","",(VLOOKUP($AB326,変換表貼り付け用シート!$A$3:$AN$3000,17,FALSE)))</f>
        <v>#N/A</v>
      </c>
      <c r="AK326" s="88" t="e">
        <f>IF(VLOOKUP($AB326,変換表貼り付け用シート!$A$3:$AN$3000,18,FALSE)="","",(VLOOKUP($AB326,変換表貼り付け用シート!$A$3:$AN$3000,18,FALSE)))</f>
        <v>#N/A</v>
      </c>
      <c r="AL326" s="81" t="e">
        <f>IF(VLOOKUP($AB326,変換表貼り付け用シート!$A$3:$AN$3000,19,FALSE)="","",(VLOOKUP($AB326,変換表貼り付け用シート!$A$3:$AN$3000,19,FALSE)))</f>
        <v>#N/A</v>
      </c>
      <c r="AM326" s="75" t="e">
        <f>IF(VLOOKUP($AB326,変換表貼り付け用シート!$A$3:$AN$3000,20,FALSE)="","",(VLOOKUP($AB326,変換表貼り付け用シート!$A$3:$AN$3000,20,FALSE)))</f>
        <v>#N/A</v>
      </c>
    </row>
    <row r="327" spans="2:39" ht="21" customHeight="1" x14ac:dyDescent="0.35">
      <c r="B327" s="39"/>
      <c r="C327" s="117" t="s">
        <v>1031</v>
      </c>
      <c r="D327" s="96" t="s">
        <v>531</v>
      </c>
      <c r="E327" s="27" t="s">
        <v>44</v>
      </c>
      <c r="F327" s="37" t="s">
        <v>45</v>
      </c>
      <c r="G327" s="33" t="s">
        <v>206</v>
      </c>
      <c r="H327" s="27" t="s">
        <v>523</v>
      </c>
      <c r="I327" s="27" t="s">
        <v>206</v>
      </c>
      <c r="J327" s="37" t="s">
        <v>523</v>
      </c>
      <c r="K327" s="39" t="s">
        <v>60</v>
      </c>
      <c r="L327" s="28" t="s">
        <v>61</v>
      </c>
      <c r="M327" s="28" t="s">
        <v>48</v>
      </c>
      <c r="N327" s="41" t="s">
        <v>48</v>
      </c>
      <c r="O327" s="100" t="s">
        <v>216</v>
      </c>
      <c r="P327" s="28"/>
      <c r="Q327" s="28"/>
      <c r="R327" s="41"/>
      <c r="S327" s="39"/>
      <c r="T327" s="41"/>
      <c r="U327" s="39"/>
      <c r="V327" s="41"/>
      <c r="W327" s="43" t="s">
        <v>711</v>
      </c>
      <c r="X327" s="33"/>
      <c r="Y327" s="27"/>
      <c r="Z327" s="29"/>
      <c r="AB327" s="73" t="str">
        <f t="shared" si="8"/>
        <v>空力Cd －</v>
      </c>
      <c r="AC327" s="74" t="e">
        <f>VLOOKUP($AB327,変換表貼り付け用シート!$A$3:$AN$1133,3,FALSE)</f>
        <v>#N/A</v>
      </c>
      <c r="AD327" s="74" t="e">
        <f t="shared" si="9"/>
        <v>#N/A</v>
      </c>
      <c r="AE327" s="79" t="e">
        <f>IF(VLOOKUP($AB327,変換表貼り付け用シート!$A$3:$AN$3000,12,FALSE)="","",(VLOOKUP($AB327,変換表貼り付け用シート!$A$3:$AN$3000,12,FALSE)))</f>
        <v>#N/A</v>
      </c>
      <c r="AF327" s="80" t="e">
        <f>IF(VLOOKUP($AB327,変換表貼り付け用シート!$A$3:$AN$3000,13,FALSE)="","",(VLOOKUP($AB327,変換表貼り付け用シート!$A$3:$AN$3000,13,FALSE)))</f>
        <v>#N/A</v>
      </c>
      <c r="AG327" s="80" t="e">
        <f>IF(VLOOKUP($AB327,変換表貼り付け用シート!$A$3:$AN$3000,14,FALSE)="","",(VLOOKUP($AB327,変換表貼り付け用シート!$A$3:$AN$3000,14,FALSE)))</f>
        <v>#N/A</v>
      </c>
      <c r="AH327" s="85" t="e">
        <f>IF(VLOOKUP($AB327,変換表貼り付け用シート!$A$3:$AN$3000,15,FALSE)="","",(VLOOKUP($AB327,変換表貼り付け用シート!$A$3:$AN$3000,15,FALSE)))</f>
        <v>#N/A</v>
      </c>
      <c r="AI327" s="79" t="e">
        <f>IF(VLOOKUP($AB327,変換表貼り付け用シート!$A$3:$AN$3000,16,FALSE)="","",(VLOOKUP($AB327,変換表貼り付け用シート!$A$3:$AN$3000,16,FALSE)))</f>
        <v>#N/A</v>
      </c>
      <c r="AJ327" s="81" t="e">
        <f>IF(VLOOKUP($AB327,変換表貼り付け用シート!$A$3:$AN$3000,17,FALSE)="","",(VLOOKUP($AB327,変換表貼り付け用シート!$A$3:$AN$3000,17,FALSE)))</f>
        <v>#N/A</v>
      </c>
      <c r="AK327" s="88" t="e">
        <f>IF(VLOOKUP($AB327,変換表貼り付け用シート!$A$3:$AN$3000,18,FALSE)="","",(VLOOKUP($AB327,変換表貼り付け用シート!$A$3:$AN$3000,18,FALSE)))</f>
        <v>#N/A</v>
      </c>
      <c r="AL327" s="81" t="e">
        <f>IF(VLOOKUP($AB327,変換表貼り付け用シート!$A$3:$AN$3000,19,FALSE)="","",(VLOOKUP($AB327,変換表貼り付け用シート!$A$3:$AN$3000,19,FALSE)))</f>
        <v>#N/A</v>
      </c>
      <c r="AM327" s="75" t="e">
        <f>IF(VLOOKUP($AB327,変換表貼り付け用シート!$A$3:$AN$3000,20,FALSE)="","",(VLOOKUP($AB327,変換表貼り付け用シート!$A$3:$AN$3000,20,FALSE)))</f>
        <v>#N/A</v>
      </c>
    </row>
    <row r="328" spans="2:39" ht="21" customHeight="1" x14ac:dyDescent="0.35">
      <c r="B328" s="39"/>
      <c r="C328" s="117" t="s">
        <v>1032</v>
      </c>
      <c r="D328" s="96" t="s">
        <v>532</v>
      </c>
      <c r="E328" s="27" t="s">
        <v>44</v>
      </c>
      <c r="F328" s="37" t="s">
        <v>45</v>
      </c>
      <c r="G328" s="33" t="s">
        <v>206</v>
      </c>
      <c r="H328" s="27" t="s">
        <v>523</v>
      </c>
      <c r="I328" s="27" t="s">
        <v>206</v>
      </c>
      <c r="J328" s="37" t="s">
        <v>523</v>
      </c>
      <c r="K328" s="39" t="s">
        <v>60</v>
      </c>
      <c r="L328" s="28" t="s">
        <v>62</v>
      </c>
      <c r="M328" s="28" t="s">
        <v>48</v>
      </c>
      <c r="N328" s="41" t="s">
        <v>63</v>
      </c>
      <c r="O328" s="39">
        <v>2.21</v>
      </c>
      <c r="P328" s="28"/>
      <c r="Q328" s="28"/>
      <c r="R328" s="41"/>
      <c r="S328" s="39"/>
      <c r="T328" s="41"/>
      <c r="U328" s="39"/>
      <c r="V328" s="41"/>
      <c r="W328" s="43" t="s">
        <v>711</v>
      </c>
      <c r="X328" s="33"/>
      <c r="Y328" s="27"/>
      <c r="Z328" s="29"/>
      <c r="AB328" s="73" t="str">
        <f t="shared" si="8"/>
        <v>空力A－</v>
      </c>
      <c r="AC328" s="74" t="e">
        <f>VLOOKUP($AB328,変換表貼り付け用シート!$A$3:$AN$1133,3,FALSE)</f>
        <v>#N/A</v>
      </c>
      <c r="AD328" s="74" t="e">
        <f t="shared" si="9"/>
        <v>#N/A</v>
      </c>
      <c r="AE328" s="79" t="e">
        <f>IF(VLOOKUP($AB328,変換表貼り付け用シート!$A$3:$AN$3000,12,FALSE)="","",(VLOOKUP($AB328,変換表貼り付け用シート!$A$3:$AN$3000,12,FALSE)))</f>
        <v>#N/A</v>
      </c>
      <c r="AF328" s="80" t="e">
        <f>IF(VLOOKUP($AB328,変換表貼り付け用シート!$A$3:$AN$3000,13,FALSE)="","",(VLOOKUP($AB328,変換表貼り付け用シート!$A$3:$AN$3000,13,FALSE)))</f>
        <v>#N/A</v>
      </c>
      <c r="AG328" s="80" t="e">
        <f>IF(VLOOKUP($AB328,変換表貼り付け用シート!$A$3:$AN$3000,14,FALSE)="","",(VLOOKUP($AB328,変換表貼り付け用シート!$A$3:$AN$3000,14,FALSE)))</f>
        <v>#N/A</v>
      </c>
      <c r="AH328" s="85" t="e">
        <f>IF(VLOOKUP($AB328,変換表貼り付け用シート!$A$3:$AN$3000,15,FALSE)="","",(VLOOKUP($AB328,変換表貼り付け用シート!$A$3:$AN$3000,15,FALSE)))</f>
        <v>#N/A</v>
      </c>
      <c r="AI328" s="79" t="e">
        <f>IF(VLOOKUP($AB328,変換表貼り付け用シート!$A$3:$AN$3000,16,FALSE)="","",(VLOOKUP($AB328,変換表貼り付け用シート!$A$3:$AN$3000,16,FALSE)))</f>
        <v>#N/A</v>
      </c>
      <c r="AJ328" s="81" t="e">
        <f>IF(VLOOKUP($AB328,変換表貼り付け用シート!$A$3:$AN$3000,17,FALSE)="","",(VLOOKUP($AB328,変換表貼り付け用シート!$A$3:$AN$3000,17,FALSE)))</f>
        <v>#N/A</v>
      </c>
      <c r="AK328" s="88" t="e">
        <f>IF(VLOOKUP($AB328,変換表貼り付け用シート!$A$3:$AN$3000,18,FALSE)="","",(VLOOKUP($AB328,変換表貼り付け用シート!$A$3:$AN$3000,18,FALSE)))</f>
        <v>#N/A</v>
      </c>
      <c r="AL328" s="81" t="e">
        <f>IF(VLOOKUP($AB328,変換表貼り付け用シート!$A$3:$AN$3000,19,FALSE)="","",(VLOOKUP($AB328,変換表貼り付け用シート!$A$3:$AN$3000,19,FALSE)))</f>
        <v>#N/A</v>
      </c>
      <c r="AM328" s="75" t="e">
        <f>IF(VLOOKUP($AB328,変換表貼り付け用シート!$A$3:$AN$3000,20,FALSE)="","",(VLOOKUP($AB328,変換表貼り付け用シート!$A$3:$AN$3000,20,FALSE)))</f>
        <v>#N/A</v>
      </c>
    </row>
    <row r="329" spans="2:39" ht="21" customHeight="1" x14ac:dyDescent="0.35">
      <c r="B329" s="39"/>
      <c r="C329" s="117" t="s">
        <v>1033</v>
      </c>
      <c r="D329" s="96" t="s">
        <v>533</v>
      </c>
      <c r="E329" s="27" t="s">
        <v>44</v>
      </c>
      <c r="F329" s="37" t="s">
        <v>45</v>
      </c>
      <c r="G329" s="33" t="s">
        <v>206</v>
      </c>
      <c r="H329" s="27" t="s">
        <v>523</v>
      </c>
      <c r="I329" s="27" t="s">
        <v>206</v>
      </c>
      <c r="J329" s="37" t="s">
        <v>523</v>
      </c>
      <c r="K329" s="39" t="s">
        <v>60</v>
      </c>
      <c r="L329" s="28" t="s">
        <v>64</v>
      </c>
      <c r="M329" s="28" t="s">
        <v>48</v>
      </c>
      <c r="N329" s="41" t="s">
        <v>48</v>
      </c>
      <c r="O329" s="39" t="s">
        <v>57</v>
      </c>
      <c r="P329" s="28"/>
      <c r="Q329" s="28"/>
      <c r="R329" s="41"/>
      <c r="S329" s="39"/>
      <c r="T329" s="41"/>
      <c r="U329" s="39"/>
      <c r="V329" s="41"/>
      <c r="W329" s="43" t="s">
        <v>711</v>
      </c>
      <c r="X329" s="33"/>
      <c r="Y329" s="27"/>
      <c r="Z329" s="29"/>
      <c r="AB329" s="73" t="str">
        <f t="shared" si="8"/>
        <v>空力ΔCd (AGS閉→全開)－</v>
      </c>
      <c r="AC329" s="74" t="e">
        <f>VLOOKUP($AB329,変換表貼り付け用シート!$A$3:$AN$1133,3,FALSE)</f>
        <v>#N/A</v>
      </c>
      <c r="AD329" s="74" t="e">
        <f t="shared" si="9"/>
        <v>#N/A</v>
      </c>
      <c r="AE329" s="79" t="e">
        <f>IF(VLOOKUP($AB329,変換表貼り付け用シート!$A$3:$AN$3000,12,FALSE)="","",(VLOOKUP($AB329,変換表貼り付け用シート!$A$3:$AN$3000,12,FALSE)))</f>
        <v>#N/A</v>
      </c>
      <c r="AF329" s="80" t="e">
        <f>IF(VLOOKUP($AB329,変換表貼り付け用シート!$A$3:$AN$3000,13,FALSE)="","",(VLOOKUP($AB329,変換表貼り付け用シート!$A$3:$AN$3000,13,FALSE)))</f>
        <v>#N/A</v>
      </c>
      <c r="AG329" s="80" t="e">
        <f>IF(VLOOKUP($AB329,変換表貼り付け用シート!$A$3:$AN$3000,14,FALSE)="","",(VLOOKUP($AB329,変換表貼り付け用シート!$A$3:$AN$3000,14,FALSE)))</f>
        <v>#N/A</v>
      </c>
      <c r="AH329" s="85" t="e">
        <f>IF(VLOOKUP($AB329,変換表貼り付け用シート!$A$3:$AN$3000,15,FALSE)="","",(VLOOKUP($AB329,変換表貼り付け用シート!$A$3:$AN$3000,15,FALSE)))</f>
        <v>#N/A</v>
      </c>
      <c r="AI329" s="79" t="e">
        <f>IF(VLOOKUP($AB329,変換表貼り付け用シート!$A$3:$AN$3000,16,FALSE)="","",(VLOOKUP($AB329,変換表貼り付け用シート!$A$3:$AN$3000,16,FALSE)))</f>
        <v>#N/A</v>
      </c>
      <c r="AJ329" s="81" t="e">
        <f>IF(VLOOKUP($AB329,変換表貼り付け用シート!$A$3:$AN$3000,17,FALSE)="","",(VLOOKUP($AB329,変換表貼り付け用シート!$A$3:$AN$3000,17,FALSE)))</f>
        <v>#N/A</v>
      </c>
      <c r="AK329" s="88" t="e">
        <f>IF(VLOOKUP($AB329,変換表貼り付け用シート!$A$3:$AN$3000,18,FALSE)="","",(VLOOKUP($AB329,変換表貼り付け用シート!$A$3:$AN$3000,18,FALSE)))</f>
        <v>#N/A</v>
      </c>
      <c r="AL329" s="81" t="e">
        <f>IF(VLOOKUP($AB329,変換表貼り付け用シート!$A$3:$AN$3000,19,FALSE)="","",(VLOOKUP($AB329,変換表貼り付け用シート!$A$3:$AN$3000,19,FALSE)))</f>
        <v>#N/A</v>
      </c>
      <c r="AM329" s="75" t="e">
        <f>IF(VLOOKUP($AB329,変換表貼り付け用シート!$A$3:$AN$3000,20,FALSE)="","",(VLOOKUP($AB329,変換表貼り付け用シート!$A$3:$AN$3000,20,FALSE)))</f>
        <v>#N/A</v>
      </c>
    </row>
    <row r="330" spans="2:39" ht="21" customHeight="1" x14ac:dyDescent="0.35">
      <c r="B330" s="39"/>
      <c r="C330" s="117" t="s">
        <v>1034</v>
      </c>
      <c r="D330" s="96" t="s">
        <v>534</v>
      </c>
      <c r="E330" s="27" t="s">
        <v>44</v>
      </c>
      <c r="F330" s="37" t="s">
        <v>45</v>
      </c>
      <c r="G330" s="33" t="s">
        <v>206</v>
      </c>
      <c r="H330" s="27" t="s">
        <v>523</v>
      </c>
      <c r="I330" s="27" t="s">
        <v>206</v>
      </c>
      <c r="J330" s="37" t="s">
        <v>523</v>
      </c>
      <c r="K330" s="39" t="s">
        <v>60</v>
      </c>
      <c r="L330" s="28" t="s">
        <v>65</v>
      </c>
      <c r="M330" s="28" t="s">
        <v>48</v>
      </c>
      <c r="N330" s="41" t="s">
        <v>66</v>
      </c>
      <c r="O330" s="39" t="s">
        <v>57</v>
      </c>
      <c r="P330" s="28"/>
      <c r="Q330" s="28"/>
      <c r="R330" s="41"/>
      <c r="S330" s="39"/>
      <c r="T330" s="41"/>
      <c r="U330" s="39"/>
      <c r="V330" s="41"/>
      <c r="W330" s="43" t="s">
        <v>711</v>
      </c>
      <c r="X330" s="33"/>
      <c r="Y330" s="27"/>
      <c r="Z330" s="29"/>
      <c r="AB330" s="73" t="str">
        <f t="shared" ref="AB330:AB367" si="10">K330&amp;L330&amp;M330</f>
        <v>空力Grill shutter車速閾値 高速側 (閉→開)/(開→閉)－</v>
      </c>
      <c r="AC330" s="74" t="e">
        <f>VLOOKUP($AB330,変換表貼り付け用シート!$A$3:$AN$1133,3,FALSE)</f>
        <v>#N/A</v>
      </c>
      <c r="AD330" s="74" t="e">
        <f t="shared" ref="AD330:AD367" si="11">IF(AE330&amp;AF330&amp;AG330&amp;AH330&amp;AI330&amp;AJ330&amp;AK330&amp;AL330&amp;AM330=O330&amp;P330&amp;Q330&amp;R330&amp;S330&amp;T330&amp;U330&amp;V330&amp;W330,"","更新")</f>
        <v>#N/A</v>
      </c>
      <c r="AE330" s="79" t="e">
        <f>IF(VLOOKUP($AB330,変換表貼り付け用シート!$A$3:$AN$3000,12,FALSE)="","",(VLOOKUP($AB330,変換表貼り付け用シート!$A$3:$AN$3000,12,FALSE)))</f>
        <v>#N/A</v>
      </c>
      <c r="AF330" s="80" t="e">
        <f>IF(VLOOKUP($AB330,変換表貼り付け用シート!$A$3:$AN$3000,13,FALSE)="","",(VLOOKUP($AB330,変換表貼り付け用シート!$A$3:$AN$3000,13,FALSE)))</f>
        <v>#N/A</v>
      </c>
      <c r="AG330" s="80" t="e">
        <f>IF(VLOOKUP($AB330,変換表貼り付け用シート!$A$3:$AN$3000,14,FALSE)="","",(VLOOKUP($AB330,変換表貼り付け用シート!$A$3:$AN$3000,14,FALSE)))</f>
        <v>#N/A</v>
      </c>
      <c r="AH330" s="85" t="e">
        <f>IF(VLOOKUP($AB330,変換表貼り付け用シート!$A$3:$AN$3000,15,FALSE)="","",(VLOOKUP($AB330,変換表貼り付け用シート!$A$3:$AN$3000,15,FALSE)))</f>
        <v>#N/A</v>
      </c>
      <c r="AI330" s="79" t="e">
        <f>IF(VLOOKUP($AB330,変換表貼り付け用シート!$A$3:$AN$3000,16,FALSE)="","",(VLOOKUP($AB330,変換表貼り付け用シート!$A$3:$AN$3000,16,FALSE)))</f>
        <v>#N/A</v>
      </c>
      <c r="AJ330" s="81" t="e">
        <f>IF(VLOOKUP($AB330,変換表貼り付け用シート!$A$3:$AN$3000,17,FALSE)="","",(VLOOKUP($AB330,変換表貼り付け用シート!$A$3:$AN$3000,17,FALSE)))</f>
        <v>#N/A</v>
      </c>
      <c r="AK330" s="88" t="e">
        <f>IF(VLOOKUP($AB330,変換表貼り付け用シート!$A$3:$AN$3000,18,FALSE)="","",(VLOOKUP($AB330,変換表貼り付け用シート!$A$3:$AN$3000,18,FALSE)))</f>
        <v>#N/A</v>
      </c>
      <c r="AL330" s="81" t="e">
        <f>IF(VLOOKUP($AB330,変換表貼り付け用シート!$A$3:$AN$3000,19,FALSE)="","",(VLOOKUP($AB330,変換表貼り付け用シート!$A$3:$AN$3000,19,FALSE)))</f>
        <v>#N/A</v>
      </c>
      <c r="AM330" s="75" t="e">
        <f>IF(VLOOKUP($AB330,変換表貼り付け用シート!$A$3:$AN$3000,20,FALSE)="","",(VLOOKUP($AB330,変換表貼り付け用シート!$A$3:$AN$3000,20,FALSE)))</f>
        <v>#N/A</v>
      </c>
    </row>
    <row r="331" spans="2:39" ht="21" customHeight="1" x14ac:dyDescent="0.35">
      <c r="B331" s="39"/>
      <c r="C331" s="117" t="s">
        <v>1035</v>
      </c>
      <c r="D331" s="96" t="s">
        <v>535</v>
      </c>
      <c r="E331" s="27" t="s">
        <v>44</v>
      </c>
      <c r="F331" s="37" t="s">
        <v>45</v>
      </c>
      <c r="G331" s="33" t="s">
        <v>206</v>
      </c>
      <c r="H331" s="27" t="s">
        <v>523</v>
      </c>
      <c r="I331" s="27" t="s">
        <v>206</v>
      </c>
      <c r="J331" s="37" t="s">
        <v>523</v>
      </c>
      <c r="K331" s="39" t="s">
        <v>60</v>
      </c>
      <c r="L331" s="28" t="s">
        <v>67</v>
      </c>
      <c r="M331" s="28" t="s">
        <v>48</v>
      </c>
      <c r="N331" s="41" t="s">
        <v>66</v>
      </c>
      <c r="O331" s="39" t="s">
        <v>57</v>
      </c>
      <c r="P331" s="28"/>
      <c r="Q331" s="28"/>
      <c r="R331" s="41"/>
      <c r="S331" s="39"/>
      <c r="T331" s="41"/>
      <c r="U331" s="39"/>
      <c r="V331" s="41"/>
      <c r="W331" s="43" t="s">
        <v>711</v>
      </c>
      <c r="X331" s="33"/>
      <c r="Y331" s="27"/>
      <c r="Z331" s="29"/>
      <c r="AB331" s="73" t="str">
        <f t="shared" si="10"/>
        <v>空力Grill shutter車速閾値 低速側 (閉→開)/(開→閉)－</v>
      </c>
      <c r="AC331" s="74" t="e">
        <f>VLOOKUP($AB331,変換表貼り付け用シート!$A$3:$AN$1133,3,FALSE)</f>
        <v>#N/A</v>
      </c>
      <c r="AD331" s="74" t="e">
        <f t="shared" si="11"/>
        <v>#N/A</v>
      </c>
      <c r="AE331" s="79" t="e">
        <f>IF(VLOOKUP($AB331,変換表貼り付け用シート!$A$3:$AN$3000,12,FALSE)="","",(VLOOKUP($AB331,変換表貼り付け用シート!$A$3:$AN$3000,12,FALSE)))</f>
        <v>#N/A</v>
      </c>
      <c r="AF331" s="80" t="e">
        <f>IF(VLOOKUP($AB331,変換表貼り付け用シート!$A$3:$AN$3000,13,FALSE)="","",(VLOOKUP($AB331,変換表貼り付け用シート!$A$3:$AN$3000,13,FALSE)))</f>
        <v>#N/A</v>
      </c>
      <c r="AG331" s="80" t="e">
        <f>IF(VLOOKUP($AB331,変換表貼り付け用シート!$A$3:$AN$3000,14,FALSE)="","",(VLOOKUP($AB331,変換表貼り付け用シート!$A$3:$AN$3000,14,FALSE)))</f>
        <v>#N/A</v>
      </c>
      <c r="AH331" s="85" t="e">
        <f>IF(VLOOKUP($AB331,変換表貼り付け用シート!$A$3:$AN$3000,15,FALSE)="","",(VLOOKUP($AB331,変換表貼り付け用シート!$A$3:$AN$3000,15,FALSE)))</f>
        <v>#N/A</v>
      </c>
      <c r="AI331" s="79" t="e">
        <f>IF(VLOOKUP($AB331,変換表貼り付け用シート!$A$3:$AN$3000,16,FALSE)="","",(VLOOKUP($AB331,変換表貼り付け用シート!$A$3:$AN$3000,16,FALSE)))</f>
        <v>#N/A</v>
      </c>
      <c r="AJ331" s="81" t="e">
        <f>IF(VLOOKUP($AB331,変換表貼り付け用シート!$A$3:$AN$3000,17,FALSE)="","",(VLOOKUP($AB331,変換表貼り付け用シート!$A$3:$AN$3000,17,FALSE)))</f>
        <v>#N/A</v>
      </c>
      <c r="AK331" s="88" t="e">
        <f>IF(VLOOKUP($AB331,変換表貼り付け用シート!$A$3:$AN$3000,18,FALSE)="","",(VLOOKUP($AB331,変換表貼り付け用シート!$A$3:$AN$3000,18,FALSE)))</f>
        <v>#N/A</v>
      </c>
      <c r="AL331" s="81" t="e">
        <f>IF(VLOOKUP($AB331,変換表貼り付け用シート!$A$3:$AN$3000,19,FALSE)="","",(VLOOKUP($AB331,変換表貼り付け用シート!$A$3:$AN$3000,19,FALSE)))</f>
        <v>#N/A</v>
      </c>
      <c r="AM331" s="75" t="e">
        <f>IF(VLOOKUP($AB331,変換表貼り付け用シート!$A$3:$AN$3000,20,FALSE)="","",(VLOOKUP($AB331,変換表貼り付け用シート!$A$3:$AN$3000,20,FALSE)))</f>
        <v>#N/A</v>
      </c>
    </row>
    <row r="332" spans="2:39" ht="21" customHeight="1" x14ac:dyDescent="0.35">
      <c r="B332" s="39"/>
      <c r="C332" s="117" t="s">
        <v>1036</v>
      </c>
      <c r="D332" s="96" t="s">
        <v>536</v>
      </c>
      <c r="E332" s="27" t="s">
        <v>44</v>
      </c>
      <c r="F332" s="37" t="s">
        <v>45</v>
      </c>
      <c r="G332" s="33" t="s">
        <v>206</v>
      </c>
      <c r="H332" s="27" t="s">
        <v>523</v>
      </c>
      <c r="I332" s="27" t="s">
        <v>206</v>
      </c>
      <c r="J332" s="37" t="s">
        <v>523</v>
      </c>
      <c r="K332" s="39" t="s">
        <v>68</v>
      </c>
      <c r="L332" s="28" t="s">
        <v>69</v>
      </c>
      <c r="M332" s="28" t="s">
        <v>48</v>
      </c>
      <c r="N332" s="41" t="s">
        <v>48</v>
      </c>
      <c r="O332" s="39" t="s">
        <v>70</v>
      </c>
      <c r="P332" s="28"/>
      <c r="Q332" s="28"/>
      <c r="R332" s="41"/>
      <c r="S332" s="39"/>
      <c r="T332" s="41"/>
      <c r="U332" s="39"/>
      <c r="V332" s="41"/>
      <c r="W332" s="43" t="s">
        <v>711</v>
      </c>
      <c r="X332" s="33"/>
      <c r="Y332" s="27"/>
      <c r="Z332" s="29"/>
      <c r="AB332" s="73" t="str">
        <f t="shared" si="10"/>
        <v>タイヤFRサイズ－</v>
      </c>
      <c r="AC332" s="74" t="e">
        <f>VLOOKUP($AB332,変換表貼り付け用シート!$A$3:$AN$1133,3,FALSE)</f>
        <v>#N/A</v>
      </c>
      <c r="AD332" s="74" t="e">
        <f t="shared" si="11"/>
        <v>#N/A</v>
      </c>
      <c r="AE332" s="79" t="e">
        <f>IF(VLOOKUP($AB332,変換表貼り付け用シート!$A$3:$AN$3000,12,FALSE)="","",(VLOOKUP($AB332,変換表貼り付け用シート!$A$3:$AN$3000,12,FALSE)))</f>
        <v>#N/A</v>
      </c>
      <c r="AF332" s="80" t="e">
        <f>IF(VLOOKUP($AB332,変換表貼り付け用シート!$A$3:$AN$3000,13,FALSE)="","",(VLOOKUP($AB332,変換表貼り付け用シート!$A$3:$AN$3000,13,FALSE)))</f>
        <v>#N/A</v>
      </c>
      <c r="AG332" s="80" t="e">
        <f>IF(VLOOKUP($AB332,変換表貼り付け用シート!$A$3:$AN$3000,14,FALSE)="","",(VLOOKUP($AB332,変換表貼り付け用シート!$A$3:$AN$3000,14,FALSE)))</f>
        <v>#N/A</v>
      </c>
      <c r="AH332" s="85" t="e">
        <f>IF(VLOOKUP($AB332,変換表貼り付け用シート!$A$3:$AN$3000,15,FALSE)="","",(VLOOKUP($AB332,変換表貼り付け用シート!$A$3:$AN$3000,15,FALSE)))</f>
        <v>#N/A</v>
      </c>
      <c r="AI332" s="79" t="e">
        <f>IF(VLOOKUP($AB332,変換表貼り付け用シート!$A$3:$AN$3000,16,FALSE)="","",(VLOOKUP($AB332,変換表貼り付け用シート!$A$3:$AN$3000,16,FALSE)))</f>
        <v>#N/A</v>
      </c>
      <c r="AJ332" s="81" t="e">
        <f>IF(VLOOKUP($AB332,変換表貼り付け用シート!$A$3:$AN$3000,17,FALSE)="","",(VLOOKUP($AB332,変換表貼り付け用シート!$A$3:$AN$3000,17,FALSE)))</f>
        <v>#N/A</v>
      </c>
      <c r="AK332" s="88" t="e">
        <f>IF(VLOOKUP($AB332,変換表貼り付け用シート!$A$3:$AN$3000,18,FALSE)="","",(VLOOKUP($AB332,変換表貼り付け用シート!$A$3:$AN$3000,18,FALSE)))</f>
        <v>#N/A</v>
      </c>
      <c r="AL332" s="81" t="e">
        <f>IF(VLOOKUP($AB332,変換表貼り付け用シート!$A$3:$AN$3000,19,FALSE)="","",(VLOOKUP($AB332,変換表貼り付け用シート!$A$3:$AN$3000,19,FALSE)))</f>
        <v>#N/A</v>
      </c>
      <c r="AM332" s="75" t="e">
        <f>IF(VLOOKUP($AB332,変換表貼り付け用シート!$A$3:$AN$3000,20,FALSE)="","",(VLOOKUP($AB332,変換表貼り付け用シート!$A$3:$AN$3000,20,FALSE)))</f>
        <v>#N/A</v>
      </c>
    </row>
    <row r="333" spans="2:39" ht="21" customHeight="1" x14ac:dyDescent="0.35">
      <c r="B333" s="39"/>
      <c r="C333" s="117" t="s">
        <v>1037</v>
      </c>
      <c r="D333" s="96" t="s">
        <v>537</v>
      </c>
      <c r="E333" s="27" t="s">
        <v>44</v>
      </c>
      <c r="F333" s="37" t="s">
        <v>45</v>
      </c>
      <c r="G333" s="33" t="s">
        <v>206</v>
      </c>
      <c r="H333" s="27" t="s">
        <v>523</v>
      </c>
      <c r="I333" s="27" t="s">
        <v>206</v>
      </c>
      <c r="J333" s="37" t="s">
        <v>523</v>
      </c>
      <c r="K333" s="39" t="s">
        <v>68</v>
      </c>
      <c r="L333" s="28" t="s">
        <v>71</v>
      </c>
      <c r="M333" s="28" t="s">
        <v>48</v>
      </c>
      <c r="N333" s="41" t="s">
        <v>72</v>
      </c>
      <c r="O333" s="39">
        <v>0.27100000000000002</v>
      </c>
      <c r="P333" s="28"/>
      <c r="Q333" s="28"/>
      <c r="R333" s="41"/>
      <c r="S333" s="39"/>
      <c r="T333" s="41"/>
      <c r="U333" s="39"/>
      <c r="V333" s="41"/>
      <c r="W333" s="43" t="s">
        <v>711</v>
      </c>
      <c r="X333" s="33"/>
      <c r="Y333" s="27"/>
      <c r="Z333" s="29"/>
      <c r="AB333" s="73" t="str">
        <f t="shared" si="10"/>
        <v>タイヤFR動半径－</v>
      </c>
      <c r="AC333" s="74" t="e">
        <f>VLOOKUP($AB333,変換表貼り付け用シート!$A$3:$AN$1133,3,FALSE)</f>
        <v>#N/A</v>
      </c>
      <c r="AD333" s="74" t="e">
        <f t="shared" si="11"/>
        <v>#N/A</v>
      </c>
      <c r="AE333" s="79" t="e">
        <f>IF(VLOOKUP($AB333,変換表貼り付け用シート!$A$3:$AN$3000,12,FALSE)="","",(VLOOKUP($AB333,変換表貼り付け用シート!$A$3:$AN$3000,12,FALSE)))</f>
        <v>#N/A</v>
      </c>
      <c r="AF333" s="80" t="e">
        <f>IF(VLOOKUP($AB333,変換表貼り付け用シート!$A$3:$AN$3000,13,FALSE)="","",(VLOOKUP($AB333,変換表貼り付け用シート!$A$3:$AN$3000,13,FALSE)))</f>
        <v>#N/A</v>
      </c>
      <c r="AG333" s="80" t="e">
        <f>IF(VLOOKUP($AB333,変換表貼り付け用シート!$A$3:$AN$3000,14,FALSE)="","",(VLOOKUP($AB333,変換表貼り付け用シート!$A$3:$AN$3000,14,FALSE)))</f>
        <v>#N/A</v>
      </c>
      <c r="AH333" s="85" t="e">
        <f>IF(VLOOKUP($AB333,変換表貼り付け用シート!$A$3:$AN$3000,15,FALSE)="","",(VLOOKUP($AB333,変換表貼り付け用シート!$A$3:$AN$3000,15,FALSE)))</f>
        <v>#N/A</v>
      </c>
      <c r="AI333" s="79" t="e">
        <f>IF(VLOOKUP($AB333,変換表貼り付け用シート!$A$3:$AN$3000,16,FALSE)="","",(VLOOKUP($AB333,変換表貼り付け用シート!$A$3:$AN$3000,16,FALSE)))</f>
        <v>#N/A</v>
      </c>
      <c r="AJ333" s="81" t="e">
        <f>IF(VLOOKUP($AB333,変換表貼り付け用シート!$A$3:$AN$3000,17,FALSE)="","",(VLOOKUP($AB333,変換表貼り付け用シート!$A$3:$AN$3000,17,FALSE)))</f>
        <v>#N/A</v>
      </c>
      <c r="AK333" s="88" t="e">
        <f>IF(VLOOKUP($AB333,変換表貼り付け用シート!$A$3:$AN$3000,18,FALSE)="","",(VLOOKUP($AB333,変換表貼り付け用シート!$A$3:$AN$3000,18,FALSE)))</f>
        <v>#N/A</v>
      </c>
      <c r="AL333" s="81" t="e">
        <f>IF(VLOOKUP($AB333,変換表貼り付け用シート!$A$3:$AN$3000,19,FALSE)="","",(VLOOKUP($AB333,変換表貼り付け用シート!$A$3:$AN$3000,19,FALSE)))</f>
        <v>#N/A</v>
      </c>
      <c r="AM333" s="75" t="e">
        <f>IF(VLOOKUP($AB333,変換表貼り付け用シート!$A$3:$AN$3000,20,FALSE)="","",(VLOOKUP($AB333,変換表貼り付け用シート!$A$3:$AN$3000,20,FALSE)))</f>
        <v>#N/A</v>
      </c>
    </row>
    <row r="334" spans="2:39" ht="21" customHeight="1" x14ac:dyDescent="0.35">
      <c r="B334" s="39"/>
      <c r="C334" s="117" t="s">
        <v>1038</v>
      </c>
      <c r="D334" s="96" t="s">
        <v>538</v>
      </c>
      <c r="E334" s="27" t="s">
        <v>44</v>
      </c>
      <c r="F334" s="37" t="s">
        <v>45</v>
      </c>
      <c r="G334" s="33" t="s">
        <v>206</v>
      </c>
      <c r="H334" s="27" t="s">
        <v>523</v>
      </c>
      <c r="I334" s="27" t="s">
        <v>206</v>
      </c>
      <c r="J334" s="37" t="s">
        <v>523</v>
      </c>
      <c r="K334" s="39" t="s">
        <v>68</v>
      </c>
      <c r="L334" s="28" t="s">
        <v>73</v>
      </c>
      <c r="M334" s="28" t="s">
        <v>48</v>
      </c>
      <c r="N334" s="41" t="s">
        <v>48</v>
      </c>
      <c r="O334" s="39">
        <v>7.2</v>
      </c>
      <c r="P334" s="28"/>
      <c r="Q334" s="28"/>
      <c r="R334" s="41"/>
      <c r="S334" s="39"/>
      <c r="T334" s="41"/>
      <c r="U334" s="39"/>
      <c r="V334" s="41"/>
      <c r="W334" s="43" t="s">
        <v>711</v>
      </c>
      <c r="X334" s="33"/>
      <c r="Y334" s="27"/>
      <c r="Z334" s="29"/>
      <c r="AB334" s="73" t="str">
        <f t="shared" si="10"/>
        <v>タイヤFR RRC (ISO 28560 80kmh,210kPa)－</v>
      </c>
      <c r="AC334" s="74" t="e">
        <f>VLOOKUP($AB334,変換表貼り付け用シート!$A$3:$AN$1133,3,FALSE)</f>
        <v>#N/A</v>
      </c>
      <c r="AD334" s="74" t="e">
        <f t="shared" si="11"/>
        <v>#N/A</v>
      </c>
      <c r="AE334" s="79" t="e">
        <f>IF(VLOOKUP($AB334,変換表貼り付け用シート!$A$3:$AN$3000,12,FALSE)="","",(VLOOKUP($AB334,変換表貼り付け用シート!$A$3:$AN$3000,12,FALSE)))</f>
        <v>#N/A</v>
      </c>
      <c r="AF334" s="80" t="e">
        <f>IF(VLOOKUP($AB334,変換表貼り付け用シート!$A$3:$AN$3000,13,FALSE)="","",(VLOOKUP($AB334,変換表貼り付け用シート!$A$3:$AN$3000,13,FALSE)))</f>
        <v>#N/A</v>
      </c>
      <c r="AG334" s="80" t="e">
        <f>IF(VLOOKUP($AB334,変換表貼り付け用シート!$A$3:$AN$3000,14,FALSE)="","",(VLOOKUP($AB334,変換表貼り付け用シート!$A$3:$AN$3000,14,FALSE)))</f>
        <v>#N/A</v>
      </c>
      <c r="AH334" s="85" t="e">
        <f>IF(VLOOKUP($AB334,変換表貼り付け用シート!$A$3:$AN$3000,15,FALSE)="","",(VLOOKUP($AB334,変換表貼り付け用シート!$A$3:$AN$3000,15,FALSE)))</f>
        <v>#N/A</v>
      </c>
      <c r="AI334" s="79" t="e">
        <f>IF(VLOOKUP($AB334,変換表貼り付け用シート!$A$3:$AN$3000,16,FALSE)="","",(VLOOKUP($AB334,変換表貼り付け用シート!$A$3:$AN$3000,16,FALSE)))</f>
        <v>#N/A</v>
      </c>
      <c r="AJ334" s="81" t="e">
        <f>IF(VLOOKUP($AB334,変換表貼り付け用シート!$A$3:$AN$3000,17,FALSE)="","",(VLOOKUP($AB334,変換表貼り付け用シート!$A$3:$AN$3000,17,FALSE)))</f>
        <v>#N/A</v>
      </c>
      <c r="AK334" s="88" t="e">
        <f>IF(VLOOKUP($AB334,変換表貼り付け用シート!$A$3:$AN$3000,18,FALSE)="","",(VLOOKUP($AB334,変換表貼り付け用シート!$A$3:$AN$3000,18,FALSE)))</f>
        <v>#N/A</v>
      </c>
      <c r="AL334" s="81" t="e">
        <f>IF(VLOOKUP($AB334,変換表貼り付け用シート!$A$3:$AN$3000,19,FALSE)="","",(VLOOKUP($AB334,変換表貼り付け用シート!$A$3:$AN$3000,19,FALSE)))</f>
        <v>#N/A</v>
      </c>
      <c r="AM334" s="75" t="e">
        <f>IF(VLOOKUP($AB334,変換表貼り付け用シート!$A$3:$AN$3000,20,FALSE)="","",(VLOOKUP($AB334,変換表貼り付け用シート!$A$3:$AN$3000,20,FALSE)))</f>
        <v>#N/A</v>
      </c>
    </row>
    <row r="335" spans="2:39" ht="21" customHeight="1" x14ac:dyDescent="0.35">
      <c r="B335" s="39"/>
      <c r="C335" s="117" t="s">
        <v>1039</v>
      </c>
      <c r="D335" s="96" t="s">
        <v>539</v>
      </c>
      <c r="E335" s="27" t="s">
        <v>44</v>
      </c>
      <c r="F335" s="37" t="s">
        <v>45</v>
      </c>
      <c r="G335" s="33" t="s">
        <v>206</v>
      </c>
      <c r="H335" s="27" t="s">
        <v>523</v>
      </c>
      <c r="I335" s="27" t="s">
        <v>206</v>
      </c>
      <c r="J335" s="37" t="s">
        <v>523</v>
      </c>
      <c r="K335" s="39" t="s">
        <v>68</v>
      </c>
      <c r="L335" s="28" t="s">
        <v>74</v>
      </c>
      <c r="M335" s="28" t="s">
        <v>48</v>
      </c>
      <c r="N335" s="41" t="s">
        <v>48</v>
      </c>
      <c r="O335" s="39">
        <v>68</v>
      </c>
      <c r="P335" s="28"/>
      <c r="Q335" s="28"/>
      <c r="R335" s="41"/>
      <c r="S335" s="39"/>
      <c r="T335" s="41"/>
      <c r="U335" s="39"/>
      <c r="V335" s="41"/>
      <c r="W335" s="43" t="s">
        <v>711</v>
      </c>
      <c r="X335" s="33"/>
      <c r="Y335" s="27"/>
      <c r="Z335" s="29"/>
      <c r="AB335" s="73" t="str">
        <f t="shared" si="10"/>
        <v>タイヤFR RRC (車両状態)－</v>
      </c>
      <c r="AC335" s="74" t="e">
        <f>VLOOKUP($AB335,変換表貼り付け用シート!$A$3:$AN$1133,3,FALSE)</f>
        <v>#N/A</v>
      </c>
      <c r="AD335" s="74" t="e">
        <f t="shared" si="11"/>
        <v>#N/A</v>
      </c>
      <c r="AE335" s="79" t="e">
        <f>IF(VLOOKUP($AB335,変換表貼り付け用シート!$A$3:$AN$3000,12,FALSE)="","",(VLOOKUP($AB335,変換表貼り付け用シート!$A$3:$AN$3000,12,FALSE)))</f>
        <v>#N/A</v>
      </c>
      <c r="AF335" s="80" t="e">
        <f>IF(VLOOKUP($AB335,変換表貼り付け用シート!$A$3:$AN$3000,13,FALSE)="","",(VLOOKUP($AB335,変換表貼り付け用シート!$A$3:$AN$3000,13,FALSE)))</f>
        <v>#N/A</v>
      </c>
      <c r="AG335" s="80" t="e">
        <f>IF(VLOOKUP($AB335,変換表貼り付け用シート!$A$3:$AN$3000,14,FALSE)="","",(VLOOKUP($AB335,変換表貼り付け用シート!$A$3:$AN$3000,14,FALSE)))</f>
        <v>#N/A</v>
      </c>
      <c r="AH335" s="85" t="e">
        <f>IF(VLOOKUP($AB335,変換表貼り付け用シート!$A$3:$AN$3000,15,FALSE)="","",(VLOOKUP($AB335,変換表貼り付け用シート!$A$3:$AN$3000,15,FALSE)))</f>
        <v>#N/A</v>
      </c>
      <c r="AI335" s="79" t="e">
        <f>IF(VLOOKUP($AB335,変換表貼り付け用シート!$A$3:$AN$3000,16,FALSE)="","",(VLOOKUP($AB335,変換表貼り付け用シート!$A$3:$AN$3000,16,FALSE)))</f>
        <v>#N/A</v>
      </c>
      <c r="AJ335" s="81" t="e">
        <f>IF(VLOOKUP($AB335,変換表貼り付け用シート!$A$3:$AN$3000,17,FALSE)="","",(VLOOKUP($AB335,変換表貼り付け用シート!$A$3:$AN$3000,17,FALSE)))</f>
        <v>#N/A</v>
      </c>
      <c r="AK335" s="88" t="e">
        <f>IF(VLOOKUP($AB335,変換表貼り付け用シート!$A$3:$AN$3000,18,FALSE)="","",(VLOOKUP($AB335,変換表貼り付け用シート!$A$3:$AN$3000,18,FALSE)))</f>
        <v>#N/A</v>
      </c>
      <c r="AL335" s="81" t="e">
        <f>IF(VLOOKUP($AB335,変換表貼り付け用シート!$A$3:$AN$3000,19,FALSE)="","",(VLOOKUP($AB335,変換表貼り付け用シート!$A$3:$AN$3000,19,FALSE)))</f>
        <v>#N/A</v>
      </c>
      <c r="AM335" s="75" t="e">
        <f>IF(VLOOKUP($AB335,変換表貼り付け用シート!$A$3:$AN$3000,20,FALSE)="","",(VLOOKUP($AB335,変換表貼り付け用シート!$A$3:$AN$3000,20,FALSE)))</f>
        <v>#N/A</v>
      </c>
    </row>
    <row r="336" spans="2:39" ht="21" customHeight="1" x14ac:dyDescent="0.35">
      <c r="B336" s="39"/>
      <c r="C336" s="117" t="s">
        <v>1040</v>
      </c>
      <c r="D336" s="96" t="s">
        <v>540</v>
      </c>
      <c r="E336" s="27" t="s">
        <v>44</v>
      </c>
      <c r="F336" s="37" t="s">
        <v>45</v>
      </c>
      <c r="G336" s="33" t="s">
        <v>206</v>
      </c>
      <c r="H336" s="27" t="s">
        <v>523</v>
      </c>
      <c r="I336" s="27" t="s">
        <v>206</v>
      </c>
      <c r="J336" s="37" t="s">
        <v>523</v>
      </c>
      <c r="K336" s="39" t="s">
        <v>68</v>
      </c>
      <c r="L336" s="28" t="s">
        <v>75</v>
      </c>
      <c r="M336" s="28" t="s">
        <v>48</v>
      </c>
      <c r="N336" s="41" t="s">
        <v>76</v>
      </c>
      <c r="O336" s="39">
        <v>240</v>
      </c>
      <c r="P336" s="28"/>
      <c r="Q336" s="28"/>
      <c r="R336" s="41"/>
      <c r="S336" s="39"/>
      <c r="T336" s="41"/>
      <c r="U336" s="39"/>
      <c r="V336" s="41"/>
      <c r="W336" s="43" t="s">
        <v>711</v>
      </c>
      <c r="X336" s="33"/>
      <c r="Y336" s="27"/>
      <c r="Z336" s="29"/>
      <c r="AB336" s="73" t="str">
        <f t="shared" si="10"/>
        <v>タイヤFR RRC (車両状態)空気圧－</v>
      </c>
      <c r="AC336" s="74" t="e">
        <f>VLOOKUP($AB336,変換表貼り付け用シート!$A$3:$AN$1133,3,FALSE)</f>
        <v>#N/A</v>
      </c>
      <c r="AD336" s="74" t="e">
        <f t="shared" si="11"/>
        <v>#N/A</v>
      </c>
      <c r="AE336" s="79" t="e">
        <f>IF(VLOOKUP($AB336,変換表貼り付け用シート!$A$3:$AN$3000,12,FALSE)="","",(VLOOKUP($AB336,変換表貼り付け用シート!$A$3:$AN$3000,12,FALSE)))</f>
        <v>#N/A</v>
      </c>
      <c r="AF336" s="80" t="e">
        <f>IF(VLOOKUP($AB336,変換表貼り付け用シート!$A$3:$AN$3000,13,FALSE)="","",(VLOOKUP($AB336,変換表貼り付け用シート!$A$3:$AN$3000,13,FALSE)))</f>
        <v>#N/A</v>
      </c>
      <c r="AG336" s="80" t="e">
        <f>IF(VLOOKUP($AB336,変換表貼り付け用シート!$A$3:$AN$3000,14,FALSE)="","",(VLOOKUP($AB336,変換表貼り付け用シート!$A$3:$AN$3000,14,FALSE)))</f>
        <v>#N/A</v>
      </c>
      <c r="AH336" s="85" t="e">
        <f>IF(VLOOKUP($AB336,変換表貼り付け用シート!$A$3:$AN$3000,15,FALSE)="","",(VLOOKUP($AB336,変換表貼り付け用シート!$A$3:$AN$3000,15,FALSE)))</f>
        <v>#N/A</v>
      </c>
      <c r="AI336" s="79" t="e">
        <f>IF(VLOOKUP($AB336,変換表貼り付け用シート!$A$3:$AN$3000,16,FALSE)="","",(VLOOKUP($AB336,変換表貼り付け用シート!$A$3:$AN$3000,16,FALSE)))</f>
        <v>#N/A</v>
      </c>
      <c r="AJ336" s="81" t="e">
        <f>IF(VLOOKUP($AB336,変換表貼り付け用シート!$A$3:$AN$3000,17,FALSE)="","",(VLOOKUP($AB336,変換表貼り付け用シート!$A$3:$AN$3000,17,FALSE)))</f>
        <v>#N/A</v>
      </c>
      <c r="AK336" s="88" t="e">
        <f>IF(VLOOKUP($AB336,変換表貼り付け用シート!$A$3:$AN$3000,18,FALSE)="","",(VLOOKUP($AB336,変換表貼り付け用シート!$A$3:$AN$3000,18,FALSE)))</f>
        <v>#N/A</v>
      </c>
      <c r="AL336" s="81" t="e">
        <f>IF(VLOOKUP($AB336,変換表貼り付け用シート!$A$3:$AN$3000,19,FALSE)="","",(VLOOKUP($AB336,変換表貼り付け用シート!$A$3:$AN$3000,19,FALSE)))</f>
        <v>#N/A</v>
      </c>
      <c r="AM336" s="75" t="e">
        <f>IF(VLOOKUP($AB336,変換表貼り付け用シート!$A$3:$AN$3000,20,FALSE)="","",(VLOOKUP($AB336,変換表貼り付け用シート!$A$3:$AN$3000,20,FALSE)))</f>
        <v>#N/A</v>
      </c>
    </row>
    <row r="337" spans="2:39" ht="21" customHeight="1" x14ac:dyDescent="0.35">
      <c r="B337" s="39"/>
      <c r="C337" s="117" t="s">
        <v>1041</v>
      </c>
      <c r="D337" s="96" t="s">
        <v>541</v>
      </c>
      <c r="E337" s="27" t="s">
        <v>44</v>
      </c>
      <c r="F337" s="37" t="s">
        <v>45</v>
      </c>
      <c r="G337" s="33" t="s">
        <v>206</v>
      </c>
      <c r="H337" s="27" t="s">
        <v>523</v>
      </c>
      <c r="I337" s="27" t="s">
        <v>206</v>
      </c>
      <c r="J337" s="37" t="s">
        <v>523</v>
      </c>
      <c r="K337" s="39" t="s">
        <v>68</v>
      </c>
      <c r="L337" s="28" t="s">
        <v>77</v>
      </c>
      <c r="M337" s="28" t="s">
        <v>48</v>
      </c>
      <c r="N337" s="41" t="s">
        <v>78</v>
      </c>
      <c r="O337" s="39">
        <v>0.49</v>
      </c>
      <c r="P337" s="28"/>
      <c r="Q337" s="28"/>
      <c r="R337" s="41"/>
      <c r="S337" s="39"/>
      <c r="T337" s="41"/>
      <c r="U337" s="39"/>
      <c r="V337" s="41"/>
      <c r="W337" s="43" t="s">
        <v>711</v>
      </c>
      <c r="X337" s="33"/>
      <c r="Y337" s="27"/>
      <c r="Z337" s="29"/>
      <c r="AB337" s="73" t="str">
        <f t="shared" si="10"/>
        <v>タイヤFR イナーシャ(1本) －</v>
      </c>
      <c r="AC337" s="74" t="e">
        <f>VLOOKUP($AB337,変換表貼り付け用シート!$A$3:$AN$1133,3,FALSE)</f>
        <v>#N/A</v>
      </c>
      <c r="AD337" s="74" t="e">
        <f t="shared" si="11"/>
        <v>#N/A</v>
      </c>
      <c r="AE337" s="79" t="e">
        <f>IF(VLOOKUP($AB337,変換表貼り付け用シート!$A$3:$AN$3000,12,FALSE)="","",(VLOOKUP($AB337,変換表貼り付け用シート!$A$3:$AN$3000,12,FALSE)))</f>
        <v>#N/A</v>
      </c>
      <c r="AF337" s="80" t="e">
        <f>IF(VLOOKUP($AB337,変換表貼り付け用シート!$A$3:$AN$3000,13,FALSE)="","",(VLOOKUP($AB337,変換表貼り付け用シート!$A$3:$AN$3000,13,FALSE)))</f>
        <v>#N/A</v>
      </c>
      <c r="AG337" s="80" t="e">
        <f>IF(VLOOKUP($AB337,変換表貼り付け用シート!$A$3:$AN$3000,14,FALSE)="","",(VLOOKUP($AB337,変換表貼り付け用シート!$A$3:$AN$3000,14,FALSE)))</f>
        <v>#N/A</v>
      </c>
      <c r="AH337" s="85" t="e">
        <f>IF(VLOOKUP($AB337,変換表貼り付け用シート!$A$3:$AN$3000,15,FALSE)="","",(VLOOKUP($AB337,変換表貼り付け用シート!$A$3:$AN$3000,15,FALSE)))</f>
        <v>#N/A</v>
      </c>
      <c r="AI337" s="79" t="e">
        <f>IF(VLOOKUP($AB337,変換表貼り付け用シート!$A$3:$AN$3000,16,FALSE)="","",(VLOOKUP($AB337,変換表貼り付け用シート!$A$3:$AN$3000,16,FALSE)))</f>
        <v>#N/A</v>
      </c>
      <c r="AJ337" s="81" t="e">
        <f>IF(VLOOKUP($AB337,変換表貼り付け用シート!$A$3:$AN$3000,17,FALSE)="","",(VLOOKUP($AB337,変換表貼り付け用シート!$A$3:$AN$3000,17,FALSE)))</f>
        <v>#N/A</v>
      </c>
      <c r="AK337" s="88" t="e">
        <f>IF(VLOOKUP($AB337,変換表貼り付け用シート!$A$3:$AN$3000,18,FALSE)="","",(VLOOKUP($AB337,変換表貼り付け用シート!$A$3:$AN$3000,18,FALSE)))</f>
        <v>#N/A</v>
      </c>
      <c r="AL337" s="81" t="e">
        <f>IF(VLOOKUP($AB337,変換表貼り付け用シート!$A$3:$AN$3000,19,FALSE)="","",(VLOOKUP($AB337,変換表貼り付け用シート!$A$3:$AN$3000,19,FALSE)))</f>
        <v>#N/A</v>
      </c>
      <c r="AM337" s="75" t="e">
        <f>IF(VLOOKUP($AB337,変換表貼り付け用シート!$A$3:$AN$3000,20,FALSE)="","",(VLOOKUP($AB337,変換表貼り付け用シート!$A$3:$AN$3000,20,FALSE)))</f>
        <v>#N/A</v>
      </c>
    </row>
    <row r="338" spans="2:39" ht="21" customHeight="1" x14ac:dyDescent="0.35">
      <c r="B338" s="39"/>
      <c r="C338" s="117" t="s">
        <v>1042</v>
      </c>
      <c r="D338" s="96" t="s">
        <v>542</v>
      </c>
      <c r="E338" s="27" t="s">
        <v>44</v>
      </c>
      <c r="F338" s="37" t="s">
        <v>45</v>
      </c>
      <c r="G338" s="33" t="s">
        <v>206</v>
      </c>
      <c r="H338" s="27" t="s">
        <v>523</v>
      </c>
      <c r="I338" s="27" t="s">
        <v>206</v>
      </c>
      <c r="J338" s="37" t="s">
        <v>523</v>
      </c>
      <c r="K338" s="39" t="s">
        <v>68</v>
      </c>
      <c r="L338" s="28" t="s">
        <v>79</v>
      </c>
      <c r="M338" s="28" t="s">
        <v>48</v>
      </c>
      <c r="N338" s="41" t="s">
        <v>48</v>
      </c>
      <c r="O338" s="39" t="s">
        <v>70</v>
      </c>
      <c r="P338" s="28"/>
      <c r="Q338" s="28"/>
      <c r="R338" s="41"/>
      <c r="S338" s="39"/>
      <c r="T338" s="41"/>
      <c r="U338" s="39"/>
      <c r="V338" s="41"/>
      <c r="W338" s="43" t="s">
        <v>711</v>
      </c>
      <c r="X338" s="33"/>
      <c r="Y338" s="27"/>
      <c r="Z338" s="29"/>
      <c r="AB338" s="73" t="str">
        <f t="shared" si="10"/>
        <v>タイヤRRサイズ－</v>
      </c>
      <c r="AC338" s="74" t="e">
        <f>VLOOKUP($AB338,変換表貼り付け用シート!$A$3:$AN$1133,3,FALSE)</f>
        <v>#N/A</v>
      </c>
      <c r="AD338" s="74" t="e">
        <f t="shared" si="11"/>
        <v>#N/A</v>
      </c>
      <c r="AE338" s="79" t="e">
        <f>IF(VLOOKUP($AB338,変換表貼り付け用シート!$A$3:$AN$3000,12,FALSE)="","",(VLOOKUP($AB338,変換表貼り付け用シート!$A$3:$AN$3000,12,FALSE)))</f>
        <v>#N/A</v>
      </c>
      <c r="AF338" s="80" t="e">
        <f>IF(VLOOKUP($AB338,変換表貼り付け用シート!$A$3:$AN$3000,13,FALSE)="","",(VLOOKUP($AB338,変換表貼り付け用シート!$A$3:$AN$3000,13,FALSE)))</f>
        <v>#N/A</v>
      </c>
      <c r="AG338" s="80" t="e">
        <f>IF(VLOOKUP($AB338,変換表貼り付け用シート!$A$3:$AN$3000,14,FALSE)="","",(VLOOKUP($AB338,変換表貼り付け用シート!$A$3:$AN$3000,14,FALSE)))</f>
        <v>#N/A</v>
      </c>
      <c r="AH338" s="85" t="e">
        <f>IF(VLOOKUP($AB338,変換表貼り付け用シート!$A$3:$AN$3000,15,FALSE)="","",(VLOOKUP($AB338,変換表貼り付け用シート!$A$3:$AN$3000,15,FALSE)))</f>
        <v>#N/A</v>
      </c>
      <c r="AI338" s="79" t="e">
        <f>IF(VLOOKUP($AB338,変換表貼り付け用シート!$A$3:$AN$3000,16,FALSE)="","",(VLOOKUP($AB338,変換表貼り付け用シート!$A$3:$AN$3000,16,FALSE)))</f>
        <v>#N/A</v>
      </c>
      <c r="AJ338" s="81" t="e">
        <f>IF(VLOOKUP($AB338,変換表貼り付け用シート!$A$3:$AN$3000,17,FALSE)="","",(VLOOKUP($AB338,変換表貼り付け用シート!$A$3:$AN$3000,17,FALSE)))</f>
        <v>#N/A</v>
      </c>
      <c r="AK338" s="88" t="e">
        <f>IF(VLOOKUP($AB338,変換表貼り付け用シート!$A$3:$AN$3000,18,FALSE)="","",(VLOOKUP($AB338,変換表貼り付け用シート!$A$3:$AN$3000,18,FALSE)))</f>
        <v>#N/A</v>
      </c>
      <c r="AL338" s="81" t="e">
        <f>IF(VLOOKUP($AB338,変換表貼り付け用シート!$A$3:$AN$3000,19,FALSE)="","",(VLOOKUP($AB338,変換表貼り付け用シート!$A$3:$AN$3000,19,FALSE)))</f>
        <v>#N/A</v>
      </c>
      <c r="AM338" s="75" t="e">
        <f>IF(VLOOKUP($AB338,変換表貼り付け用シート!$A$3:$AN$3000,20,FALSE)="","",(VLOOKUP($AB338,変換表貼り付け用シート!$A$3:$AN$3000,20,FALSE)))</f>
        <v>#N/A</v>
      </c>
    </row>
    <row r="339" spans="2:39" ht="21" customHeight="1" x14ac:dyDescent="0.35">
      <c r="B339" s="39"/>
      <c r="C339" s="117" t="s">
        <v>1043</v>
      </c>
      <c r="D339" s="96" t="s">
        <v>543</v>
      </c>
      <c r="E339" s="27" t="s">
        <v>44</v>
      </c>
      <c r="F339" s="37" t="s">
        <v>45</v>
      </c>
      <c r="G339" s="33" t="s">
        <v>206</v>
      </c>
      <c r="H339" s="27" t="s">
        <v>523</v>
      </c>
      <c r="I339" s="27" t="s">
        <v>206</v>
      </c>
      <c r="J339" s="37" t="s">
        <v>523</v>
      </c>
      <c r="K339" s="39" t="s">
        <v>68</v>
      </c>
      <c r="L339" s="28" t="s">
        <v>80</v>
      </c>
      <c r="M339" s="28" t="s">
        <v>48</v>
      </c>
      <c r="N339" s="41" t="s">
        <v>72</v>
      </c>
      <c r="O339" s="39">
        <v>0.27100000000000002</v>
      </c>
      <c r="P339" s="28"/>
      <c r="Q339" s="28"/>
      <c r="R339" s="41"/>
      <c r="S339" s="39"/>
      <c r="T339" s="41"/>
      <c r="U339" s="39"/>
      <c r="V339" s="41"/>
      <c r="W339" s="43" t="s">
        <v>711</v>
      </c>
      <c r="X339" s="33"/>
      <c r="Y339" s="27"/>
      <c r="Z339" s="29"/>
      <c r="AB339" s="73" t="str">
        <f t="shared" si="10"/>
        <v>タイヤRR動半径－</v>
      </c>
      <c r="AC339" s="74" t="e">
        <f>VLOOKUP($AB339,変換表貼り付け用シート!$A$3:$AN$1133,3,FALSE)</f>
        <v>#N/A</v>
      </c>
      <c r="AD339" s="74" t="e">
        <f t="shared" si="11"/>
        <v>#N/A</v>
      </c>
      <c r="AE339" s="79" t="e">
        <f>IF(VLOOKUP($AB339,変換表貼り付け用シート!$A$3:$AN$3000,12,FALSE)="","",(VLOOKUP($AB339,変換表貼り付け用シート!$A$3:$AN$3000,12,FALSE)))</f>
        <v>#N/A</v>
      </c>
      <c r="AF339" s="80" t="e">
        <f>IF(VLOOKUP($AB339,変換表貼り付け用シート!$A$3:$AN$3000,13,FALSE)="","",(VLOOKUP($AB339,変換表貼り付け用シート!$A$3:$AN$3000,13,FALSE)))</f>
        <v>#N/A</v>
      </c>
      <c r="AG339" s="80" t="e">
        <f>IF(VLOOKUP($AB339,変換表貼り付け用シート!$A$3:$AN$3000,14,FALSE)="","",(VLOOKUP($AB339,変換表貼り付け用シート!$A$3:$AN$3000,14,FALSE)))</f>
        <v>#N/A</v>
      </c>
      <c r="AH339" s="85" t="e">
        <f>IF(VLOOKUP($AB339,変換表貼り付け用シート!$A$3:$AN$3000,15,FALSE)="","",(VLOOKUP($AB339,変換表貼り付け用シート!$A$3:$AN$3000,15,FALSE)))</f>
        <v>#N/A</v>
      </c>
      <c r="AI339" s="79" t="e">
        <f>IF(VLOOKUP($AB339,変換表貼り付け用シート!$A$3:$AN$3000,16,FALSE)="","",(VLOOKUP($AB339,変換表貼り付け用シート!$A$3:$AN$3000,16,FALSE)))</f>
        <v>#N/A</v>
      </c>
      <c r="AJ339" s="81" t="e">
        <f>IF(VLOOKUP($AB339,変換表貼り付け用シート!$A$3:$AN$3000,17,FALSE)="","",(VLOOKUP($AB339,変換表貼り付け用シート!$A$3:$AN$3000,17,FALSE)))</f>
        <v>#N/A</v>
      </c>
      <c r="AK339" s="88" t="e">
        <f>IF(VLOOKUP($AB339,変換表貼り付け用シート!$A$3:$AN$3000,18,FALSE)="","",(VLOOKUP($AB339,変換表貼り付け用シート!$A$3:$AN$3000,18,FALSE)))</f>
        <v>#N/A</v>
      </c>
      <c r="AL339" s="81" t="e">
        <f>IF(VLOOKUP($AB339,変換表貼り付け用シート!$A$3:$AN$3000,19,FALSE)="","",(VLOOKUP($AB339,変換表貼り付け用シート!$A$3:$AN$3000,19,FALSE)))</f>
        <v>#N/A</v>
      </c>
      <c r="AM339" s="75" t="e">
        <f>IF(VLOOKUP($AB339,変換表貼り付け用シート!$A$3:$AN$3000,20,FALSE)="","",(VLOOKUP($AB339,変換表貼り付け用シート!$A$3:$AN$3000,20,FALSE)))</f>
        <v>#N/A</v>
      </c>
    </row>
    <row r="340" spans="2:39" ht="21" customHeight="1" x14ac:dyDescent="0.35">
      <c r="B340" s="39"/>
      <c r="C340" s="117" t="s">
        <v>1044</v>
      </c>
      <c r="D340" s="96" t="s">
        <v>544</v>
      </c>
      <c r="E340" s="27" t="s">
        <v>44</v>
      </c>
      <c r="F340" s="37" t="s">
        <v>45</v>
      </c>
      <c r="G340" s="33" t="s">
        <v>206</v>
      </c>
      <c r="H340" s="27" t="s">
        <v>523</v>
      </c>
      <c r="I340" s="27" t="s">
        <v>206</v>
      </c>
      <c r="J340" s="37" t="s">
        <v>523</v>
      </c>
      <c r="K340" s="39" t="s">
        <v>68</v>
      </c>
      <c r="L340" s="28" t="s">
        <v>81</v>
      </c>
      <c r="M340" s="28" t="s">
        <v>48</v>
      </c>
      <c r="N340" s="41" t="s">
        <v>48</v>
      </c>
      <c r="O340" s="39" t="s">
        <v>57</v>
      </c>
      <c r="P340" s="28"/>
      <c r="Q340" s="28"/>
      <c r="R340" s="41"/>
      <c r="S340" s="39"/>
      <c r="T340" s="41"/>
      <c r="U340" s="39"/>
      <c r="V340" s="41"/>
      <c r="W340" s="43" t="s">
        <v>711</v>
      </c>
      <c r="X340" s="33"/>
      <c r="Y340" s="27"/>
      <c r="Z340" s="29"/>
      <c r="AB340" s="73" t="str">
        <f t="shared" si="10"/>
        <v>タイヤRR RRC (ISO 28560 80kmh,210kPa)－</v>
      </c>
      <c r="AC340" s="74" t="e">
        <f>VLOOKUP($AB340,変換表貼り付け用シート!$A$3:$AN$1133,3,FALSE)</f>
        <v>#N/A</v>
      </c>
      <c r="AD340" s="74" t="e">
        <f t="shared" si="11"/>
        <v>#N/A</v>
      </c>
      <c r="AE340" s="79" t="e">
        <f>IF(VLOOKUP($AB340,変換表貼り付け用シート!$A$3:$AN$3000,12,FALSE)="","",(VLOOKUP($AB340,変換表貼り付け用シート!$A$3:$AN$3000,12,FALSE)))</f>
        <v>#N/A</v>
      </c>
      <c r="AF340" s="80" t="e">
        <f>IF(VLOOKUP($AB340,変換表貼り付け用シート!$A$3:$AN$3000,13,FALSE)="","",(VLOOKUP($AB340,変換表貼り付け用シート!$A$3:$AN$3000,13,FALSE)))</f>
        <v>#N/A</v>
      </c>
      <c r="AG340" s="80" t="e">
        <f>IF(VLOOKUP($AB340,変換表貼り付け用シート!$A$3:$AN$3000,14,FALSE)="","",(VLOOKUP($AB340,変換表貼り付け用シート!$A$3:$AN$3000,14,FALSE)))</f>
        <v>#N/A</v>
      </c>
      <c r="AH340" s="85" t="e">
        <f>IF(VLOOKUP($AB340,変換表貼り付け用シート!$A$3:$AN$3000,15,FALSE)="","",(VLOOKUP($AB340,変換表貼り付け用シート!$A$3:$AN$3000,15,FALSE)))</f>
        <v>#N/A</v>
      </c>
      <c r="AI340" s="79" t="e">
        <f>IF(VLOOKUP($AB340,変換表貼り付け用シート!$A$3:$AN$3000,16,FALSE)="","",(VLOOKUP($AB340,変換表貼り付け用シート!$A$3:$AN$3000,16,FALSE)))</f>
        <v>#N/A</v>
      </c>
      <c r="AJ340" s="81" t="e">
        <f>IF(VLOOKUP($AB340,変換表貼り付け用シート!$A$3:$AN$3000,17,FALSE)="","",(VLOOKUP($AB340,変換表貼り付け用シート!$A$3:$AN$3000,17,FALSE)))</f>
        <v>#N/A</v>
      </c>
      <c r="AK340" s="88" t="e">
        <f>IF(VLOOKUP($AB340,変換表貼り付け用シート!$A$3:$AN$3000,18,FALSE)="","",(VLOOKUP($AB340,変換表貼り付け用シート!$A$3:$AN$3000,18,FALSE)))</f>
        <v>#N/A</v>
      </c>
      <c r="AL340" s="81" t="e">
        <f>IF(VLOOKUP($AB340,変換表貼り付け用シート!$A$3:$AN$3000,19,FALSE)="","",(VLOOKUP($AB340,変換表貼り付け用シート!$A$3:$AN$3000,19,FALSE)))</f>
        <v>#N/A</v>
      </c>
      <c r="AM340" s="75" t="e">
        <f>IF(VLOOKUP($AB340,変換表貼り付け用シート!$A$3:$AN$3000,20,FALSE)="","",(VLOOKUP($AB340,変換表貼り付け用シート!$A$3:$AN$3000,20,FALSE)))</f>
        <v>#N/A</v>
      </c>
    </row>
    <row r="341" spans="2:39" ht="21" customHeight="1" x14ac:dyDescent="0.35">
      <c r="B341" s="39"/>
      <c r="C341" s="117" t="s">
        <v>1045</v>
      </c>
      <c r="D341" s="96" t="s">
        <v>545</v>
      </c>
      <c r="E341" s="27" t="s">
        <v>44</v>
      </c>
      <c r="F341" s="37" t="s">
        <v>45</v>
      </c>
      <c r="G341" s="33" t="s">
        <v>206</v>
      </c>
      <c r="H341" s="27" t="s">
        <v>523</v>
      </c>
      <c r="I341" s="27" t="s">
        <v>206</v>
      </c>
      <c r="J341" s="37" t="s">
        <v>523</v>
      </c>
      <c r="K341" s="39" t="s">
        <v>68</v>
      </c>
      <c r="L341" s="28" t="s">
        <v>82</v>
      </c>
      <c r="M341" s="28" t="s">
        <v>48</v>
      </c>
      <c r="N341" s="41" t="s">
        <v>48</v>
      </c>
      <c r="O341" s="39">
        <v>68</v>
      </c>
      <c r="P341" s="28"/>
      <c r="Q341" s="28"/>
      <c r="R341" s="41"/>
      <c r="S341" s="39"/>
      <c r="T341" s="41"/>
      <c r="U341" s="39"/>
      <c r="V341" s="41"/>
      <c r="W341" s="43" t="s">
        <v>711</v>
      </c>
      <c r="X341" s="33"/>
      <c r="Y341" s="27"/>
      <c r="Z341" s="29"/>
      <c r="AB341" s="73" t="str">
        <f t="shared" si="10"/>
        <v>タイヤRR RRC (車両状態)－</v>
      </c>
      <c r="AC341" s="74" t="e">
        <f>VLOOKUP($AB341,変換表貼り付け用シート!$A$3:$AN$1133,3,FALSE)</f>
        <v>#N/A</v>
      </c>
      <c r="AD341" s="74" t="e">
        <f t="shared" si="11"/>
        <v>#N/A</v>
      </c>
      <c r="AE341" s="79" t="e">
        <f>IF(VLOOKUP($AB341,変換表貼り付け用シート!$A$3:$AN$3000,12,FALSE)="","",(VLOOKUP($AB341,変換表貼り付け用シート!$A$3:$AN$3000,12,FALSE)))</f>
        <v>#N/A</v>
      </c>
      <c r="AF341" s="80" t="e">
        <f>IF(VLOOKUP($AB341,変換表貼り付け用シート!$A$3:$AN$3000,13,FALSE)="","",(VLOOKUP($AB341,変換表貼り付け用シート!$A$3:$AN$3000,13,FALSE)))</f>
        <v>#N/A</v>
      </c>
      <c r="AG341" s="80" t="e">
        <f>IF(VLOOKUP($AB341,変換表貼り付け用シート!$A$3:$AN$3000,14,FALSE)="","",(VLOOKUP($AB341,変換表貼り付け用シート!$A$3:$AN$3000,14,FALSE)))</f>
        <v>#N/A</v>
      </c>
      <c r="AH341" s="85" t="e">
        <f>IF(VLOOKUP($AB341,変換表貼り付け用シート!$A$3:$AN$3000,15,FALSE)="","",(VLOOKUP($AB341,変換表貼り付け用シート!$A$3:$AN$3000,15,FALSE)))</f>
        <v>#N/A</v>
      </c>
      <c r="AI341" s="79" t="e">
        <f>IF(VLOOKUP($AB341,変換表貼り付け用シート!$A$3:$AN$3000,16,FALSE)="","",(VLOOKUP($AB341,変換表貼り付け用シート!$A$3:$AN$3000,16,FALSE)))</f>
        <v>#N/A</v>
      </c>
      <c r="AJ341" s="81" t="e">
        <f>IF(VLOOKUP($AB341,変換表貼り付け用シート!$A$3:$AN$3000,17,FALSE)="","",(VLOOKUP($AB341,変換表貼り付け用シート!$A$3:$AN$3000,17,FALSE)))</f>
        <v>#N/A</v>
      </c>
      <c r="AK341" s="88" t="e">
        <f>IF(VLOOKUP($AB341,変換表貼り付け用シート!$A$3:$AN$3000,18,FALSE)="","",(VLOOKUP($AB341,変換表貼り付け用シート!$A$3:$AN$3000,18,FALSE)))</f>
        <v>#N/A</v>
      </c>
      <c r="AL341" s="81" t="e">
        <f>IF(VLOOKUP($AB341,変換表貼り付け用シート!$A$3:$AN$3000,19,FALSE)="","",(VLOOKUP($AB341,変換表貼り付け用シート!$A$3:$AN$3000,19,FALSE)))</f>
        <v>#N/A</v>
      </c>
      <c r="AM341" s="75" t="e">
        <f>IF(VLOOKUP($AB341,変換表貼り付け用シート!$A$3:$AN$3000,20,FALSE)="","",(VLOOKUP($AB341,変換表貼り付け用シート!$A$3:$AN$3000,20,FALSE)))</f>
        <v>#N/A</v>
      </c>
    </row>
    <row r="342" spans="2:39" ht="21" customHeight="1" x14ac:dyDescent="0.35">
      <c r="B342" s="39"/>
      <c r="C342" s="117" t="s">
        <v>1046</v>
      </c>
      <c r="D342" s="96" t="s">
        <v>546</v>
      </c>
      <c r="E342" s="27" t="s">
        <v>44</v>
      </c>
      <c r="F342" s="37" t="s">
        <v>45</v>
      </c>
      <c r="G342" s="33" t="s">
        <v>206</v>
      </c>
      <c r="H342" s="27" t="s">
        <v>523</v>
      </c>
      <c r="I342" s="27" t="s">
        <v>206</v>
      </c>
      <c r="J342" s="37" t="s">
        <v>523</v>
      </c>
      <c r="K342" s="39" t="s">
        <v>68</v>
      </c>
      <c r="L342" s="28" t="s">
        <v>83</v>
      </c>
      <c r="M342" s="28" t="s">
        <v>48</v>
      </c>
      <c r="N342" s="41" t="s">
        <v>76</v>
      </c>
      <c r="O342" s="39">
        <v>240</v>
      </c>
      <c r="P342" s="28"/>
      <c r="Q342" s="28"/>
      <c r="R342" s="41"/>
      <c r="S342" s="39"/>
      <c r="T342" s="41"/>
      <c r="U342" s="39"/>
      <c r="V342" s="41"/>
      <c r="W342" s="43" t="s">
        <v>711</v>
      </c>
      <c r="X342" s="33"/>
      <c r="Y342" s="27"/>
      <c r="Z342" s="29"/>
      <c r="AB342" s="73" t="str">
        <f t="shared" si="10"/>
        <v>タイヤRR RRC (車両状態)空気圧－</v>
      </c>
      <c r="AC342" s="74" t="e">
        <f>VLOOKUP($AB342,変換表貼り付け用シート!$A$3:$AN$1133,3,FALSE)</f>
        <v>#N/A</v>
      </c>
      <c r="AD342" s="74" t="e">
        <f t="shared" si="11"/>
        <v>#N/A</v>
      </c>
      <c r="AE342" s="79" t="e">
        <f>IF(VLOOKUP($AB342,変換表貼り付け用シート!$A$3:$AN$3000,12,FALSE)="","",(VLOOKUP($AB342,変換表貼り付け用シート!$A$3:$AN$3000,12,FALSE)))</f>
        <v>#N/A</v>
      </c>
      <c r="AF342" s="80" t="e">
        <f>IF(VLOOKUP($AB342,変換表貼り付け用シート!$A$3:$AN$3000,13,FALSE)="","",(VLOOKUP($AB342,変換表貼り付け用シート!$A$3:$AN$3000,13,FALSE)))</f>
        <v>#N/A</v>
      </c>
      <c r="AG342" s="80" t="e">
        <f>IF(VLOOKUP($AB342,変換表貼り付け用シート!$A$3:$AN$3000,14,FALSE)="","",(VLOOKUP($AB342,変換表貼り付け用シート!$A$3:$AN$3000,14,FALSE)))</f>
        <v>#N/A</v>
      </c>
      <c r="AH342" s="85" t="e">
        <f>IF(VLOOKUP($AB342,変換表貼り付け用シート!$A$3:$AN$3000,15,FALSE)="","",(VLOOKUP($AB342,変換表貼り付け用シート!$A$3:$AN$3000,15,FALSE)))</f>
        <v>#N/A</v>
      </c>
      <c r="AI342" s="79" t="e">
        <f>IF(VLOOKUP($AB342,変換表貼り付け用シート!$A$3:$AN$3000,16,FALSE)="","",(VLOOKUP($AB342,変換表貼り付け用シート!$A$3:$AN$3000,16,FALSE)))</f>
        <v>#N/A</v>
      </c>
      <c r="AJ342" s="81" t="e">
        <f>IF(VLOOKUP($AB342,変換表貼り付け用シート!$A$3:$AN$3000,17,FALSE)="","",(VLOOKUP($AB342,変換表貼り付け用シート!$A$3:$AN$3000,17,FALSE)))</f>
        <v>#N/A</v>
      </c>
      <c r="AK342" s="88" t="e">
        <f>IF(VLOOKUP($AB342,変換表貼り付け用シート!$A$3:$AN$3000,18,FALSE)="","",(VLOOKUP($AB342,変換表貼り付け用シート!$A$3:$AN$3000,18,FALSE)))</f>
        <v>#N/A</v>
      </c>
      <c r="AL342" s="81" t="e">
        <f>IF(VLOOKUP($AB342,変換表貼り付け用シート!$A$3:$AN$3000,19,FALSE)="","",(VLOOKUP($AB342,変換表貼り付け用シート!$A$3:$AN$3000,19,FALSE)))</f>
        <v>#N/A</v>
      </c>
      <c r="AM342" s="75" t="e">
        <f>IF(VLOOKUP($AB342,変換表貼り付け用シート!$A$3:$AN$3000,20,FALSE)="","",(VLOOKUP($AB342,変換表貼り付け用シート!$A$3:$AN$3000,20,FALSE)))</f>
        <v>#N/A</v>
      </c>
    </row>
    <row r="343" spans="2:39" ht="21" customHeight="1" x14ac:dyDescent="0.35">
      <c r="B343" s="39"/>
      <c r="C343" s="117" t="s">
        <v>1047</v>
      </c>
      <c r="D343" s="96" t="s">
        <v>547</v>
      </c>
      <c r="E343" s="27" t="s">
        <v>44</v>
      </c>
      <c r="F343" s="37" t="s">
        <v>45</v>
      </c>
      <c r="G343" s="33" t="s">
        <v>206</v>
      </c>
      <c r="H343" s="27" t="s">
        <v>523</v>
      </c>
      <c r="I343" s="27" t="s">
        <v>206</v>
      </c>
      <c r="J343" s="37" t="s">
        <v>523</v>
      </c>
      <c r="K343" s="39" t="s">
        <v>68</v>
      </c>
      <c r="L343" s="28" t="s">
        <v>84</v>
      </c>
      <c r="M343" s="28" t="s">
        <v>48</v>
      </c>
      <c r="N343" s="41" t="s">
        <v>78</v>
      </c>
      <c r="O343" s="39">
        <v>0.49</v>
      </c>
      <c r="P343" s="28"/>
      <c r="Q343" s="28"/>
      <c r="R343" s="41"/>
      <c r="S343" s="39"/>
      <c r="T343" s="41"/>
      <c r="U343" s="39"/>
      <c r="V343" s="41"/>
      <c r="W343" s="43" t="s">
        <v>711</v>
      </c>
      <c r="X343" s="33"/>
      <c r="Y343" s="27"/>
      <c r="Z343" s="29"/>
      <c r="AB343" s="73" t="str">
        <f t="shared" si="10"/>
        <v>タイヤRR イナーシャ(1本) －</v>
      </c>
      <c r="AC343" s="74" t="e">
        <f>VLOOKUP($AB343,変換表貼り付け用シート!$A$3:$AN$1133,3,FALSE)</f>
        <v>#N/A</v>
      </c>
      <c r="AD343" s="74" t="e">
        <f t="shared" si="11"/>
        <v>#N/A</v>
      </c>
      <c r="AE343" s="79" t="e">
        <f>IF(VLOOKUP($AB343,変換表貼り付け用シート!$A$3:$AN$3000,12,FALSE)="","",(VLOOKUP($AB343,変換表貼り付け用シート!$A$3:$AN$3000,12,FALSE)))</f>
        <v>#N/A</v>
      </c>
      <c r="AF343" s="80" t="e">
        <f>IF(VLOOKUP($AB343,変換表貼り付け用シート!$A$3:$AN$3000,13,FALSE)="","",(VLOOKUP($AB343,変換表貼り付け用シート!$A$3:$AN$3000,13,FALSE)))</f>
        <v>#N/A</v>
      </c>
      <c r="AG343" s="80" t="e">
        <f>IF(VLOOKUP($AB343,変換表貼り付け用シート!$A$3:$AN$3000,14,FALSE)="","",(VLOOKUP($AB343,変換表貼り付け用シート!$A$3:$AN$3000,14,FALSE)))</f>
        <v>#N/A</v>
      </c>
      <c r="AH343" s="85" t="e">
        <f>IF(VLOOKUP($AB343,変換表貼り付け用シート!$A$3:$AN$3000,15,FALSE)="","",(VLOOKUP($AB343,変換表貼り付け用シート!$A$3:$AN$3000,15,FALSE)))</f>
        <v>#N/A</v>
      </c>
      <c r="AI343" s="79" t="e">
        <f>IF(VLOOKUP($AB343,変換表貼り付け用シート!$A$3:$AN$3000,16,FALSE)="","",(VLOOKUP($AB343,変換表貼り付け用シート!$A$3:$AN$3000,16,FALSE)))</f>
        <v>#N/A</v>
      </c>
      <c r="AJ343" s="81" t="e">
        <f>IF(VLOOKUP($AB343,変換表貼り付け用シート!$A$3:$AN$3000,17,FALSE)="","",(VLOOKUP($AB343,変換表貼り付け用シート!$A$3:$AN$3000,17,FALSE)))</f>
        <v>#N/A</v>
      </c>
      <c r="AK343" s="88" t="e">
        <f>IF(VLOOKUP($AB343,変換表貼り付け用シート!$A$3:$AN$3000,18,FALSE)="","",(VLOOKUP($AB343,変換表貼り付け用シート!$A$3:$AN$3000,18,FALSE)))</f>
        <v>#N/A</v>
      </c>
      <c r="AL343" s="81" t="e">
        <f>IF(VLOOKUP($AB343,変換表貼り付け用シート!$A$3:$AN$3000,19,FALSE)="","",(VLOOKUP($AB343,変換表貼り付け用シート!$A$3:$AN$3000,19,FALSE)))</f>
        <v>#N/A</v>
      </c>
      <c r="AM343" s="75" t="e">
        <f>IF(VLOOKUP($AB343,変換表貼り付け用シート!$A$3:$AN$3000,20,FALSE)="","",(VLOOKUP($AB343,変換表貼り付け用シート!$A$3:$AN$3000,20,FALSE)))</f>
        <v>#N/A</v>
      </c>
    </row>
    <row r="344" spans="2:39" ht="21" customHeight="1" x14ac:dyDescent="0.35">
      <c r="B344" s="39"/>
      <c r="C344" s="117" t="s">
        <v>1048</v>
      </c>
      <c r="D344" s="96" t="s">
        <v>548</v>
      </c>
      <c r="E344" s="27" t="s">
        <v>44</v>
      </c>
      <c r="F344" s="37" t="s">
        <v>45</v>
      </c>
      <c r="G344" s="33" t="s">
        <v>206</v>
      </c>
      <c r="H344" s="27" t="s">
        <v>523</v>
      </c>
      <c r="I344" s="27" t="s">
        <v>206</v>
      </c>
      <c r="J344" s="37" t="s">
        <v>523</v>
      </c>
      <c r="K344" s="39" t="s">
        <v>85</v>
      </c>
      <c r="L344" s="28" t="s">
        <v>86</v>
      </c>
      <c r="M344" s="28" t="s">
        <v>48</v>
      </c>
      <c r="N344" s="41" t="s">
        <v>48</v>
      </c>
      <c r="O344" s="39" t="s">
        <v>57</v>
      </c>
      <c r="P344" s="28"/>
      <c r="Q344" s="28"/>
      <c r="R344" s="41"/>
      <c r="S344" s="39"/>
      <c r="T344" s="41"/>
      <c r="U344" s="39"/>
      <c r="V344" s="41"/>
      <c r="W344" s="43" t="s">
        <v>711</v>
      </c>
      <c r="X344" s="33"/>
      <c r="Y344" s="27"/>
      <c r="Z344" s="29"/>
      <c r="AB344" s="73" t="str">
        <f t="shared" si="10"/>
        <v>ホイール仕様－</v>
      </c>
      <c r="AC344" s="74" t="e">
        <f>VLOOKUP($AB344,変換表貼り付け用シート!$A$3:$AN$1133,3,FALSE)</f>
        <v>#N/A</v>
      </c>
      <c r="AD344" s="74" t="e">
        <f t="shared" si="11"/>
        <v>#N/A</v>
      </c>
      <c r="AE344" s="79" t="e">
        <f>IF(VLOOKUP($AB344,変換表貼り付け用シート!$A$3:$AN$3000,12,FALSE)="","",(VLOOKUP($AB344,変換表貼り付け用シート!$A$3:$AN$3000,12,FALSE)))</f>
        <v>#N/A</v>
      </c>
      <c r="AF344" s="80" t="e">
        <f>IF(VLOOKUP($AB344,変換表貼り付け用シート!$A$3:$AN$3000,13,FALSE)="","",(VLOOKUP($AB344,変換表貼り付け用シート!$A$3:$AN$3000,13,FALSE)))</f>
        <v>#N/A</v>
      </c>
      <c r="AG344" s="80" t="e">
        <f>IF(VLOOKUP($AB344,変換表貼り付け用シート!$A$3:$AN$3000,14,FALSE)="","",(VLOOKUP($AB344,変換表貼り付け用シート!$A$3:$AN$3000,14,FALSE)))</f>
        <v>#N/A</v>
      </c>
      <c r="AH344" s="85" t="e">
        <f>IF(VLOOKUP($AB344,変換表貼り付け用シート!$A$3:$AN$3000,15,FALSE)="","",(VLOOKUP($AB344,変換表貼り付け用シート!$A$3:$AN$3000,15,FALSE)))</f>
        <v>#N/A</v>
      </c>
      <c r="AI344" s="79" t="e">
        <f>IF(VLOOKUP($AB344,変換表貼り付け用シート!$A$3:$AN$3000,16,FALSE)="","",(VLOOKUP($AB344,変換表貼り付け用シート!$A$3:$AN$3000,16,FALSE)))</f>
        <v>#N/A</v>
      </c>
      <c r="AJ344" s="81" t="e">
        <f>IF(VLOOKUP($AB344,変換表貼り付け用シート!$A$3:$AN$3000,17,FALSE)="","",(VLOOKUP($AB344,変換表貼り付け用シート!$A$3:$AN$3000,17,FALSE)))</f>
        <v>#N/A</v>
      </c>
      <c r="AK344" s="88" t="e">
        <f>IF(VLOOKUP($AB344,変換表貼り付け用シート!$A$3:$AN$3000,18,FALSE)="","",(VLOOKUP($AB344,変換表貼り付け用シート!$A$3:$AN$3000,18,FALSE)))</f>
        <v>#N/A</v>
      </c>
      <c r="AL344" s="81" t="e">
        <f>IF(VLOOKUP($AB344,変換表貼り付け用シート!$A$3:$AN$3000,19,FALSE)="","",(VLOOKUP($AB344,変換表貼り付け用シート!$A$3:$AN$3000,19,FALSE)))</f>
        <v>#N/A</v>
      </c>
      <c r="AM344" s="75" t="e">
        <f>IF(VLOOKUP($AB344,変換表貼り付け用シート!$A$3:$AN$3000,20,FALSE)="","",(VLOOKUP($AB344,変換表貼り付け用シート!$A$3:$AN$3000,20,FALSE)))</f>
        <v>#N/A</v>
      </c>
    </row>
    <row r="345" spans="2:39" ht="21" customHeight="1" x14ac:dyDescent="0.35">
      <c r="B345" s="39"/>
      <c r="C345" s="117" t="s">
        <v>1049</v>
      </c>
      <c r="D345" s="96" t="s">
        <v>549</v>
      </c>
      <c r="E345" s="27" t="s">
        <v>44</v>
      </c>
      <c r="F345" s="37" t="s">
        <v>45</v>
      </c>
      <c r="G345" s="33" t="s">
        <v>206</v>
      </c>
      <c r="H345" s="27" t="s">
        <v>523</v>
      </c>
      <c r="I345" s="27" t="s">
        <v>206</v>
      </c>
      <c r="J345" s="37" t="s">
        <v>523</v>
      </c>
      <c r="K345" s="39" t="s">
        <v>85</v>
      </c>
      <c r="L345" s="28" t="s">
        <v>87</v>
      </c>
      <c r="M345" s="28" t="s">
        <v>48</v>
      </c>
      <c r="N345" s="41" t="s">
        <v>78</v>
      </c>
      <c r="O345" s="39" t="s">
        <v>53</v>
      </c>
      <c r="P345" s="28"/>
      <c r="Q345" s="28"/>
      <c r="R345" s="41"/>
      <c r="S345" s="39"/>
      <c r="T345" s="41"/>
      <c r="U345" s="39"/>
      <c r="V345" s="41"/>
      <c r="W345" s="43" t="s">
        <v>711</v>
      </c>
      <c r="X345" s="33"/>
      <c r="Y345" s="27"/>
      <c r="Z345" s="29"/>
      <c r="AB345" s="73" t="str">
        <f t="shared" si="10"/>
        <v>ホイールイナーシャ(1本)－</v>
      </c>
      <c r="AC345" s="74" t="e">
        <f>VLOOKUP($AB345,変換表貼り付け用シート!$A$3:$AN$1133,3,FALSE)</f>
        <v>#N/A</v>
      </c>
      <c r="AD345" s="74" t="e">
        <f t="shared" si="11"/>
        <v>#N/A</v>
      </c>
      <c r="AE345" s="79" t="e">
        <f>IF(VLOOKUP($AB345,変換表貼り付け用シート!$A$3:$AN$3000,12,FALSE)="","",(VLOOKUP($AB345,変換表貼り付け用シート!$A$3:$AN$3000,12,FALSE)))</f>
        <v>#N/A</v>
      </c>
      <c r="AF345" s="80" t="e">
        <f>IF(VLOOKUP($AB345,変換表貼り付け用シート!$A$3:$AN$3000,13,FALSE)="","",(VLOOKUP($AB345,変換表貼り付け用シート!$A$3:$AN$3000,13,FALSE)))</f>
        <v>#N/A</v>
      </c>
      <c r="AG345" s="80" t="e">
        <f>IF(VLOOKUP($AB345,変換表貼り付け用シート!$A$3:$AN$3000,14,FALSE)="","",(VLOOKUP($AB345,変換表貼り付け用シート!$A$3:$AN$3000,14,FALSE)))</f>
        <v>#N/A</v>
      </c>
      <c r="AH345" s="85" t="e">
        <f>IF(VLOOKUP($AB345,変換表貼り付け用シート!$A$3:$AN$3000,15,FALSE)="","",(VLOOKUP($AB345,変換表貼り付け用シート!$A$3:$AN$3000,15,FALSE)))</f>
        <v>#N/A</v>
      </c>
      <c r="AI345" s="79" t="e">
        <f>IF(VLOOKUP($AB345,変換表貼り付け用シート!$A$3:$AN$3000,16,FALSE)="","",(VLOOKUP($AB345,変換表貼り付け用シート!$A$3:$AN$3000,16,FALSE)))</f>
        <v>#N/A</v>
      </c>
      <c r="AJ345" s="81" t="e">
        <f>IF(VLOOKUP($AB345,変換表貼り付け用シート!$A$3:$AN$3000,17,FALSE)="","",(VLOOKUP($AB345,変換表貼り付け用シート!$A$3:$AN$3000,17,FALSE)))</f>
        <v>#N/A</v>
      </c>
      <c r="AK345" s="88" t="e">
        <f>IF(VLOOKUP($AB345,変換表貼り付け用シート!$A$3:$AN$3000,18,FALSE)="","",(VLOOKUP($AB345,変換表貼り付け用シート!$A$3:$AN$3000,18,FALSE)))</f>
        <v>#N/A</v>
      </c>
      <c r="AL345" s="81" t="e">
        <f>IF(VLOOKUP($AB345,変換表貼り付け用シート!$A$3:$AN$3000,19,FALSE)="","",(VLOOKUP($AB345,変換表貼り付け用シート!$A$3:$AN$3000,19,FALSE)))</f>
        <v>#N/A</v>
      </c>
      <c r="AM345" s="75" t="e">
        <f>IF(VLOOKUP($AB345,変換表貼り付け用シート!$A$3:$AN$3000,20,FALSE)="","",(VLOOKUP($AB345,変換表貼り付け用シート!$A$3:$AN$3000,20,FALSE)))</f>
        <v>#N/A</v>
      </c>
    </row>
    <row r="346" spans="2:39" ht="21" customHeight="1" x14ac:dyDescent="0.35">
      <c r="B346" s="39"/>
      <c r="C346" s="117" t="s">
        <v>1050</v>
      </c>
      <c r="D346" s="96" t="s">
        <v>550</v>
      </c>
      <c r="E346" s="27" t="s">
        <v>44</v>
      </c>
      <c r="F346" s="37" t="s">
        <v>45</v>
      </c>
      <c r="G346" s="33" t="s">
        <v>206</v>
      </c>
      <c r="H346" s="27" t="s">
        <v>523</v>
      </c>
      <c r="I346" s="27" t="s">
        <v>206</v>
      </c>
      <c r="J346" s="37" t="s">
        <v>523</v>
      </c>
      <c r="K346" s="39" t="s">
        <v>88</v>
      </c>
      <c r="L346" s="28" t="s">
        <v>89</v>
      </c>
      <c r="M346" s="28" t="s">
        <v>48</v>
      </c>
      <c r="N346" s="41" t="s">
        <v>90</v>
      </c>
      <c r="O346" s="39">
        <v>1.75</v>
      </c>
      <c r="P346" s="28"/>
      <c r="Q346" s="28"/>
      <c r="R346" s="41"/>
      <c r="S346" s="39"/>
      <c r="T346" s="41"/>
      <c r="U346" s="39"/>
      <c r="V346" s="41"/>
      <c r="W346" s="43" t="s">
        <v>711</v>
      </c>
      <c r="X346" s="33"/>
      <c r="Y346" s="27"/>
      <c r="Z346" s="29"/>
      <c r="AB346" s="73" t="str">
        <f t="shared" si="10"/>
        <v>HUBTotal引き摺りトルク (@80km/h)－</v>
      </c>
      <c r="AC346" s="74" t="e">
        <f>VLOOKUP($AB346,変換表貼り付け用シート!$A$3:$AN$1133,3,FALSE)</f>
        <v>#N/A</v>
      </c>
      <c r="AD346" s="74" t="e">
        <f t="shared" si="11"/>
        <v>#N/A</v>
      </c>
      <c r="AE346" s="79" t="e">
        <f>IF(VLOOKUP($AB346,変換表貼り付け用シート!$A$3:$AN$3000,12,FALSE)="","",(VLOOKUP($AB346,変換表貼り付け用シート!$A$3:$AN$3000,12,FALSE)))</f>
        <v>#N/A</v>
      </c>
      <c r="AF346" s="80" t="e">
        <f>IF(VLOOKUP($AB346,変換表貼り付け用シート!$A$3:$AN$3000,13,FALSE)="","",(VLOOKUP($AB346,変換表貼り付け用シート!$A$3:$AN$3000,13,FALSE)))</f>
        <v>#N/A</v>
      </c>
      <c r="AG346" s="80" t="e">
        <f>IF(VLOOKUP($AB346,変換表貼り付け用シート!$A$3:$AN$3000,14,FALSE)="","",(VLOOKUP($AB346,変換表貼り付け用シート!$A$3:$AN$3000,14,FALSE)))</f>
        <v>#N/A</v>
      </c>
      <c r="AH346" s="85" t="e">
        <f>IF(VLOOKUP($AB346,変換表貼り付け用シート!$A$3:$AN$3000,15,FALSE)="","",(VLOOKUP($AB346,変換表貼り付け用シート!$A$3:$AN$3000,15,FALSE)))</f>
        <v>#N/A</v>
      </c>
      <c r="AI346" s="79" t="e">
        <f>IF(VLOOKUP($AB346,変換表貼り付け用シート!$A$3:$AN$3000,16,FALSE)="","",(VLOOKUP($AB346,変換表貼り付け用シート!$A$3:$AN$3000,16,FALSE)))</f>
        <v>#N/A</v>
      </c>
      <c r="AJ346" s="81" t="e">
        <f>IF(VLOOKUP($AB346,変換表貼り付け用シート!$A$3:$AN$3000,17,FALSE)="","",(VLOOKUP($AB346,変換表貼り付け用シート!$A$3:$AN$3000,17,FALSE)))</f>
        <v>#N/A</v>
      </c>
      <c r="AK346" s="88" t="e">
        <f>IF(VLOOKUP($AB346,変換表貼り付け用シート!$A$3:$AN$3000,18,FALSE)="","",(VLOOKUP($AB346,変換表貼り付け用シート!$A$3:$AN$3000,18,FALSE)))</f>
        <v>#N/A</v>
      </c>
      <c r="AL346" s="81" t="e">
        <f>IF(VLOOKUP($AB346,変換表貼り付け用シート!$A$3:$AN$3000,19,FALSE)="","",(VLOOKUP($AB346,変換表貼り付け用シート!$A$3:$AN$3000,19,FALSE)))</f>
        <v>#N/A</v>
      </c>
      <c r="AM346" s="75" t="e">
        <f>IF(VLOOKUP($AB346,変換表貼り付け用シート!$A$3:$AN$3000,20,FALSE)="","",(VLOOKUP($AB346,変換表貼り付け用シート!$A$3:$AN$3000,20,FALSE)))</f>
        <v>#N/A</v>
      </c>
    </row>
    <row r="347" spans="2:39" ht="21" customHeight="1" x14ac:dyDescent="0.35">
      <c r="B347" s="39"/>
      <c r="C347" s="117" t="s">
        <v>1051</v>
      </c>
      <c r="D347" s="96" t="s">
        <v>551</v>
      </c>
      <c r="E347" s="27" t="s">
        <v>44</v>
      </c>
      <c r="F347" s="37" t="s">
        <v>45</v>
      </c>
      <c r="G347" s="33" t="s">
        <v>206</v>
      </c>
      <c r="H347" s="27" t="s">
        <v>523</v>
      </c>
      <c r="I347" s="27" t="s">
        <v>206</v>
      </c>
      <c r="J347" s="37" t="s">
        <v>523</v>
      </c>
      <c r="K347" s="39" t="s">
        <v>88</v>
      </c>
      <c r="L347" s="28" t="s">
        <v>91</v>
      </c>
      <c r="M347" s="28" t="s">
        <v>48</v>
      </c>
      <c r="N347" s="41" t="s">
        <v>90</v>
      </c>
      <c r="O347" s="39" t="s">
        <v>92</v>
      </c>
      <c r="P347" s="28"/>
      <c r="Q347" s="28"/>
      <c r="R347" s="41"/>
      <c r="S347" s="39"/>
      <c r="T347" s="41"/>
      <c r="U347" s="39"/>
      <c r="V347" s="41"/>
      <c r="W347" s="43" t="s">
        <v>711</v>
      </c>
      <c r="X347" s="33"/>
      <c r="Y347" s="27"/>
      <c r="Z347" s="29"/>
      <c r="AB347" s="73" t="str">
        <f t="shared" si="10"/>
        <v>HUBFR 引き摺りトルク (@80km/h)－</v>
      </c>
      <c r="AC347" s="74" t="e">
        <f>VLOOKUP($AB347,変換表貼り付け用シート!$A$3:$AN$1133,3,FALSE)</f>
        <v>#N/A</v>
      </c>
      <c r="AD347" s="74" t="e">
        <f t="shared" si="11"/>
        <v>#N/A</v>
      </c>
      <c r="AE347" s="79" t="e">
        <f>IF(VLOOKUP($AB347,変換表貼り付け用シート!$A$3:$AN$3000,12,FALSE)="","",(VLOOKUP($AB347,変換表貼り付け用シート!$A$3:$AN$3000,12,FALSE)))</f>
        <v>#N/A</v>
      </c>
      <c r="AF347" s="80" t="e">
        <f>IF(VLOOKUP($AB347,変換表貼り付け用シート!$A$3:$AN$3000,13,FALSE)="","",(VLOOKUP($AB347,変換表貼り付け用シート!$A$3:$AN$3000,13,FALSE)))</f>
        <v>#N/A</v>
      </c>
      <c r="AG347" s="80" t="e">
        <f>IF(VLOOKUP($AB347,変換表貼り付け用シート!$A$3:$AN$3000,14,FALSE)="","",(VLOOKUP($AB347,変換表貼り付け用シート!$A$3:$AN$3000,14,FALSE)))</f>
        <v>#N/A</v>
      </c>
      <c r="AH347" s="85" t="e">
        <f>IF(VLOOKUP($AB347,変換表貼り付け用シート!$A$3:$AN$3000,15,FALSE)="","",(VLOOKUP($AB347,変換表貼り付け用シート!$A$3:$AN$3000,15,FALSE)))</f>
        <v>#N/A</v>
      </c>
      <c r="AI347" s="79" t="e">
        <f>IF(VLOOKUP($AB347,変換表貼り付け用シート!$A$3:$AN$3000,16,FALSE)="","",(VLOOKUP($AB347,変換表貼り付け用シート!$A$3:$AN$3000,16,FALSE)))</f>
        <v>#N/A</v>
      </c>
      <c r="AJ347" s="81" t="e">
        <f>IF(VLOOKUP($AB347,変換表貼り付け用シート!$A$3:$AN$3000,17,FALSE)="","",(VLOOKUP($AB347,変換表貼り付け用シート!$A$3:$AN$3000,17,FALSE)))</f>
        <v>#N/A</v>
      </c>
      <c r="AK347" s="88" t="e">
        <f>IF(VLOOKUP($AB347,変換表貼り付け用シート!$A$3:$AN$3000,18,FALSE)="","",(VLOOKUP($AB347,変換表貼り付け用シート!$A$3:$AN$3000,18,FALSE)))</f>
        <v>#N/A</v>
      </c>
      <c r="AL347" s="81" t="e">
        <f>IF(VLOOKUP($AB347,変換表貼り付け用シート!$A$3:$AN$3000,19,FALSE)="","",(VLOOKUP($AB347,変換表貼り付け用シート!$A$3:$AN$3000,19,FALSE)))</f>
        <v>#N/A</v>
      </c>
      <c r="AM347" s="75" t="e">
        <f>IF(VLOOKUP($AB347,変換表貼り付け用シート!$A$3:$AN$3000,20,FALSE)="","",(VLOOKUP($AB347,変換表貼り付け用シート!$A$3:$AN$3000,20,FALSE)))</f>
        <v>#N/A</v>
      </c>
    </row>
    <row r="348" spans="2:39" ht="21" customHeight="1" x14ac:dyDescent="0.35">
      <c r="B348" s="39"/>
      <c r="C348" s="117" t="s">
        <v>1052</v>
      </c>
      <c r="D348" s="96" t="s">
        <v>552</v>
      </c>
      <c r="E348" s="27" t="s">
        <v>44</v>
      </c>
      <c r="F348" s="37" t="s">
        <v>45</v>
      </c>
      <c r="G348" s="33" t="s">
        <v>206</v>
      </c>
      <c r="H348" s="27" t="s">
        <v>523</v>
      </c>
      <c r="I348" s="27" t="s">
        <v>206</v>
      </c>
      <c r="J348" s="37" t="s">
        <v>523</v>
      </c>
      <c r="K348" s="39" t="s">
        <v>88</v>
      </c>
      <c r="L348" s="28" t="s">
        <v>93</v>
      </c>
      <c r="M348" s="28" t="s">
        <v>48</v>
      </c>
      <c r="N348" s="41" t="s">
        <v>90</v>
      </c>
      <c r="O348" s="39" t="s">
        <v>92</v>
      </c>
      <c r="P348" s="28"/>
      <c r="Q348" s="28"/>
      <c r="R348" s="41"/>
      <c r="S348" s="39"/>
      <c r="T348" s="41"/>
      <c r="U348" s="39"/>
      <c r="V348" s="41"/>
      <c r="W348" s="43" t="s">
        <v>711</v>
      </c>
      <c r="X348" s="33"/>
      <c r="Y348" s="27"/>
      <c r="Z348" s="29"/>
      <c r="AB348" s="73" t="str">
        <f t="shared" si="10"/>
        <v>HUBRR 引き摺りトルク (@80km/h)－</v>
      </c>
      <c r="AC348" s="74" t="e">
        <f>VLOOKUP($AB348,変換表貼り付け用シート!$A$3:$AN$1133,3,FALSE)</f>
        <v>#N/A</v>
      </c>
      <c r="AD348" s="74" t="e">
        <f t="shared" si="11"/>
        <v>#N/A</v>
      </c>
      <c r="AE348" s="79" t="e">
        <f>IF(VLOOKUP($AB348,変換表貼り付け用シート!$A$3:$AN$3000,12,FALSE)="","",(VLOOKUP($AB348,変換表貼り付け用シート!$A$3:$AN$3000,12,FALSE)))</f>
        <v>#N/A</v>
      </c>
      <c r="AF348" s="80" t="e">
        <f>IF(VLOOKUP($AB348,変換表貼り付け用シート!$A$3:$AN$3000,13,FALSE)="","",(VLOOKUP($AB348,変換表貼り付け用シート!$A$3:$AN$3000,13,FALSE)))</f>
        <v>#N/A</v>
      </c>
      <c r="AG348" s="80" t="e">
        <f>IF(VLOOKUP($AB348,変換表貼り付け用シート!$A$3:$AN$3000,14,FALSE)="","",(VLOOKUP($AB348,変換表貼り付け用シート!$A$3:$AN$3000,14,FALSE)))</f>
        <v>#N/A</v>
      </c>
      <c r="AH348" s="85" t="e">
        <f>IF(VLOOKUP($AB348,変換表貼り付け用シート!$A$3:$AN$3000,15,FALSE)="","",(VLOOKUP($AB348,変換表貼り付け用シート!$A$3:$AN$3000,15,FALSE)))</f>
        <v>#N/A</v>
      </c>
      <c r="AI348" s="79" t="e">
        <f>IF(VLOOKUP($AB348,変換表貼り付け用シート!$A$3:$AN$3000,16,FALSE)="","",(VLOOKUP($AB348,変換表貼り付け用シート!$A$3:$AN$3000,16,FALSE)))</f>
        <v>#N/A</v>
      </c>
      <c r="AJ348" s="81" t="e">
        <f>IF(VLOOKUP($AB348,変換表貼り付け用シート!$A$3:$AN$3000,17,FALSE)="","",(VLOOKUP($AB348,変換表貼り付け用シート!$A$3:$AN$3000,17,FALSE)))</f>
        <v>#N/A</v>
      </c>
      <c r="AK348" s="88" t="e">
        <f>IF(VLOOKUP($AB348,変換表貼り付け用シート!$A$3:$AN$3000,18,FALSE)="","",(VLOOKUP($AB348,変換表貼り付け用シート!$A$3:$AN$3000,18,FALSE)))</f>
        <v>#N/A</v>
      </c>
      <c r="AL348" s="81" t="e">
        <f>IF(VLOOKUP($AB348,変換表貼り付け用シート!$A$3:$AN$3000,19,FALSE)="","",(VLOOKUP($AB348,変換表貼り付け用シート!$A$3:$AN$3000,19,FALSE)))</f>
        <v>#N/A</v>
      </c>
      <c r="AM348" s="75" t="e">
        <f>IF(VLOOKUP($AB348,変換表貼り付け用シート!$A$3:$AN$3000,20,FALSE)="","",(VLOOKUP($AB348,変換表貼り付け用シート!$A$3:$AN$3000,20,FALSE)))</f>
        <v>#N/A</v>
      </c>
    </row>
    <row r="349" spans="2:39" ht="21" customHeight="1" x14ac:dyDescent="0.35">
      <c r="B349" s="39"/>
      <c r="C349" s="117" t="s">
        <v>1053</v>
      </c>
      <c r="D349" s="96" t="s">
        <v>553</v>
      </c>
      <c r="E349" s="27" t="s">
        <v>44</v>
      </c>
      <c r="F349" s="37" t="s">
        <v>45</v>
      </c>
      <c r="G349" s="33" t="s">
        <v>206</v>
      </c>
      <c r="H349" s="27" t="s">
        <v>523</v>
      </c>
      <c r="I349" s="27" t="s">
        <v>206</v>
      </c>
      <c r="J349" s="37" t="s">
        <v>523</v>
      </c>
      <c r="K349" s="39" t="s">
        <v>88</v>
      </c>
      <c r="L349" s="28" t="s">
        <v>94</v>
      </c>
      <c r="M349" s="28" t="s">
        <v>48</v>
      </c>
      <c r="N349" s="41" t="s">
        <v>78</v>
      </c>
      <c r="O349" s="39" t="s">
        <v>57</v>
      </c>
      <c r="P349" s="28"/>
      <c r="Q349" s="28"/>
      <c r="R349" s="41"/>
      <c r="S349" s="39"/>
      <c r="T349" s="41"/>
      <c r="U349" s="39"/>
      <c r="V349" s="41"/>
      <c r="W349" s="43" t="s">
        <v>711</v>
      </c>
      <c r="X349" s="33"/>
      <c r="Y349" s="27"/>
      <c r="Z349" s="29"/>
      <c r="AB349" s="73" t="str">
        <f t="shared" si="10"/>
        <v>HUBFR イナーシャ－</v>
      </c>
      <c r="AC349" s="74" t="e">
        <f>VLOOKUP($AB349,変換表貼り付け用シート!$A$3:$AN$1133,3,FALSE)</f>
        <v>#N/A</v>
      </c>
      <c r="AD349" s="74" t="e">
        <f t="shared" si="11"/>
        <v>#N/A</v>
      </c>
      <c r="AE349" s="79" t="e">
        <f>IF(VLOOKUP($AB349,変換表貼り付け用シート!$A$3:$AN$3000,12,FALSE)="","",(VLOOKUP($AB349,変換表貼り付け用シート!$A$3:$AN$3000,12,FALSE)))</f>
        <v>#N/A</v>
      </c>
      <c r="AF349" s="80" t="e">
        <f>IF(VLOOKUP($AB349,変換表貼り付け用シート!$A$3:$AN$3000,13,FALSE)="","",(VLOOKUP($AB349,変換表貼り付け用シート!$A$3:$AN$3000,13,FALSE)))</f>
        <v>#N/A</v>
      </c>
      <c r="AG349" s="80" t="e">
        <f>IF(VLOOKUP($AB349,変換表貼り付け用シート!$A$3:$AN$3000,14,FALSE)="","",(VLOOKUP($AB349,変換表貼り付け用シート!$A$3:$AN$3000,14,FALSE)))</f>
        <v>#N/A</v>
      </c>
      <c r="AH349" s="85" t="e">
        <f>IF(VLOOKUP($AB349,変換表貼り付け用シート!$A$3:$AN$3000,15,FALSE)="","",(VLOOKUP($AB349,変換表貼り付け用シート!$A$3:$AN$3000,15,FALSE)))</f>
        <v>#N/A</v>
      </c>
      <c r="AI349" s="79" t="e">
        <f>IF(VLOOKUP($AB349,変換表貼り付け用シート!$A$3:$AN$3000,16,FALSE)="","",(VLOOKUP($AB349,変換表貼り付け用シート!$A$3:$AN$3000,16,FALSE)))</f>
        <v>#N/A</v>
      </c>
      <c r="AJ349" s="81" t="e">
        <f>IF(VLOOKUP($AB349,変換表貼り付け用シート!$A$3:$AN$3000,17,FALSE)="","",(VLOOKUP($AB349,変換表貼り付け用シート!$A$3:$AN$3000,17,FALSE)))</f>
        <v>#N/A</v>
      </c>
      <c r="AK349" s="88" t="e">
        <f>IF(VLOOKUP($AB349,変換表貼り付け用シート!$A$3:$AN$3000,18,FALSE)="","",(VLOOKUP($AB349,変換表貼り付け用シート!$A$3:$AN$3000,18,FALSE)))</f>
        <v>#N/A</v>
      </c>
      <c r="AL349" s="81" t="e">
        <f>IF(VLOOKUP($AB349,変換表貼り付け用シート!$A$3:$AN$3000,19,FALSE)="","",(VLOOKUP($AB349,変換表貼り付け用シート!$A$3:$AN$3000,19,FALSE)))</f>
        <v>#N/A</v>
      </c>
      <c r="AM349" s="75" t="e">
        <f>IF(VLOOKUP($AB349,変換表貼り付け用シート!$A$3:$AN$3000,20,FALSE)="","",(VLOOKUP($AB349,変換表貼り付け用シート!$A$3:$AN$3000,20,FALSE)))</f>
        <v>#N/A</v>
      </c>
    </row>
    <row r="350" spans="2:39" ht="21" customHeight="1" x14ac:dyDescent="0.35">
      <c r="B350" s="39"/>
      <c r="C350" s="117" t="s">
        <v>1054</v>
      </c>
      <c r="D350" s="96" t="s">
        <v>554</v>
      </c>
      <c r="E350" s="27" t="s">
        <v>44</v>
      </c>
      <c r="F350" s="37" t="s">
        <v>45</v>
      </c>
      <c r="G350" s="33" t="s">
        <v>206</v>
      </c>
      <c r="H350" s="27" t="s">
        <v>523</v>
      </c>
      <c r="I350" s="27" t="s">
        <v>206</v>
      </c>
      <c r="J350" s="37" t="s">
        <v>523</v>
      </c>
      <c r="K350" s="39" t="s">
        <v>88</v>
      </c>
      <c r="L350" s="28" t="s">
        <v>95</v>
      </c>
      <c r="M350" s="28" t="s">
        <v>48</v>
      </c>
      <c r="N350" s="41" t="s">
        <v>78</v>
      </c>
      <c r="O350" s="39" t="s">
        <v>57</v>
      </c>
      <c r="P350" s="28"/>
      <c r="Q350" s="28"/>
      <c r="R350" s="41"/>
      <c r="S350" s="39"/>
      <c r="T350" s="41"/>
      <c r="U350" s="39"/>
      <c r="V350" s="41"/>
      <c r="W350" s="43" t="s">
        <v>711</v>
      </c>
      <c r="X350" s="33"/>
      <c r="Y350" s="27"/>
      <c r="Z350" s="29"/>
      <c r="AB350" s="73" t="str">
        <f t="shared" si="10"/>
        <v>HUBRR イナーシャ－</v>
      </c>
      <c r="AC350" s="74" t="e">
        <f>VLOOKUP($AB350,変換表貼り付け用シート!$A$3:$AN$1133,3,FALSE)</f>
        <v>#N/A</v>
      </c>
      <c r="AD350" s="74" t="e">
        <f t="shared" si="11"/>
        <v>#N/A</v>
      </c>
      <c r="AE350" s="79" t="e">
        <f>IF(VLOOKUP($AB350,変換表貼り付け用シート!$A$3:$AN$3000,12,FALSE)="","",(VLOOKUP($AB350,変換表貼り付け用シート!$A$3:$AN$3000,12,FALSE)))</f>
        <v>#N/A</v>
      </c>
      <c r="AF350" s="80" t="e">
        <f>IF(VLOOKUP($AB350,変換表貼り付け用シート!$A$3:$AN$3000,13,FALSE)="","",(VLOOKUP($AB350,変換表貼り付け用シート!$A$3:$AN$3000,13,FALSE)))</f>
        <v>#N/A</v>
      </c>
      <c r="AG350" s="80" t="e">
        <f>IF(VLOOKUP($AB350,変換表貼り付け用シート!$A$3:$AN$3000,14,FALSE)="","",(VLOOKUP($AB350,変換表貼り付け用シート!$A$3:$AN$3000,14,FALSE)))</f>
        <v>#N/A</v>
      </c>
      <c r="AH350" s="85" t="e">
        <f>IF(VLOOKUP($AB350,変換表貼り付け用シート!$A$3:$AN$3000,15,FALSE)="","",(VLOOKUP($AB350,変換表貼り付け用シート!$A$3:$AN$3000,15,FALSE)))</f>
        <v>#N/A</v>
      </c>
      <c r="AI350" s="79" t="e">
        <f>IF(VLOOKUP($AB350,変換表貼り付け用シート!$A$3:$AN$3000,16,FALSE)="","",(VLOOKUP($AB350,変換表貼り付け用シート!$A$3:$AN$3000,16,FALSE)))</f>
        <v>#N/A</v>
      </c>
      <c r="AJ350" s="81" t="e">
        <f>IF(VLOOKUP($AB350,変換表貼り付け用シート!$A$3:$AN$3000,17,FALSE)="","",(VLOOKUP($AB350,変換表貼り付け用シート!$A$3:$AN$3000,17,FALSE)))</f>
        <v>#N/A</v>
      </c>
      <c r="AK350" s="88" t="e">
        <f>IF(VLOOKUP($AB350,変換表貼り付け用シート!$A$3:$AN$3000,18,FALSE)="","",(VLOOKUP($AB350,変換表貼り付け用シート!$A$3:$AN$3000,18,FALSE)))</f>
        <v>#N/A</v>
      </c>
      <c r="AL350" s="81" t="e">
        <f>IF(VLOOKUP($AB350,変換表貼り付け用シート!$A$3:$AN$3000,19,FALSE)="","",(VLOOKUP($AB350,変換表貼り付け用シート!$A$3:$AN$3000,19,FALSE)))</f>
        <v>#N/A</v>
      </c>
      <c r="AM350" s="75" t="e">
        <f>IF(VLOOKUP($AB350,変換表貼り付け用シート!$A$3:$AN$3000,20,FALSE)="","",(VLOOKUP($AB350,変換表貼り付け用シート!$A$3:$AN$3000,20,FALSE)))</f>
        <v>#N/A</v>
      </c>
    </row>
    <row r="351" spans="2:39" ht="21" customHeight="1" x14ac:dyDescent="0.35">
      <c r="B351" s="39"/>
      <c r="C351" s="117" t="s">
        <v>1055</v>
      </c>
      <c r="D351" s="96" t="s">
        <v>555</v>
      </c>
      <c r="E351" s="27" t="s">
        <v>44</v>
      </c>
      <c r="F351" s="37" t="s">
        <v>45</v>
      </c>
      <c r="G351" s="33" t="s">
        <v>206</v>
      </c>
      <c r="H351" s="27" t="s">
        <v>523</v>
      </c>
      <c r="I351" s="27" t="s">
        <v>206</v>
      </c>
      <c r="J351" s="37" t="s">
        <v>523</v>
      </c>
      <c r="K351" s="39" t="s">
        <v>96</v>
      </c>
      <c r="L351" s="28" t="s">
        <v>97</v>
      </c>
      <c r="M351" s="28" t="s">
        <v>48</v>
      </c>
      <c r="N351" s="41" t="s">
        <v>90</v>
      </c>
      <c r="O351" s="39">
        <v>2</v>
      </c>
      <c r="P351" s="28"/>
      <c r="Q351" s="28"/>
      <c r="R351" s="41"/>
      <c r="S351" s="39"/>
      <c r="T351" s="41"/>
      <c r="U351" s="39"/>
      <c r="V351" s="41"/>
      <c r="W351" s="43" t="s">
        <v>711</v>
      </c>
      <c r="X351" s="33"/>
      <c r="Y351" s="27"/>
      <c r="Z351" s="29"/>
      <c r="AB351" s="73" t="str">
        <f t="shared" si="10"/>
        <v>ブレーキ引き摺りトルク (＠経験圧3Mpa) －</v>
      </c>
      <c r="AC351" s="74" t="e">
        <f>VLOOKUP($AB351,変換表貼り付け用シート!$A$3:$AN$1133,3,FALSE)</f>
        <v>#N/A</v>
      </c>
      <c r="AD351" s="74" t="e">
        <f t="shared" si="11"/>
        <v>#N/A</v>
      </c>
      <c r="AE351" s="79" t="e">
        <f>IF(VLOOKUP($AB351,変換表貼り付け用シート!$A$3:$AN$3000,12,FALSE)="","",(VLOOKUP($AB351,変換表貼り付け用シート!$A$3:$AN$3000,12,FALSE)))</f>
        <v>#N/A</v>
      </c>
      <c r="AF351" s="80" t="e">
        <f>IF(VLOOKUP($AB351,変換表貼り付け用シート!$A$3:$AN$3000,13,FALSE)="","",(VLOOKUP($AB351,変換表貼り付け用シート!$A$3:$AN$3000,13,FALSE)))</f>
        <v>#N/A</v>
      </c>
      <c r="AG351" s="80" t="e">
        <f>IF(VLOOKUP($AB351,変換表貼り付け用シート!$A$3:$AN$3000,14,FALSE)="","",(VLOOKUP($AB351,変換表貼り付け用シート!$A$3:$AN$3000,14,FALSE)))</f>
        <v>#N/A</v>
      </c>
      <c r="AH351" s="85" t="e">
        <f>IF(VLOOKUP($AB351,変換表貼り付け用シート!$A$3:$AN$3000,15,FALSE)="","",(VLOOKUP($AB351,変換表貼り付け用シート!$A$3:$AN$3000,15,FALSE)))</f>
        <v>#N/A</v>
      </c>
      <c r="AI351" s="79" t="e">
        <f>IF(VLOOKUP($AB351,変換表貼り付け用シート!$A$3:$AN$3000,16,FALSE)="","",(VLOOKUP($AB351,変換表貼り付け用シート!$A$3:$AN$3000,16,FALSE)))</f>
        <v>#N/A</v>
      </c>
      <c r="AJ351" s="81" t="e">
        <f>IF(VLOOKUP($AB351,変換表貼り付け用シート!$A$3:$AN$3000,17,FALSE)="","",(VLOOKUP($AB351,変換表貼り付け用シート!$A$3:$AN$3000,17,FALSE)))</f>
        <v>#N/A</v>
      </c>
      <c r="AK351" s="88" t="e">
        <f>IF(VLOOKUP($AB351,変換表貼り付け用シート!$A$3:$AN$3000,18,FALSE)="","",(VLOOKUP($AB351,変換表貼り付け用シート!$A$3:$AN$3000,18,FALSE)))</f>
        <v>#N/A</v>
      </c>
      <c r="AL351" s="81" t="e">
        <f>IF(VLOOKUP($AB351,変換表貼り付け用シート!$A$3:$AN$3000,19,FALSE)="","",(VLOOKUP($AB351,変換表貼り付け用シート!$A$3:$AN$3000,19,FALSE)))</f>
        <v>#N/A</v>
      </c>
      <c r="AM351" s="75" t="e">
        <f>IF(VLOOKUP($AB351,変換表貼り付け用シート!$A$3:$AN$3000,20,FALSE)="","",(VLOOKUP($AB351,変換表貼り付け用シート!$A$3:$AN$3000,20,FALSE)))</f>
        <v>#N/A</v>
      </c>
    </row>
    <row r="352" spans="2:39" ht="21" customHeight="1" x14ac:dyDescent="0.35">
      <c r="B352" s="39"/>
      <c r="C352" s="117" t="s">
        <v>1056</v>
      </c>
      <c r="D352" s="96" t="s">
        <v>556</v>
      </c>
      <c r="E352" s="27" t="s">
        <v>44</v>
      </c>
      <c r="F352" s="37" t="s">
        <v>45</v>
      </c>
      <c r="G352" s="33" t="s">
        <v>206</v>
      </c>
      <c r="H352" s="27" t="s">
        <v>523</v>
      </c>
      <c r="I352" s="27" t="s">
        <v>206</v>
      </c>
      <c r="J352" s="37" t="s">
        <v>523</v>
      </c>
      <c r="K352" s="39" t="s">
        <v>96</v>
      </c>
      <c r="L352" s="28" t="s">
        <v>98</v>
      </c>
      <c r="M352" s="28" t="s">
        <v>48</v>
      </c>
      <c r="N352" s="41" t="s">
        <v>90</v>
      </c>
      <c r="O352" s="39" t="s">
        <v>57</v>
      </c>
      <c r="P352" s="28"/>
      <c r="Q352" s="28"/>
      <c r="R352" s="41"/>
      <c r="S352" s="39"/>
      <c r="T352" s="41"/>
      <c r="U352" s="39"/>
      <c r="V352" s="41"/>
      <c r="W352" s="43" t="s">
        <v>711</v>
      </c>
      <c r="X352" s="33"/>
      <c r="Y352" s="27"/>
      <c r="Z352" s="29"/>
      <c r="AB352" s="73" t="str">
        <f t="shared" si="10"/>
        <v>ブレーキFR引き摺りトルク (経験圧3Mpa＠60kph)－</v>
      </c>
      <c r="AC352" s="74" t="e">
        <f>VLOOKUP($AB352,変換表貼り付け用シート!$A$3:$AN$1133,3,FALSE)</f>
        <v>#N/A</v>
      </c>
      <c r="AD352" s="74" t="e">
        <f t="shared" si="11"/>
        <v>#N/A</v>
      </c>
      <c r="AE352" s="79" t="e">
        <f>IF(VLOOKUP($AB352,変換表貼り付け用シート!$A$3:$AN$3000,12,FALSE)="","",(VLOOKUP($AB352,変換表貼り付け用シート!$A$3:$AN$3000,12,FALSE)))</f>
        <v>#N/A</v>
      </c>
      <c r="AF352" s="80" t="e">
        <f>IF(VLOOKUP($AB352,変換表貼り付け用シート!$A$3:$AN$3000,13,FALSE)="","",(VLOOKUP($AB352,変換表貼り付け用シート!$A$3:$AN$3000,13,FALSE)))</f>
        <v>#N/A</v>
      </c>
      <c r="AG352" s="80" t="e">
        <f>IF(VLOOKUP($AB352,変換表貼り付け用シート!$A$3:$AN$3000,14,FALSE)="","",(VLOOKUP($AB352,変換表貼り付け用シート!$A$3:$AN$3000,14,FALSE)))</f>
        <v>#N/A</v>
      </c>
      <c r="AH352" s="85" t="e">
        <f>IF(VLOOKUP($AB352,変換表貼り付け用シート!$A$3:$AN$3000,15,FALSE)="","",(VLOOKUP($AB352,変換表貼り付け用シート!$A$3:$AN$3000,15,FALSE)))</f>
        <v>#N/A</v>
      </c>
      <c r="AI352" s="79" t="e">
        <f>IF(VLOOKUP($AB352,変換表貼り付け用シート!$A$3:$AN$3000,16,FALSE)="","",(VLOOKUP($AB352,変換表貼り付け用シート!$A$3:$AN$3000,16,FALSE)))</f>
        <v>#N/A</v>
      </c>
      <c r="AJ352" s="81" t="e">
        <f>IF(VLOOKUP($AB352,変換表貼り付け用シート!$A$3:$AN$3000,17,FALSE)="","",(VLOOKUP($AB352,変換表貼り付け用シート!$A$3:$AN$3000,17,FALSE)))</f>
        <v>#N/A</v>
      </c>
      <c r="AK352" s="88" t="e">
        <f>IF(VLOOKUP($AB352,変換表貼り付け用シート!$A$3:$AN$3000,18,FALSE)="","",(VLOOKUP($AB352,変換表貼り付け用シート!$A$3:$AN$3000,18,FALSE)))</f>
        <v>#N/A</v>
      </c>
      <c r="AL352" s="81" t="e">
        <f>IF(VLOOKUP($AB352,変換表貼り付け用シート!$A$3:$AN$3000,19,FALSE)="","",(VLOOKUP($AB352,変換表貼り付け用シート!$A$3:$AN$3000,19,FALSE)))</f>
        <v>#N/A</v>
      </c>
      <c r="AM352" s="75" t="e">
        <f>IF(VLOOKUP($AB352,変換表貼り付け用シート!$A$3:$AN$3000,20,FALSE)="","",(VLOOKUP($AB352,変換表貼り付け用シート!$A$3:$AN$3000,20,FALSE)))</f>
        <v>#N/A</v>
      </c>
    </row>
    <row r="353" spans="2:39" ht="21" customHeight="1" x14ac:dyDescent="0.35">
      <c r="B353" s="39"/>
      <c r="C353" s="117" t="s">
        <v>1057</v>
      </c>
      <c r="D353" s="96" t="s">
        <v>557</v>
      </c>
      <c r="E353" s="27" t="s">
        <v>44</v>
      </c>
      <c r="F353" s="37" t="s">
        <v>45</v>
      </c>
      <c r="G353" s="33" t="s">
        <v>206</v>
      </c>
      <c r="H353" s="27" t="s">
        <v>523</v>
      </c>
      <c r="I353" s="27" t="s">
        <v>206</v>
      </c>
      <c r="J353" s="37" t="s">
        <v>523</v>
      </c>
      <c r="K353" s="39" t="s">
        <v>96</v>
      </c>
      <c r="L353" s="28" t="s">
        <v>99</v>
      </c>
      <c r="M353" s="28" t="s">
        <v>48</v>
      </c>
      <c r="N353" s="41" t="s">
        <v>90</v>
      </c>
      <c r="O353" s="39" t="s">
        <v>57</v>
      </c>
      <c r="P353" s="28"/>
      <c r="Q353" s="28"/>
      <c r="R353" s="41"/>
      <c r="S353" s="39"/>
      <c r="T353" s="41"/>
      <c r="U353" s="39"/>
      <c r="V353" s="41"/>
      <c r="W353" s="43" t="s">
        <v>711</v>
      </c>
      <c r="X353" s="33"/>
      <c r="Y353" s="27"/>
      <c r="Z353" s="29"/>
      <c r="AB353" s="73" t="str">
        <f t="shared" si="10"/>
        <v>ブレーキRR引き摺りトルク(経験圧3Mpa＠60kph)－</v>
      </c>
      <c r="AC353" s="74" t="e">
        <f>VLOOKUP($AB353,変換表貼り付け用シート!$A$3:$AN$1133,3,FALSE)</f>
        <v>#N/A</v>
      </c>
      <c r="AD353" s="74" t="e">
        <f t="shared" si="11"/>
        <v>#N/A</v>
      </c>
      <c r="AE353" s="79" t="e">
        <f>IF(VLOOKUP($AB353,変換表貼り付け用シート!$A$3:$AN$3000,12,FALSE)="","",(VLOOKUP($AB353,変換表貼り付け用シート!$A$3:$AN$3000,12,FALSE)))</f>
        <v>#N/A</v>
      </c>
      <c r="AF353" s="80" t="e">
        <f>IF(VLOOKUP($AB353,変換表貼り付け用シート!$A$3:$AN$3000,13,FALSE)="","",(VLOOKUP($AB353,変換表貼り付け用シート!$A$3:$AN$3000,13,FALSE)))</f>
        <v>#N/A</v>
      </c>
      <c r="AG353" s="80" t="e">
        <f>IF(VLOOKUP($AB353,変換表貼り付け用シート!$A$3:$AN$3000,14,FALSE)="","",(VLOOKUP($AB353,変換表貼り付け用シート!$A$3:$AN$3000,14,FALSE)))</f>
        <v>#N/A</v>
      </c>
      <c r="AH353" s="85" t="e">
        <f>IF(VLOOKUP($AB353,変換表貼り付け用シート!$A$3:$AN$3000,15,FALSE)="","",(VLOOKUP($AB353,変換表貼り付け用シート!$A$3:$AN$3000,15,FALSE)))</f>
        <v>#N/A</v>
      </c>
      <c r="AI353" s="79" t="e">
        <f>IF(VLOOKUP($AB353,変換表貼り付け用シート!$A$3:$AN$3000,16,FALSE)="","",(VLOOKUP($AB353,変換表貼り付け用シート!$A$3:$AN$3000,16,FALSE)))</f>
        <v>#N/A</v>
      </c>
      <c r="AJ353" s="81" t="e">
        <f>IF(VLOOKUP($AB353,変換表貼り付け用シート!$A$3:$AN$3000,17,FALSE)="","",(VLOOKUP($AB353,変換表貼り付け用シート!$A$3:$AN$3000,17,FALSE)))</f>
        <v>#N/A</v>
      </c>
      <c r="AK353" s="88" t="e">
        <f>IF(VLOOKUP($AB353,変換表貼り付け用シート!$A$3:$AN$3000,18,FALSE)="","",(VLOOKUP($AB353,変換表貼り付け用シート!$A$3:$AN$3000,18,FALSE)))</f>
        <v>#N/A</v>
      </c>
      <c r="AL353" s="81" t="e">
        <f>IF(VLOOKUP($AB353,変換表貼り付け用シート!$A$3:$AN$3000,19,FALSE)="","",(VLOOKUP($AB353,変換表貼り付け用シート!$A$3:$AN$3000,19,FALSE)))</f>
        <v>#N/A</v>
      </c>
      <c r="AM353" s="75" t="e">
        <f>IF(VLOOKUP($AB353,変換表貼り付け用シート!$A$3:$AN$3000,20,FALSE)="","",(VLOOKUP($AB353,変換表貼り付け用シート!$A$3:$AN$3000,20,FALSE)))</f>
        <v>#N/A</v>
      </c>
    </row>
    <row r="354" spans="2:39" ht="21" customHeight="1" x14ac:dyDescent="0.35">
      <c r="B354" s="39"/>
      <c r="C354" s="117" t="s">
        <v>1058</v>
      </c>
      <c r="D354" s="96" t="s">
        <v>558</v>
      </c>
      <c r="E354" s="27" t="s">
        <v>44</v>
      </c>
      <c r="F354" s="37" t="s">
        <v>45</v>
      </c>
      <c r="G354" s="33" t="s">
        <v>206</v>
      </c>
      <c r="H354" s="27" t="s">
        <v>523</v>
      </c>
      <c r="I354" s="27" t="s">
        <v>206</v>
      </c>
      <c r="J354" s="37" t="s">
        <v>523</v>
      </c>
      <c r="K354" s="39" t="s">
        <v>96</v>
      </c>
      <c r="L354" s="28" t="s">
        <v>100</v>
      </c>
      <c r="M354" s="28" t="s">
        <v>48</v>
      </c>
      <c r="N354" s="41" t="s">
        <v>78</v>
      </c>
      <c r="O354" s="39">
        <v>0</v>
      </c>
      <c r="P354" s="28"/>
      <c r="Q354" s="28"/>
      <c r="R354" s="41"/>
      <c r="S354" s="39"/>
      <c r="T354" s="41"/>
      <c r="U354" s="39"/>
      <c r="V354" s="41"/>
      <c r="W354" s="43" t="s">
        <v>711</v>
      </c>
      <c r="X354" s="33"/>
      <c r="Y354" s="27"/>
      <c r="Z354" s="29"/>
      <c r="AB354" s="73" t="str">
        <f t="shared" si="10"/>
        <v>ブレーキFRイナーシャ－</v>
      </c>
      <c r="AC354" s="74" t="e">
        <f>VLOOKUP($AB354,変換表貼り付け用シート!$A$3:$AN$1133,3,FALSE)</f>
        <v>#N/A</v>
      </c>
      <c r="AD354" s="74" t="e">
        <f t="shared" si="11"/>
        <v>#N/A</v>
      </c>
      <c r="AE354" s="79" t="e">
        <f>IF(VLOOKUP($AB354,変換表貼り付け用シート!$A$3:$AN$3000,12,FALSE)="","",(VLOOKUP($AB354,変換表貼り付け用シート!$A$3:$AN$3000,12,FALSE)))</f>
        <v>#N/A</v>
      </c>
      <c r="AF354" s="80" t="e">
        <f>IF(VLOOKUP($AB354,変換表貼り付け用シート!$A$3:$AN$3000,13,FALSE)="","",(VLOOKUP($AB354,変換表貼り付け用シート!$A$3:$AN$3000,13,FALSE)))</f>
        <v>#N/A</v>
      </c>
      <c r="AG354" s="80" t="e">
        <f>IF(VLOOKUP($AB354,変換表貼り付け用シート!$A$3:$AN$3000,14,FALSE)="","",(VLOOKUP($AB354,変換表貼り付け用シート!$A$3:$AN$3000,14,FALSE)))</f>
        <v>#N/A</v>
      </c>
      <c r="AH354" s="85" t="e">
        <f>IF(VLOOKUP($AB354,変換表貼り付け用シート!$A$3:$AN$3000,15,FALSE)="","",(VLOOKUP($AB354,変換表貼り付け用シート!$A$3:$AN$3000,15,FALSE)))</f>
        <v>#N/A</v>
      </c>
      <c r="AI354" s="79" t="e">
        <f>IF(VLOOKUP($AB354,変換表貼り付け用シート!$A$3:$AN$3000,16,FALSE)="","",(VLOOKUP($AB354,変換表貼り付け用シート!$A$3:$AN$3000,16,FALSE)))</f>
        <v>#N/A</v>
      </c>
      <c r="AJ354" s="81" t="e">
        <f>IF(VLOOKUP($AB354,変換表貼り付け用シート!$A$3:$AN$3000,17,FALSE)="","",(VLOOKUP($AB354,変換表貼り付け用シート!$A$3:$AN$3000,17,FALSE)))</f>
        <v>#N/A</v>
      </c>
      <c r="AK354" s="88" t="e">
        <f>IF(VLOOKUP($AB354,変換表貼り付け用シート!$A$3:$AN$3000,18,FALSE)="","",(VLOOKUP($AB354,変換表貼り付け用シート!$A$3:$AN$3000,18,FALSE)))</f>
        <v>#N/A</v>
      </c>
      <c r="AL354" s="81" t="e">
        <f>IF(VLOOKUP($AB354,変換表貼り付け用シート!$A$3:$AN$3000,19,FALSE)="","",(VLOOKUP($AB354,変換表貼り付け用シート!$A$3:$AN$3000,19,FALSE)))</f>
        <v>#N/A</v>
      </c>
      <c r="AM354" s="75" t="e">
        <f>IF(VLOOKUP($AB354,変換表貼り付け用シート!$A$3:$AN$3000,20,FALSE)="","",(VLOOKUP($AB354,変換表貼り付け用シート!$A$3:$AN$3000,20,FALSE)))</f>
        <v>#N/A</v>
      </c>
    </row>
    <row r="355" spans="2:39" ht="21" customHeight="1" x14ac:dyDescent="0.35">
      <c r="B355" s="39"/>
      <c r="C355" s="117" t="s">
        <v>1059</v>
      </c>
      <c r="D355" s="96" t="s">
        <v>559</v>
      </c>
      <c r="E355" s="27" t="s">
        <v>44</v>
      </c>
      <c r="F355" s="37" t="s">
        <v>45</v>
      </c>
      <c r="G355" s="33" t="s">
        <v>206</v>
      </c>
      <c r="H355" s="27" t="s">
        <v>523</v>
      </c>
      <c r="I355" s="27" t="s">
        <v>206</v>
      </c>
      <c r="J355" s="37" t="s">
        <v>523</v>
      </c>
      <c r="K355" s="39" t="s">
        <v>96</v>
      </c>
      <c r="L355" s="28" t="s">
        <v>101</v>
      </c>
      <c r="M355" s="28" t="s">
        <v>48</v>
      </c>
      <c r="N355" s="41" t="s">
        <v>78</v>
      </c>
      <c r="O355" s="39">
        <v>0</v>
      </c>
      <c r="P355" s="28"/>
      <c r="Q355" s="28"/>
      <c r="R355" s="41"/>
      <c r="S355" s="39"/>
      <c r="T355" s="41"/>
      <c r="U355" s="39"/>
      <c r="V355" s="41"/>
      <c r="W355" s="43" t="s">
        <v>711</v>
      </c>
      <c r="X355" s="33"/>
      <c r="Y355" s="27"/>
      <c r="Z355" s="29"/>
      <c r="AB355" s="73" t="str">
        <f t="shared" si="10"/>
        <v>ブレーキRRイナーシャ－</v>
      </c>
      <c r="AC355" s="74" t="e">
        <f>VLOOKUP($AB355,変換表貼り付け用シート!$A$3:$AN$1133,3,FALSE)</f>
        <v>#N/A</v>
      </c>
      <c r="AD355" s="74" t="e">
        <f t="shared" si="11"/>
        <v>#N/A</v>
      </c>
      <c r="AE355" s="79" t="e">
        <f>IF(VLOOKUP($AB355,変換表貼り付け用シート!$A$3:$AN$3000,12,FALSE)="","",(VLOOKUP($AB355,変換表貼り付け用シート!$A$3:$AN$3000,12,FALSE)))</f>
        <v>#N/A</v>
      </c>
      <c r="AF355" s="80" t="e">
        <f>IF(VLOOKUP($AB355,変換表貼り付け用シート!$A$3:$AN$3000,13,FALSE)="","",(VLOOKUP($AB355,変換表貼り付け用シート!$A$3:$AN$3000,13,FALSE)))</f>
        <v>#N/A</v>
      </c>
      <c r="AG355" s="80" t="e">
        <f>IF(VLOOKUP($AB355,変換表貼り付け用シート!$A$3:$AN$3000,14,FALSE)="","",(VLOOKUP($AB355,変換表貼り付け用シート!$A$3:$AN$3000,14,FALSE)))</f>
        <v>#N/A</v>
      </c>
      <c r="AH355" s="85" t="e">
        <f>IF(VLOOKUP($AB355,変換表貼り付け用シート!$A$3:$AN$3000,15,FALSE)="","",(VLOOKUP($AB355,変換表貼り付け用シート!$A$3:$AN$3000,15,FALSE)))</f>
        <v>#N/A</v>
      </c>
      <c r="AI355" s="79" t="e">
        <f>IF(VLOOKUP($AB355,変換表貼り付け用シート!$A$3:$AN$3000,16,FALSE)="","",(VLOOKUP($AB355,変換表貼り付け用シート!$A$3:$AN$3000,16,FALSE)))</f>
        <v>#N/A</v>
      </c>
      <c r="AJ355" s="81" t="e">
        <f>IF(VLOOKUP($AB355,変換表貼り付け用シート!$A$3:$AN$3000,17,FALSE)="","",(VLOOKUP($AB355,変換表貼り付け用シート!$A$3:$AN$3000,17,FALSE)))</f>
        <v>#N/A</v>
      </c>
      <c r="AK355" s="88" t="e">
        <f>IF(VLOOKUP($AB355,変換表貼り付け用シート!$A$3:$AN$3000,18,FALSE)="","",(VLOOKUP($AB355,変換表貼り付け用シート!$A$3:$AN$3000,18,FALSE)))</f>
        <v>#N/A</v>
      </c>
      <c r="AL355" s="81" t="e">
        <f>IF(VLOOKUP($AB355,変換表貼り付け用シート!$A$3:$AN$3000,19,FALSE)="","",(VLOOKUP($AB355,変換表貼り付け用シート!$A$3:$AN$3000,19,FALSE)))</f>
        <v>#N/A</v>
      </c>
      <c r="AM355" s="75" t="e">
        <f>IF(VLOOKUP($AB355,変換表貼り付け用シート!$A$3:$AN$3000,20,FALSE)="","",(VLOOKUP($AB355,変換表貼り付け用シート!$A$3:$AN$3000,20,FALSE)))</f>
        <v>#N/A</v>
      </c>
    </row>
    <row r="356" spans="2:39" ht="21" customHeight="1" x14ac:dyDescent="0.35">
      <c r="B356" s="39"/>
      <c r="C356" s="117" t="s">
        <v>1060</v>
      </c>
      <c r="D356" s="96" t="s">
        <v>560</v>
      </c>
      <c r="E356" s="27" t="s">
        <v>44</v>
      </c>
      <c r="F356" s="37" t="s">
        <v>45</v>
      </c>
      <c r="G356" s="33" t="s">
        <v>206</v>
      </c>
      <c r="H356" s="27" t="s">
        <v>523</v>
      </c>
      <c r="I356" s="27" t="s">
        <v>206</v>
      </c>
      <c r="J356" s="37" t="s">
        <v>523</v>
      </c>
      <c r="K356" s="39" t="s">
        <v>102</v>
      </c>
      <c r="L356" s="28" t="s">
        <v>103</v>
      </c>
      <c r="M356" s="28" t="s">
        <v>48</v>
      </c>
      <c r="N356" s="41" t="s">
        <v>104</v>
      </c>
      <c r="O356" s="39" t="s">
        <v>57</v>
      </c>
      <c r="P356" s="28"/>
      <c r="Q356" s="28"/>
      <c r="R356" s="41"/>
      <c r="S356" s="39"/>
      <c r="T356" s="41"/>
      <c r="U356" s="39"/>
      <c r="V356" s="41"/>
      <c r="W356" s="43" t="s">
        <v>711</v>
      </c>
      <c r="X356" s="33"/>
      <c r="Y356" s="27"/>
      <c r="Z356" s="29"/>
      <c r="AB356" s="73" t="str">
        <f t="shared" si="10"/>
        <v>車両姿勢グランドクリアランスMin－</v>
      </c>
      <c r="AC356" s="74" t="e">
        <f>VLOOKUP($AB356,変換表貼り付け用シート!$A$3:$AN$1133,3,FALSE)</f>
        <v>#N/A</v>
      </c>
      <c r="AD356" s="74" t="e">
        <f t="shared" si="11"/>
        <v>#N/A</v>
      </c>
      <c r="AE356" s="79" t="e">
        <f>IF(VLOOKUP($AB356,変換表貼り付け用シート!$A$3:$AN$3000,12,FALSE)="","",(VLOOKUP($AB356,変換表貼り付け用シート!$A$3:$AN$3000,12,FALSE)))</f>
        <v>#N/A</v>
      </c>
      <c r="AF356" s="80" t="e">
        <f>IF(VLOOKUP($AB356,変換表貼り付け用シート!$A$3:$AN$3000,13,FALSE)="","",(VLOOKUP($AB356,変換表貼り付け用シート!$A$3:$AN$3000,13,FALSE)))</f>
        <v>#N/A</v>
      </c>
      <c r="AG356" s="80" t="e">
        <f>IF(VLOOKUP($AB356,変換表貼り付け用シート!$A$3:$AN$3000,14,FALSE)="","",(VLOOKUP($AB356,変換表貼り付け用シート!$A$3:$AN$3000,14,FALSE)))</f>
        <v>#N/A</v>
      </c>
      <c r="AH356" s="85" t="e">
        <f>IF(VLOOKUP($AB356,変換表貼り付け用シート!$A$3:$AN$3000,15,FALSE)="","",(VLOOKUP($AB356,変換表貼り付け用シート!$A$3:$AN$3000,15,FALSE)))</f>
        <v>#N/A</v>
      </c>
      <c r="AI356" s="79" t="e">
        <f>IF(VLOOKUP($AB356,変換表貼り付け用シート!$A$3:$AN$3000,16,FALSE)="","",(VLOOKUP($AB356,変換表貼り付け用シート!$A$3:$AN$3000,16,FALSE)))</f>
        <v>#N/A</v>
      </c>
      <c r="AJ356" s="81" t="e">
        <f>IF(VLOOKUP($AB356,変換表貼り付け用シート!$A$3:$AN$3000,17,FALSE)="","",(VLOOKUP($AB356,変換表貼り付け用シート!$A$3:$AN$3000,17,FALSE)))</f>
        <v>#N/A</v>
      </c>
      <c r="AK356" s="88" t="e">
        <f>IF(VLOOKUP($AB356,変換表貼り付け用シート!$A$3:$AN$3000,18,FALSE)="","",(VLOOKUP($AB356,変換表貼り付け用シート!$A$3:$AN$3000,18,FALSE)))</f>
        <v>#N/A</v>
      </c>
      <c r="AL356" s="81" t="e">
        <f>IF(VLOOKUP($AB356,変換表貼り付け用シート!$A$3:$AN$3000,19,FALSE)="","",(VLOOKUP($AB356,変換表貼り付け用シート!$A$3:$AN$3000,19,FALSE)))</f>
        <v>#N/A</v>
      </c>
      <c r="AM356" s="75" t="e">
        <f>IF(VLOOKUP($AB356,変換表貼り付け用シート!$A$3:$AN$3000,20,FALSE)="","",(VLOOKUP($AB356,変換表貼り付け用シート!$A$3:$AN$3000,20,FALSE)))</f>
        <v>#N/A</v>
      </c>
    </row>
    <row r="357" spans="2:39" ht="21" customHeight="1" x14ac:dyDescent="0.35">
      <c r="B357" s="39"/>
      <c r="C357" s="117" t="s">
        <v>1061</v>
      </c>
      <c r="D357" s="96" t="s">
        <v>561</v>
      </c>
      <c r="E357" s="27" t="s">
        <v>44</v>
      </c>
      <c r="F357" s="37" t="s">
        <v>45</v>
      </c>
      <c r="G357" s="33" t="s">
        <v>206</v>
      </c>
      <c r="H357" s="27" t="s">
        <v>523</v>
      </c>
      <c r="I357" s="27" t="s">
        <v>206</v>
      </c>
      <c r="J357" s="37" t="s">
        <v>523</v>
      </c>
      <c r="K357" s="39" t="s">
        <v>105</v>
      </c>
      <c r="L357" s="28" t="s">
        <v>106</v>
      </c>
      <c r="M357" s="28" t="s">
        <v>48</v>
      </c>
      <c r="N357" s="41" t="s">
        <v>49</v>
      </c>
      <c r="O357" s="39">
        <v>1237</v>
      </c>
      <c r="P357" s="28"/>
      <c r="Q357" s="28"/>
      <c r="R357" s="41"/>
      <c r="S357" s="39"/>
      <c r="T357" s="41"/>
      <c r="U357" s="39"/>
      <c r="V357" s="41"/>
      <c r="W357" s="43" t="s">
        <v>711</v>
      </c>
      <c r="X357" s="33"/>
      <c r="Y357" s="27"/>
      <c r="Z357" s="29"/>
      <c r="AB357" s="73" t="str">
        <f t="shared" si="10"/>
        <v>Test Weight航続距離試験(ETW)Total－</v>
      </c>
      <c r="AC357" s="74" t="e">
        <f>VLOOKUP($AB357,変換表貼り付け用シート!$A$3:$AN$1133,3,FALSE)</f>
        <v>#N/A</v>
      </c>
      <c r="AD357" s="74" t="e">
        <f t="shared" si="11"/>
        <v>#N/A</v>
      </c>
      <c r="AE357" s="79" t="e">
        <f>IF(VLOOKUP($AB357,変換表貼り付け用シート!$A$3:$AN$3000,12,FALSE)="","",(VLOOKUP($AB357,変換表貼り付け用シート!$A$3:$AN$3000,12,FALSE)))</f>
        <v>#N/A</v>
      </c>
      <c r="AF357" s="80" t="e">
        <f>IF(VLOOKUP($AB357,変換表貼り付け用シート!$A$3:$AN$3000,13,FALSE)="","",(VLOOKUP($AB357,変換表貼り付け用シート!$A$3:$AN$3000,13,FALSE)))</f>
        <v>#N/A</v>
      </c>
      <c r="AG357" s="80" t="e">
        <f>IF(VLOOKUP($AB357,変換表貼り付け用シート!$A$3:$AN$3000,14,FALSE)="","",(VLOOKUP($AB357,変換表貼り付け用シート!$A$3:$AN$3000,14,FALSE)))</f>
        <v>#N/A</v>
      </c>
      <c r="AH357" s="85" t="e">
        <f>IF(VLOOKUP($AB357,変換表貼り付け用シート!$A$3:$AN$3000,15,FALSE)="","",(VLOOKUP($AB357,変換表貼り付け用シート!$A$3:$AN$3000,15,FALSE)))</f>
        <v>#N/A</v>
      </c>
      <c r="AI357" s="79" t="e">
        <f>IF(VLOOKUP($AB357,変換表貼り付け用シート!$A$3:$AN$3000,16,FALSE)="","",(VLOOKUP($AB357,変換表貼り付け用シート!$A$3:$AN$3000,16,FALSE)))</f>
        <v>#N/A</v>
      </c>
      <c r="AJ357" s="81" t="e">
        <f>IF(VLOOKUP($AB357,変換表貼り付け用シート!$A$3:$AN$3000,17,FALSE)="","",(VLOOKUP($AB357,変換表貼り付け用シート!$A$3:$AN$3000,17,FALSE)))</f>
        <v>#N/A</v>
      </c>
      <c r="AK357" s="88" t="e">
        <f>IF(VLOOKUP($AB357,変換表貼り付け用シート!$A$3:$AN$3000,18,FALSE)="","",(VLOOKUP($AB357,変換表貼り付け用シート!$A$3:$AN$3000,18,FALSE)))</f>
        <v>#N/A</v>
      </c>
      <c r="AL357" s="81" t="e">
        <f>IF(VLOOKUP($AB357,変換表貼り付け用シート!$A$3:$AN$3000,19,FALSE)="","",(VLOOKUP($AB357,変換表貼り付け用シート!$A$3:$AN$3000,19,FALSE)))</f>
        <v>#N/A</v>
      </c>
      <c r="AM357" s="75" t="e">
        <f>IF(VLOOKUP($AB357,変換表貼り付け用シート!$A$3:$AN$3000,20,FALSE)="","",(VLOOKUP($AB357,変換表貼り付け用シート!$A$3:$AN$3000,20,FALSE)))</f>
        <v>#N/A</v>
      </c>
    </row>
    <row r="358" spans="2:39" ht="21" customHeight="1" x14ac:dyDescent="0.35">
      <c r="B358" s="39"/>
      <c r="C358" s="117" t="s">
        <v>1062</v>
      </c>
      <c r="D358" s="96" t="s">
        <v>562</v>
      </c>
      <c r="E358" s="27" t="s">
        <v>44</v>
      </c>
      <c r="F358" s="37" t="s">
        <v>45</v>
      </c>
      <c r="G358" s="33" t="s">
        <v>206</v>
      </c>
      <c r="H358" s="27" t="s">
        <v>523</v>
      </c>
      <c r="I358" s="27" t="s">
        <v>206</v>
      </c>
      <c r="J358" s="37" t="s">
        <v>523</v>
      </c>
      <c r="K358" s="39" t="s">
        <v>105</v>
      </c>
      <c r="L358" s="28" t="s">
        <v>107</v>
      </c>
      <c r="M358" s="28" t="s">
        <v>48</v>
      </c>
      <c r="N358" s="41" t="s">
        <v>49</v>
      </c>
      <c r="O358" s="39" t="s">
        <v>108</v>
      </c>
      <c r="P358" s="28"/>
      <c r="Q358" s="28"/>
      <c r="R358" s="41"/>
      <c r="S358" s="39"/>
      <c r="T358" s="41"/>
      <c r="U358" s="39"/>
      <c r="V358" s="41"/>
      <c r="W358" s="43" t="s">
        <v>711</v>
      </c>
      <c r="X358" s="33"/>
      <c r="Y358" s="27"/>
      <c r="Z358" s="29"/>
      <c r="AB358" s="73" t="str">
        <f t="shared" si="10"/>
        <v>Test Weight航続距離試験(ETW)FR－</v>
      </c>
      <c r="AC358" s="74" t="e">
        <f>VLOOKUP($AB358,変換表貼り付け用シート!$A$3:$AN$1133,3,FALSE)</f>
        <v>#N/A</v>
      </c>
      <c r="AD358" s="74" t="e">
        <f t="shared" si="11"/>
        <v>#N/A</v>
      </c>
      <c r="AE358" s="79" t="e">
        <f>IF(VLOOKUP($AB358,変換表貼り付け用シート!$A$3:$AN$3000,12,FALSE)="","",(VLOOKUP($AB358,変換表貼り付け用シート!$A$3:$AN$3000,12,FALSE)))</f>
        <v>#N/A</v>
      </c>
      <c r="AF358" s="80" t="e">
        <f>IF(VLOOKUP($AB358,変換表貼り付け用シート!$A$3:$AN$3000,13,FALSE)="","",(VLOOKUP($AB358,変換表貼り付け用シート!$A$3:$AN$3000,13,FALSE)))</f>
        <v>#N/A</v>
      </c>
      <c r="AG358" s="80" t="e">
        <f>IF(VLOOKUP($AB358,変換表貼り付け用シート!$A$3:$AN$3000,14,FALSE)="","",(VLOOKUP($AB358,変換表貼り付け用シート!$A$3:$AN$3000,14,FALSE)))</f>
        <v>#N/A</v>
      </c>
      <c r="AH358" s="85" t="e">
        <f>IF(VLOOKUP($AB358,変換表貼り付け用シート!$A$3:$AN$3000,15,FALSE)="","",(VLOOKUP($AB358,変換表貼り付け用シート!$A$3:$AN$3000,15,FALSE)))</f>
        <v>#N/A</v>
      </c>
      <c r="AI358" s="79" t="e">
        <f>IF(VLOOKUP($AB358,変換表貼り付け用シート!$A$3:$AN$3000,16,FALSE)="","",(VLOOKUP($AB358,変換表貼り付け用シート!$A$3:$AN$3000,16,FALSE)))</f>
        <v>#N/A</v>
      </c>
      <c r="AJ358" s="81" t="e">
        <f>IF(VLOOKUP($AB358,変換表貼り付け用シート!$A$3:$AN$3000,17,FALSE)="","",(VLOOKUP($AB358,変換表貼り付け用シート!$A$3:$AN$3000,17,FALSE)))</f>
        <v>#N/A</v>
      </c>
      <c r="AK358" s="88" t="e">
        <f>IF(VLOOKUP($AB358,変換表貼り付け用シート!$A$3:$AN$3000,18,FALSE)="","",(VLOOKUP($AB358,変換表貼り付け用シート!$A$3:$AN$3000,18,FALSE)))</f>
        <v>#N/A</v>
      </c>
      <c r="AL358" s="81" t="e">
        <f>IF(VLOOKUP($AB358,変換表貼り付け用シート!$A$3:$AN$3000,19,FALSE)="","",(VLOOKUP($AB358,変換表貼り付け用シート!$A$3:$AN$3000,19,FALSE)))</f>
        <v>#N/A</v>
      </c>
      <c r="AM358" s="75" t="e">
        <f>IF(VLOOKUP($AB358,変換表貼り付け用シート!$A$3:$AN$3000,20,FALSE)="","",(VLOOKUP($AB358,変換表貼り付け用シート!$A$3:$AN$3000,20,FALSE)))</f>
        <v>#N/A</v>
      </c>
    </row>
    <row r="359" spans="2:39" ht="21" customHeight="1" x14ac:dyDescent="0.35">
      <c r="B359" s="39"/>
      <c r="C359" s="117" t="s">
        <v>1063</v>
      </c>
      <c r="D359" s="96" t="s">
        <v>563</v>
      </c>
      <c r="E359" s="27" t="s">
        <v>44</v>
      </c>
      <c r="F359" s="37" t="s">
        <v>45</v>
      </c>
      <c r="G359" s="33" t="s">
        <v>206</v>
      </c>
      <c r="H359" s="27" t="s">
        <v>523</v>
      </c>
      <c r="I359" s="27" t="s">
        <v>206</v>
      </c>
      <c r="J359" s="37" t="s">
        <v>523</v>
      </c>
      <c r="K359" s="39" t="s">
        <v>105</v>
      </c>
      <c r="L359" s="28" t="s">
        <v>109</v>
      </c>
      <c r="M359" s="28" t="s">
        <v>48</v>
      </c>
      <c r="N359" s="41" t="s">
        <v>49</v>
      </c>
      <c r="O359" s="39" t="s">
        <v>108</v>
      </c>
      <c r="P359" s="28"/>
      <c r="Q359" s="28"/>
      <c r="R359" s="41"/>
      <c r="S359" s="39"/>
      <c r="T359" s="41"/>
      <c r="U359" s="39"/>
      <c r="V359" s="41"/>
      <c r="W359" s="43" t="s">
        <v>711</v>
      </c>
      <c r="X359" s="33"/>
      <c r="Y359" s="27"/>
      <c r="Z359" s="29"/>
      <c r="AB359" s="73" t="str">
        <f t="shared" si="10"/>
        <v>Test Weight航続距離試験(ETW)RR－</v>
      </c>
      <c r="AC359" s="74" t="e">
        <f>VLOOKUP($AB359,変換表貼り付け用シート!$A$3:$AN$1133,3,FALSE)</f>
        <v>#N/A</v>
      </c>
      <c r="AD359" s="74" t="e">
        <f t="shared" si="11"/>
        <v>#N/A</v>
      </c>
      <c r="AE359" s="79" t="e">
        <f>IF(VLOOKUP($AB359,変換表貼り付け用シート!$A$3:$AN$3000,12,FALSE)="","",(VLOOKUP($AB359,変換表貼り付け用シート!$A$3:$AN$3000,12,FALSE)))</f>
        <v>#N/A</v>
      </c>
      <c r="AF359" s="80" t="e">
        <f>IF(VLOOKUP($AB359,変換表貼り付け用シート!$A$3:$AN$3000,13,FALSE)="","",(VLOOKUP($AB359,変換表貼り付け用シート!$A$3:$AN$3000,13,FALSE)))</f>
        <v>#N/A</v>
      </c>
      <c r="AG359" s="80" t="e">
        <f>IF(VLOOKUP($AB359,変換表貼り付け用シート!$A$3:$AN$3000,14,FALSE)="","",(VLOOKUP($AB359,変換表貼り付け用シート!$A$3:$AN$3000,14,FALSE)))</f>
        <v>#N/A</v>
      </c>
      <c r="AH359" s="85" t="e">
        <f>IF(VLOOKUP($AB359,変換表貼り付け用シート!$A$3:$AN$3000,15,FALSE)="","",(VLOOKUP($AB359,変換表貼り付け用シート!$A$3:$AN$3000,15,FALSE)))</f>
        <v>#N/A</v>
      </c>
      <c r="AI359" s="79" t="e">
        <f>IF(VLOOKUP($AB359,変換表貼り付け用シート!$A$3:$AN$3000,16,FALSE)="","",(VLOOKUP($AB359,変換表貼り付け用シート!$A$3:$AN$3000,16,FALSE)))</f>
        <v>#N/A</v>
      </c>
      <c r="AJ359" s="81" t="e">
        <f>IF(VLOOKUP($AB359,変換表貼り付け用シート!$A$3:$AN$3000,17,FALSE)="","",(VLOOKUP($AB359,変換表貼り付け用シート!$A$3:$AN$3000,17,FALSE)))</f>
        <v>#N/A</v>
      </c>
      <c r="AK359" s="88" t="e">
        <f>IF(VLOOKUP($AB359,変換表貼り付け用シート!$A$3:$AN$3000,18,FALSE)="","",(VLOOKUP($AB359,変換表貼り付け用シート!$A$3:$AN$3000,18,FALSE)))</f>
        <v>#N/A</v>
      </c>
      <c r="AL359" s="81" t="e">
        <f>IF(VLOOKUP($AB359,変換表貼り付け用シート!$A$3:$AN$3000,19,FALSE)="","",(VLOOKUP($AB359,変換表貼り付け用シート!$A$3:$AN$3000,19,FALSE)))</f>
        <v>#N/A</v>
      </c>
      <c r="AM359" s="75" t="e">
        <f>IF(VLOOKUP($AB359,変換表貼り付け用シート!$A$3:$AN$3000,20,FALSE)="","",(VLOOKUP($AB359,変換表貼り付け用シート!$A$3:$AN$3000,20,FALSE)))</f>
        <v>#N/A</v>
      </c>
    </row>
    <row r="360" spans="2:39" ht="21" customHeight="1" x14ac:dyDescent="0.35">
      <c r="B360" s="39"/>
      <c r="C360" s="117" t="s">
        <v>1064</v>
      </c>
      <c r="D360" s="96" t="s">
        <v>564</v>
      </c>
      <c r="E360" s="27" t="s">
        <v>44</v>
      </c>
      <c r="F360" s="37" t="s">
        <v>45</v>
      </c>
      <c r="G360" s="33" t="s">
        <v>206</v>
      </c>
      <c r="H360" s="27" t="s">
        <v>523</v>
      </c>
      <c r="I360" s="27" t="s">
        <v>206</v>
      </c>
      <c r="J360" s="37" t="s">
        <v>523</v>
      </c>
      <c r="K360" s="39" t="s">
        <v>105</v>
      </c>
      <c r="L360" s="28" t="s">
        <v>110</v>
      </c>
      <c r="M360" s="28" t="s">
        <v>48</v>
      </c>
      <c r="N360" s="41" t="s">
        <v>49</v>
      </c>
      <c r="O360" s="39">
        <v>1322</v>
      </c>
      <c r="P360" s="28"/>
      <c r="Q360" s="28"/>
      <c r="R360" s="41"/>
      <c r="S360" s="39"/>
      <c r="T360" s="41"/>
      <c r="U360" s="39"/>
      <c r="V360" s="41"/>
      <c r="W360" s="43" t="s">
        <v>711</v>
      </c>
      <c r="X360" s="33"/>
      <c r="Y360" s="27"/>
      <c r="Z360" s="29"/>
      <c r="AB360" s="73" t="str">
        <f t="shared" si="10"/>
        <v>Test Weight動力当り前性能 －</v>
      </c>
      <c r="AC360" s="74" t="e">
        <f>VLOOKUP($AB360,変換表貼り付け用シート!$A$3:$AN$1133,3,FALSE)</f>
        <v>#N/A</v>
      </c>
      <c r="AD360" s="74" t="e">
        <f t="shared" si="11"/>
        <v>#N/A</v>
      </c>
      <c r="AE360" s="79" t="e">
        <f>IF(VLOOKUP($AB360,変換表貼り付け用シート!$A$3:$AN$3000,12,FALSE)="","",(VLOOKUP($AB360,変換表貼り付け用シート!$A$3:$AN$3000,12,FALSE)))</f>
        <v>#N/A</v>
      </c>
      <c r="AF360" s="80" t="e">
        <f>IF(VLOOKUP($AB360,変換表貼り付け用シート!$A$3:$AN$3000,13,FALSE)="","",(VLOOKUP($AB360,変換表貼り付け用シート!$A$3:$AN$3000,13,FALSE)))</f>
        <v>#N/A</v>
      </c>
      <c r="AG360" s="80" t="e">
        <f>IF(VLOOKUP($AB360,変換表貼り付け用シート!$A$3:$AN$3000,14,FALSE)="","",(VLOOKUP($AB360,変換表貼り付け用シート!$A$3:$AN$3000,14,FALSE)))</f>
        <v>#N/A</v>
      </c>
      <c r="AH360" s="85" t="e">
        <f>IF(VLOOKUP($AB360,変換表貼り付け用シート!$A$3:$AN$3000,15,FALSE)="","",(VLOOKUP($AB360,変換表貼り付け用シート!$A$3:$AN$3000,15,FALSE)))</f>
        <v>#N/A</v>
      </c>
      <c r="AI360" s="79" t="e">
        <f>IF(VLOOKUP($AB360,変換表貼り付け用シート!$A$3:$AN$3000,16,FALSE)="","",(VLOOKUP($AB360,変換表貼り付け用シート!$A$3:$AN$3000,16,FALSE)))</f>
        <v>#N/A</v>
      </c>
      <c r="AJ360" s="81" t="e">
        <f>IF(VLOOKUP($AB360,変換表貼り付け用シート!$A$3:$AN$3000,17,FALSE)="","",(VLOOKUP($AB360,変換表貼り付け用シート!$A$3:$AN$3000,17,FALSE)))</f>
        <v>#N/A</v>
      </c>
      <c r="AK360" s="88" t="e">
        <f>IF(VLOOKUP($AB360,変換表貼り付け用シート!$A$3:$AN$3000,18,FALSE)="","",(VLOOKUP($AB360,変換表貼り付け用シート!$A$3:$AN$3000,18,FALSE)))</f>
        <v>#N/A</v>
      </c>
      <c r="AL360" s="81" t="e">
        <f>IF(VLOOKUP($AB360,変換表貼り付け用シート!$A$3:$AN$3000,19,FALSE)="","",(VLOOKUP($AB360,変換表貼り付け用シート!$A$3:$AN$3000,19,FALSE)))</f>
        <v>#N/A</v>
      </c>
      <c r="AM360" s="75" t="e">
        <f>IF(VLOOKUP($AB360,変換表貼り付け用シート!$A$3:$AN$3000,20,FALSE)="","",(VLOOKUP($AB360,変換表貼り付け用シート!$A$3:$AN$3000,20,FALSE)))</f>
        <v>#N/A</v>
      </c>
    </row>
    <row r="361" spans="2:39" ht="21" customHeight="1" x14ac:dyDescent="0.35">
      <c r="B361" s="39"/>
      <c r="C361" s="117" t="s">
        <v>1065</v>
      </c>
      <c r="D361" s="96" t="s">
        <v>565</v>
      </c>
      <c r="E361" s="27" t="s">
        <v>44</v>
      </c>
      <c r="F361" s="37" t="s">
        <v>45</v>
      </c>
      <c r="G361" s="33" t="s">
        <v>206</v>
      </c>
      <c r="H361" s="27" t="s">
        <v>523</v>
      </c>
      <c r="I361" s="27" t="s">
        <v>206</v>
      </c>
      <c r="J361" s="37" t="s">
        <v>523</v>
      </c>
      <c r="K361" s="39" t="s">
        <v>105</v>
      </c>
      <c r="L361" s="28" t="s">
        <v>111</v>
      </c>
      <c r="M361" s="28" t="s">
        <v>48</v>
      </c>
      <c r="N361" s="41" t="s">
        <v>49</v>
      </c>
      <c r="O361" s="39">
        <v>1247</v>
      </c>
      <c r="P361" s="28"/>
      <c r="Q361" s="28"/>
      <c r="R361" s="41"/>
      <c r="S361" s="39"/>
      <c r="T361" s="41"/>
      <c r="U361" s="39"/>
      <c r="V361" s="41"/>
      <c r="W361" s="43" t="s">
        <v>711</v>
      </c>
      <c r="X361" s="33"/>
      <c r="Y361" s="27"/>
      <c r="Z361" s="29"/>
      <c r="AB361" s="73" t="str">
        <f t="shared" si="10"/>
        <v>Test Weight動力Accerelation－</v>
      </c>
      <c r="AC361" s="74" t="e">
        <f>VLOOKUP($AB361,変換表貼り付け用シート!$A$3:$AN$1133,3,FALSE)</f>
        <v>#N/A</v>
      </c>
      <c r="AD361" s="74" t="e">
        <f t="shared" si="11"/>
        <v>#N/A</v>
      </c>
      <c r="AE361" s="79" t="e">
        <f>IF(VLOOKUP($AB361,変換表貼り付け用シート!$A$3:$AN$3000,12,FALSE)="","",(VLOOKUP($AB361,変換表貼り付け用シート!$A$3:$AN$3000,12,FALSE)))</f>
        <v>#N/A</v>
      </c>
      <c r="AF361" s="80" t="e">
        <f>IF(VLOOKUP($AB361,変換表貼り付け用シート!$A$3:$AN$3000,13,FALSE)="","",(VLOOKUP($AB361,変換表貼り付け用シート!$A$3:$AN$3000,13,FALSE)))</f>
        <v>#N/A</v>
      </c>
      <c r="AG361" s="80" t="e">
        <f>IF(VLOOKUP($AB361,変換表貼り付け用シート!$A$3:$AN$3000,14,FALSE)="","",(VLOOKUP($AB361,変換表貼り付け用シート!$A$3:$AN$3000,14,FALSE)))</f>
        <v>#N/A</v>
      </c>
      <c r="AH361" s="85" t="e">
        <f>IF(VLOOKUP($AB361,変換表貼り付け用シート!$A$3:$AN$3000,15,FALSE)="","",(VLOOKUP($AB361,変換表貼り付け用シート!$A$3:$AN$3000,15,FALSE)))</f>
        <v>#N/A</v>
      </c>
      <c r="AI361" s="79" t="e">
        <f>IF(VLOOKUP($AB361,変換表貼り付け用シート!$A$3:$AN$3000,16,FALSE)="","",(VLOOKUP($AB361,変換表貼り付け用シート!$A$3:$AN$3000,16,FALSE)))</f>
        <v>#N/A</v>
      </c>
      <c r="AJ361" s="81" t="e">
        <f>IF(VLOOKUP($AB361,変換表貼り付け用シート!$A$3:$AN$3000,17,FALSE)="","",(VLOOKUP($AB361,変換表貼り付け用シート!$A$3:$AN$3000,17,FALSE)))</f>
        <v>#N/A</v>
      </c>
      <c r="AK361" s="88" t="e">
        <f>IF(VLOOKUP($AB361,変換表貼り付け用シート!$A$3:$AN$3000,18,FALSE)="","",(VLOOKUP($AB361,変換表貼り付け用シート!$A$3:$AN$3000,18,FALSE)))</f>
        <v>#N/A</v>
      </c>
      <c r="AL361" s="81" t="e">
        <f>IF(VLOOKUP($AB361,変換表貼り付け用シート!$A$3:$AN$3000,19,FALSE)="","",(VLOOKUP($AB361,変換表貼り付け用シート!$A$3:$AN$3000,19,FALSE)))</f>
        <v>#N/A</v>
      </c>
      <c r="AM361" s="75" t="e">
        <f>IF(VLOOKUP($AB361,変換表貼り付け用シート!$A$3:$AN$3000,20,FALSE)="","",(VLOOKUP($AB361,変換表貼り付け用シート!$A$3:$AN$3000,20,FALSE)))</f>
        <v>#N/A</v>
      </c>
    </row>
    <row r="362" spans="2:39" ht="21" customHeight="1" x14ac:dyDescent="0.35">
      <c r="B362" s="39"/>
      <c r="C362" s="117" t="s">
        <v>1066</v>
      </c>
      <c r="D362" s="96" t="s">
        <v>566</v>
      </c>
      <c r="E362" s="27" t="s">
        <v>44</v>
      </c>
      <c r="F362" s="37" t="s">
        <v>45</v>
      </c>
      <c r="G362" s="33" t="s">
        <v>206</v>
      </c>
      <c r="H362" s="27" t="s">
        <v>523</v>
      </c>
      <c r="I362" s="27" t="s">
        <v>206</v>
      </c>
      <c r="J362" s="37" t="s">
        <v>523</v>
      </c>
      <c r="K362" s="39" t="s">
        <v>105</v>
      </c>
      <c r="L362" s="28" t="s">
        <v>112</v>
      </c>
      <c r="M362" s="28" t="s">
        <v>48</v>
      </c>
      <c r="N362" s="41" t="s">
        <v>49</v>
      </c>
      <c r="O362" s="39">
        <v>1247</v>
      </c>
      <c r="P362" s="28"/>
      <c r="Q362" s="28"/>
      <c r="R362" s="41"/>
      <c r="S362" s="39"/>
      <c r="T362" s="41"/>
      <c r="U362" s="39"/>
      <c r="V362" s="41"/>
      <c r="W362" s="43" t="s">
        <v>711</v>
      </c>
      <c r="X362" s="33"/>
      <c r="Y362" s="27"/>
      <c r="Z362" s="29"/>
      <c r="AB362" s="73" t="str">
        <f t="shared" si="10"/>
        <v>Test Weight動力Vmax－</v>
      </c>
      <c r="AC362" s="74" t="e">
        <f>VLOOKUP($AB362,変換表貼り付け用シート!$A$3:$AN$1133,3,FALSE)</f>
        <v>#N/A</v>
      </c>
      <c r="AD362" s="74" t="e">
        <f t="shared" si="11"/>
        <v>#N/A</v>
      </c>
      <c r="AE362" s="79" t="e">
        <f>IF(VLOOKUP($AB362,変換表貼り付け用シート!$A$3:$AN$3000,12,FALSE)="","",(VLOOKUP($AB362,変換表貼り付け用シート!$A$3:$AN$3000,12,FALSE)))</f>
        <v>#N/A</v>
      </c>
      <c r="AF362" s="80" t="e">
        <f>IF(VLOOKUP($AB362,変換表貼り付け用シート!$A$3:$AN$3000,13,FALSE)="","",(VLOOKUP($AB362,変換表貼り付け用シート!$A$3:$AN$3000,13,FALSE)))</f>
        <v>#N/A</v>
      </c>
      <c r="AG362" s="80" t="e">
        <f>IF(VLOOKUP($AB362,変換表貼り付け用シート!$A$3:$AN$3000,14,FALSE)="","",(VLOOKUP($AB362,変換表貼り付け用シート!$A$3:$AN$3000,14,FALSE)))</f>
        <v>#N/A</v>
      </c>
      <c r="AH362" s="85" t="e">
        <f>IF(VLOOKUP($AB362,変換表貼り付け用シート!$A$3:$AN$3000,15,FALSE)="","",(VLOOKUP($AB362,変換表貼り付け用シート!$A$3:$AN$3000,15,FALSE)))</f>
        <v>#N/A</v>
      </c>
      <c r="AI362" s="79" t="e">
        <f>IF(VLOOKUP($AB362,変換表貼り付け用シート!$A$3:$AN$3000,16,FALSE)="","",(VLOOKUP($AB362,変換表貼り付け用シート!$A$3:$AN$3000,16,FALSE)))</f>
        <v>#N/A</v>
      </c>
      <c r="AJ362" s="81" t="e">
        <f>IF(VLOOKUP($AB362,変換表貼り付け用シート!$A$3:$AN$3000,17,FALSE)="","",(VLOOKUP($AB362,変換表貼り付け用シート!$A$3:$AN$3000,17,FALSE)))</f>
        <v>#N/A</v>
      </c>
      <c r="AK362" s="88" t="e">
        <f>IF(VLOOKUP($AB362,変換表貼り付け用シート!$A$3:$AN$3000,18,FALSE)="","",(VLOOKUP($AB362,変換表貼り付け用シート!$A$3:$AN$3000,18,FALSE)))</f>
        <v>#N/A</v>
      </c>
      <c r="AL362" s="81" t="e">
        <f>IF(VLOOKUP($AB362,変換表貼り付け用シート!$A$3:$AN$3000,19,FALSE)="","",(VLOOKUP($AB362,変換表貼り付け用シート!$A$3:$AN$3000,19,FALSE)))</f>
        <v>#N/A</v>
      </c>
      <c r="AM362" s="75" t="e">
        <f>IF(VLOOKUP($AB362,変換表貼り付け用シート!$A$3:$AN$3000,20,FALSE)="","",(VLOOKUP($AB362,変換表貼り付け用シート!$A$3:$AN$3000,20,FALSE)))</f>
        <v>#N/A</v>
      </c>
    </row>
    <row r="363" spans="2:39" ht="21" customHeight="1" x14ac:dyDescent="0.35">
      <c r="B363" s="39"/>
      <c r="C363" s="117" t="s">
        <v>1067</v>
      </c>
      <c r="D363" s="96" t="s">
        <v>567</v>
      </c>
      <c r="E363" s="27" t="s">
        <v>44</v>
      </c>
      <c r="F363" s="37" t="s">
        <v>45</v>
      </c>
      <c r="G363" s="33" t="s">
        <v>206</v>
      </c>
      <c r="H363" s="27" t="s">
        <v>523</v>
      </c>
      <c r="I363" s="27" t="s">
        <v>206</v>
      </c>
      <c r="J363" s="37" t="s">
        <v>523</v>
      </c>
      <c r="K363" s="39" t="s">
        <v>105</v>
      </c>
      <c r="L363" s="28" t="s">
        <v>113</v>
      </c>
      <c r="M363" s="28" t="s">
        <v>48</v>
      </c>
      <c r="N363" s="41" t="s">
        <v>49</v>
      </c>
      <c r="O363" s="39">
        <v>1380</v>
      </c>
      <c r="P363" s="28"/>
      <c r="Q363" s="28"/>
      <c r="R363" s="41"/>
      <c r="S363" s="39"/>
      <c r="T363" s="41"/>
      <c r="U363" s="39"/>
      <c r="V363" s="41"/>
      <c r="W363" s="43" t="s">
        <v>711</v>
      </c>
      <c r="X363" s="33"/>
      <c r="Y363" s="27"/>
      <c r="Z363" s="29"/>
      <c r="AB363" s="73" t="str">
        <f t="shared" si="10"/>
        <v>Test Weight熱NEMシビアシーン－</v>
      </c>
      <c r="AC363" s="74" t="e">
        <f>VLOOKUP($AB363,変換表貼り付け用シート!$A$3:$AN$1133,3,FALSE)</f>
        <v>#N/A</v>
      </c>
      <c r="AD363" s="74" t="e">
        <f t="shared" si="11"/>
        <v>#N/A</v>
      </c>
      <c r="AE363" s="79" t="e">
        <f>IF(VLOOKUP($AB363,変換表貼り付け用シート!$A$3:$AN$3000,12,FALSE)="","",(VLOOKUP($AB363,変換表貼り付け用シート!$A$3:$AN$3000,12,FALSE)))</f>
        <v>#N/A</v>
      </c>
      <c r="AF363" s="80" t="e">
        <f>IF(VLOOKUP($AB363,変換表貼り付け用シート!$A$3:$AN$3000,13,FALSE)="","",(VLOOKUP($AB363,変換表貼り付け用シート!$A$3:$AN$3000,13,FALSE)))</f>
        <v>#N/A</v>
      </c>
      <c r="AG363" s="80" t="e">
        <f>IF(VLOOKUP($AB363,変換表貼り付け用シート!$A$3:$AN$3000,14,FALSE)="","",(VLOOKUP($AB363,変換表貼り付け用シート!$A$3:$AN$3000,14,FALSE)))</f>
        <v>#N/A</v>
      </c>
      <c r="AH363" s="85" t="e">
        <f>IF(VLOOKUP($AB363,変換表貼り付け用シート!$A$3:$AN$3000,15,FALSE)="","",(VLOOKUP($AB363,変換表貼り付け用シート!$A$3:$AN$3000,15,FALSE)))</f>
        <v>#N/A</v>
      </c>
      <c r="AI363" s="79" t="e">
        <f>IF(VLOOKUP($AB363,変換表貼り付け用シート!$A$3:$AN$3000,16,FALSE)="","",(VLOOKUP($AB363,変換表貼り付け用シート!$A$3:$AN$3000,16,FALSE)))</f>
        <v>#N/A</v>
      </c>
      <c r="AJ363" s="81" t="e">
        <f>IF(VLOOKUP($AB363,変換表貼り付け用シート!$A$3:$AN$3000,17,FALSE)="","",(VLOOKUP($AB363,変換表貼り付け用シート!$A$3:$AN$3000,17,FALSE)))</f>
        <v>#N/A</v>
      </c>
      <c r="AK363" s="88" t="e">
        <f>IF(VLOOKUP($AB363,変換表貼り付け用シート!$A$3:$AN$3000,18,FALSE)="","",(VLOOKUP($AB363,変換表貼り付け用シート!$A$3:$AN$3000,18,FALSE)))</f>
        <v>#N/A</v>
      </c>
      <c r="AL363" s="81" t="e">
        <f>IF(VLOOKUP($AB363,変換表貼り付け用シート!$A$3:$AN$3000,19,FALSE)="","",(VLOOKUP($AB363,変換表貼り付け用シート!$A$3:$AN$3000,19,FALSE)))</f>
        <v>#N/A</v>
      </c>
      <c r="AM363" s="75" t="e">
        <f>IF(VLOOKUP($AB363,変換表貼り付け用シート!$A$3:$AN$3000,20,FALSE)="","",(VLOOKUP($AB363,変換表貼り付け用シート!$A$3:$AN$3000,20,FALSE)))</f>
        <v>#N/A</v>
      </c>
    </row>
    <row r="364" spans="2:39" ht="21" customHeight="1" x14ac:dyDescent="0.35">
      <c r="B364" s="39"/>
      <c r="C364" s="117" t="s">
        <v>1068</v>
      </c>
      <c r="D364" s="96" t="s">
        <v>568</v>
      </c>
      <c r="E364" s="27" t="s">
        <v>44</v>
      </c>
      <c r="F364" s="37" t="s">
        <v>45</v>
      </c>
      <c r="G364" s="33" t="s">
        <v>206</v>
      </c>
      <c r="H364" s="27" t="s">
        <v>523</v>
      </c>
      <c r="I364" s="27" t="s">
        <v>206</v>
      </c>
      <c r="J364" s="37" t="s">
        <v>523</v>
      </c>
      <c r="K364" s="39" t="s">
        <v>105</v>
      </c>
      <c r="L364" s="28" t="s">
        <v>114</v>
      </c>
      <c r="M364" s="28" t="s">
        <v>48</v>
      </c>
      <c r="N364" s="41" t="s">
        <v>49</v>
      </c>
      <c r="O364" s="39">
        <v>1380</v>
      </c>
      <c r="P364" s="28"/>
      <c r="Q364" s="28"/>
      <c r="R364" s="41"/>
      <c r="S364" s="39"/>
      <c r="T364" s="41"/>
      <c r="U364" s="39"/>
      <c r="V364" s="41"/>
      <c r="W364" s="43" t="s">
        <v>711</v>
      </c>
      <c r="X364" s="33"/>
      <c r="Y364" s="27"/>
      <c r="Z364" s="29"/>
      <c r="AB364" s="73" t="str">
        <f t="shared" si="10"/>
        <v>Test Weight熱加減速繰り返し走行－</v>
      </c>
      <c r="AC364" s="74" t="e">
        <f>VLOOKUP($AB364,変換表貼り付け用シート!$A$3:$AN$1133,3,FALSE)</f>
        <v>#N/A</v>
      </c>
      <c r="AD364" s="74" t="e">
        <f t="shared" si="11"/>
        <v>#N/A</v>
      </c>
      <c r="AE364" s="79" t="e">
        <f>IF(VLOOKUP($AB364,変換表貼り付け用シート!$A$3:$AN$3000,12,FALSE)="","",(VLOOKUP($AB364,変換表貼り付け用シート!$A$3:$AN$3000,12,FALSE)))</f>
        <v>#N/A</v>
      </c>
      <c r="AF364" s="80" t="e">
        <f>IF(VLOOKUP($AB364,変換表貼り付け用シート!$A$3:$AN$3000,13,FALSE)="","",(VLOOKUP($AB364,変換表貼り付け用シート!$A$3:$AN$3000,13,FALSE)))</f>
        <v>#N/A</v>
      </c>
      <c r="AG364" s="80" t="e">
        <f>IF(VLOOKUP($AB364,変換表貼り付け用シート!$A$3:$AN$3000,14,FALSE)="","",(VLOOKUP($AB364,変換表貼り付け用シート!$A$3:$AN$3000,14,FALSE)))</f>
        <v>#N/A</v>
      </c>
      <c r="AH364" s="85" t="e">
        <f>IF(VLOOKUP($AB364,変換表貼り付け用シート!$A$3:$AN$3000,15,FALSE)="","",(VLOOKUP($AB364,変換表貼り付け用シート!$A$3:$AN$3000,15,FALSE)))</f>
        <v>#N/A</v>
      </c>
      <c r="AI364" s="79" t="e">
        <f>IF(VLOOKUP($AB364,変換表貼り付け用シート!$A$3:$AN$3000,16,FALSE)="","",(VLOOKUP($AB364,変換表貼り付け用シート!$A$3:$AN$3000,16,FALSE)))</f>
        <v>#N/A</v>
      </c>
      <c r="AJ364" s="81" t="e">
        <f>IF(VLOOKUP($AB364,変換表貼り付け用シート!$A$3:$AN$3000,17,FALSE)="","",(VLOOKUP($AB364,変換表貼り付け用シート!$A$3:$AN$3000,17,FALSE)))</f>
        <v>#N/A</v>
      </c>
      <c r="AK364" s="88" t="e">
        <f>IF(VLOOKUP($AB364,変換表貼り付け用シート!$A$3:$AN$3000,18,FALSE)="","",(VLOOKUP($AB364,変換表貼り付け用シート!$A$3:$AN$3000,18,FALSE)))</f>
        <v>#N/A</v>
      </c>
      <c r="AL364" s="81" t="e">
        <f>IF(VLOOKUP($AB364,変換表貼り付け用シート!$A$3:$AN$3000,19,FALSE)="","",(VLOOKUP($AB364,変換表貼り付け用シート!$A$3:$AN$3000,19,FALSE)))</f>
        <v>#N/A</v>
      </c>
      <c r="AM364" s="75" t="e">
        <f>IF(VLOOKUP($AB364,変換表貼り付け用シート!$A$3:$AN$3000,20,FALSE)="","",(VLOOKUP($AB364,変換表貼り付け用シート!$A$3:$AN$3000,20,FALSE)))</f>
        <v>#N/A</v>
      </c>
    </row>
    <row r="365" spans="2:39" ht="21" customHeight="1" x14ac:dyDescent="0.35">
      <c r="B365" s="39"/>
      <c r="C365" s="117" t="s">
        <v>1069</v>
      </c>
      <c r="D365" s="96" t="s">
        <v>569</v>
      </c>
      <c r="E365" s="27" t="s">
        <v>44</v>
      </c>
      <c r="F365" s="37" t="s">
        <v>45</v>
      </c>
      <c r="G365" s="33" t="s">
        <v>206</v>
      </c>
      <c r="H365" s="27" t="s">
        <v>523</v>
      </c>
      <c r="I365" s="27" t="s">
        <v>206</v>
      </c>
      <c r="J365" s="37" t="s">
        <v>523</v>
      </c>
      <c r="K365" s="39" t="s">
        <v>105</v>
      </c>
      <c r="L365" s="28" t="s">
        <v>115</v>
      </c>
      <c r="M365" s="28" t="s">
        <v>48</v>
      </c>
      <c r="N365" s="41" t="s">
        <v>49</v>
      </c>
      <c r="O365" s="39" t="s">
        <v>116</v>
      </c>
      <c r="P365" s="28"/>
      <c r="Q365" s="28"/>
      <c r="R365" s="41"/>
      <c r="S365" s="39"/>
      <c r="T365" s="41"/>
      <c r="U365" s="39"/>
      <c r="V365" s="41"/>
      <c r="W365" s="43" t="s">
        <v>711</v>
      </c>
      <c r="X365" s="33"/>
      <c r="Y365" s="27"/>
      <c r="Z365" s="29"/>
      <c r="AB365" s="73" t="str">
        <f t="shared" si="10"/>
        <v>Test Weight熱Towing－</v>
      </c>
      <c r="AC365" s="74" t="e">
        <f>VLOOKUP($AB365,変換表貼り付け用シート!$A$3:$AN$1133,3,FALSE)</f>
        <v>#N/A</v>
      </c>
      <c r="AD365" s="74" t="e">
        <f t="shared" si="11"/>
        <v>#N/A</v>
      </c>
      <c r="AE365" s="79" t="e">
        <f>IF(VLOOKUP($AB365,変換表貼り付け用シート!$A$3:$AN$3000,12,FALSE)="","",(VLOOKUP($AB365,変換表貼り付け用シート!$A$3:$AN$3000,12,FALSE)))</f>
        <v>#N/A</v>
      </c>
      <c r="AF365" s="80" t="e">
        <f>IF(VLOOKUP($AB365,変換表貼り付け用シート!$A$3:$AN$3000,13,FALSE)="","",(VLOOKUP($AB365,変換表貼り付け用シート!$A$3:$AN$3000,13,FALSE)))</f>
        <v>#N/A</v>
      </c>
      <c r="AG365" s="80" t="e">
        <f>IF(VLOOKUP($AB365,変換表貼り付け用シート!$A$3:$AN$3000,14,FALSE)="","",(VLOOKUP($AB365,変換表貼り付け用シート!$A$3:$AN$3000,14,FALSE)))</f>
        <v>#N/A</v>
      </c>
      <c r="AH365" s="85" t="e">
        <f>IF(VLOOKUP($AB365,変換表貼り付け用シート!$A$3:$AN$3000,15,FALSE)="","",(VLOOKUP($AB365,変換表貼り付け用シート!$A$3:$AN$3000,15,FALSE)))</f>
        <v>#N/A</v>
      </c>
      <c r="AI365" s="79" t="e">
        <f>IF(VLOOKUP($AB365,変換表貼り付け用シート!$A$3:$AN$3000,16,FALSE)="","",(VLOOKUP($AB365,変換表貼り付け用シート!$A$3:$AN$3000,16,FALSE)))</f>
        <v>#N/A</v>
      </c>
      <c r="AJ365" s="81" t="e">
        <f>IF(VLOOKUP($AB365,変換表貼り付け用シート!$A$3:$AN$3000,17,FALSE)="","",(VLOOKUP($AB365,変換表貼り付け用シート!$A$3:$AN$3000,17,FALSE)))</f>
        <v>#N/A</v>
      </c>
      <c r="AK365" s="88" t="e">
        <f>IF(VLOOKUP($AB365,変換表貼り付け用シート!$A$3:$AN$3000,18,FALSE)="","",(VLOOKUP($AB365,変換表貼り付け用シート!$A$3:$AN$3000,18,FALSE)))</f>
        <v>#N/A</v>
      </c>
      <c r="AL365" s="81" t="e">
        <f>IF(VLOOKUP($AB365,変換表貼り付け用シート!$A$3:$AN$3000,19,FALSE)="","",(VLOOKUP($AB365,変換表貼り付け用シート!$A$3:$AN$3000,19,FALSE)))</f>
        <v>#N/A</v>
      </c>
      <c r="AM365" s="75" t="e">
        <f>IF(VLOOKUP($AB365,変換表貼り付け用シート!$A$3:$AN$3000,20,FALSE)="","",(VLOOKUP($AB365,変換表貼り付け用シート!$A$3:$AN$3000,20,FALSE)))</f>
        <v>#N/A</v>
      </c>
    </row>
    <row r="366" spans="2:39" ht="21" customHeight="1" x14ac:dyDescent="0.35">
      <c r="B366" s="39"/>
      <c r="C366" s="117" t="s">
        <v>1070</v>
      </c>
      <c r="D366" s="96" t="s">
        <v>570</v>
      </c>
      <c r="E366" s="27" t="s">
        <v>44</v>
      </c>
      <c r="F366" s="37" t="s">
        <v>45</v>
      </c>
      <c r="G366" s="33" t="s">
        <v>206</v>
      </c>
      <c r="H366" s="27" t="s">
        <v>523</v>
      </c>
      <c r="I366" s="27" t="s">
        <v>206</v>
      </c>
      <c r="J366" s="37" t="s">
        <v>523</v>
      </c>
      <c r="K366" s="39" t="s">
        <v>105</v>
      </c>
      <c r="L366" s="28" t="s">
        <v>117</v>
      </c>
      <c r="M366" s="28" t="s">
        <v>48</v>
      </c>
      <c r="N366" s="41" t="s">
        <v>49</v>
      </c>
      <c r="O366" s="39">
        <v>1380</v>
      </c>
      <c r="P366" s="28"/>
      <c r="Q366" s="28"/>
      <c r="R366" s="41"/>
      <c r="S366" s="39"/>
      <c r="T366" s="41"/>
      <c r="U366" s="39"/>
      <c r="V366" s="41"/>
      <c r="W366" s="43" t="s">
        <v>711</v>
      </c>
      <c r="X366" s="33"/>
      <c r="Y366" s="27"/>
      <c r="Z366" s="29"/>
      <c r="AB366" s="73" t="str">
        <f t="shared" si="10"/>
        <v>Test Weight熱低温性能－</v>
      </c>
      <c r="AC366" s="74" t="e">
        <f>VLOOKUP($AB366,変換表貼り付け用シート!$A$3:$AN$1133,3,FALSE)</f>
        <v>#N/A</v>
      </c>
      <c r="AD366" s="74" t="e">
        <f t="shared" si="11"/>
        <v>#N/A</v>
      </c>
      <c r="AE366" s="79" t="e">
        <f>IF(VLOOKUP($AB366,変換表貼り付け用シート!$A$3:$AN$3000,12,FALSE)="","",(VLOOKUP($AB366,変換表貼り付け用シート!$A$3:$AN$3000,12,FALSE)))</f>
        <v>#N/A</v>
      </c>
      <c r="AF366" s="80" t="e">
        <f>IF(VLOOKUP($AB366,変換表貼り付け用シート!$A$3:$AN$3000,13,FALSE)="","",(VLOOKUP($AB366,変換表貼り付け用シート!$A$3:$AN$3000,13,FALSE)))</f>
        <v>#N/A</v>
      </c>
      <c r="AG366" s="80" t="e">
        <f>IF(VLOOKUP($AB366,変換表貼り付け用シート!$A$3:$AN$3000,14,FALSE)="","",(VLOOKUP($AB366,変換表貼り付け用シート!$A$3:$AN$3000,14,FALSE)))</f>
        <v>#N/A</v>
      </c>
      <c r="AH366" s="85" t="e">
        <f>IF(VLOOKUP($AB366,変換表貼り付け用シート!$A$3:$AN$3000,15,FALSE)="","",(VLOOKUP($AB366,変換表貼り付け用シート!$A$3:$AN$3000,15,FALSE)))</f>
        <v>#N/A</v>
      </c>
      <c r="AI366" s="79" t="e">
        <f>IF(VLOOKUP($AB366,変換表貼り付け用シート!$A$3:$AN$3000,16,FALSE)="","",(VLOOKUP($AB366,変換表貼り付け用シート!$A$3:$AN$3000,16,FALSE)))</f>
        <v>#N/A</v>
      </c>
      <c r="AJ366" s="81" t="e">
        <f>IF(VLOOKUP($AB366,変換表貼り付け用シート!$A$3:$AN$3000,17,FALSE)="","",(VLOOKUP($AB366,変換表貼り付け用シート!$A$3:$AN$3000,17,FALSE)))</f>
        <v>#N/A</v>
      </c>
      <c r="AK366" s="88" t="e">
        <f>IF(VLOOKUP($AB366,変換表貼り付け用シート!$A$3:$AN$3000,18,FALSE)="","",(VLOOKUP($AB366,変換表貼り付け用シート!$A$3:$AN$3000,18,FALSE)))</f>
        <v>#N/A</v>
      </c>
      <c r="AL366" s="81" t="e">
        <f>IF(VLOOKUP($AB366,変換表貼り付け用シート!$A$3:$AN$3000,19,FALSE)="","",(VLOOKUP($AB366,変換表貼り付け用シート!$A$3:$AN$3000,19,FALSE)))</f>
        <v>#N/A</v>
      </c>
      <c r="AM366" s="75" t="e">
        <f>IF(VLOOKUP($AB366,変換表貼り付け用シート!$A$3:$AN$3000,20,FALSE)="","",(VLOOKUP($AB366,変換表貼り付け用シート!$A$3:$AN$3000,20,FALSE)))</f>
        <v>#N/A</v>
      </c>
    </row>
    <row r="367" spans="2:39" ht="21" customHeight="1" thickBot="1" x14ac:dyDescent="0.4">
      <c r="B367" s="39"/>
      <c r="C367" s="117" t="s">
        <v>1071</v>
      </c>
      <c r="D367" s="96" t="s">
        <v>571</v>
      </c>
      <c r="E367" s="27" t="s">
        <v>44</v>
      </c>
      <c r="F367" s="37" t="s">
        <v>45</v>
      </c>
      <c r="G367" s="33" t="s">
        <v>206</v>
      </c>
      <c r="H367" s="27" t="s">
        <v>523</v>
      </c>
      <c r="I367" s="27" t="s">
        <v>206</v>
      </c>
      <c r="J367" s="37" t="s">
        <v>523</v>
      </c>
      <c r="K367" s="39" t="s">
        <v>118</v>
      </c>
      <c r="L367" s="28" t="s">
        <v>119</v>
      </c>
      <c r="M367" s="28" t="s">
        <v>48</v>
      </c>
      <c r="N367" s="41" t="s">
        <v>120</v>
      </c>
      <c r="O367" s="39">
        <v>83.536000000000001</v>
      </c>
      <c r="P367" s="28"/>
      <c r="Q367" s="28"/>
      <c r="R367" s="41"/>
      <c r="S367" s="39"/>
      <c r="T367" s="41"/>
      <c r="U367" s="39"/>
      <c r="V367" s="41"/>
      <c r="W367" s="43" t="s">
        <v>711</v>
      </c>
      <c r="X367" s="33"/>
      <c r="Y367" s="27"/>
      <c r="Z367" s="29"/>
      <c r="AB367" s="76" t="str">
        <f t="shared" si="10"/>
        <v>走行抵抗届出(Target Lset式) A0－</v>
      </c>
      <c r="AC367" s="77" t="e">
        <f>VLOOKUP($AB367,変換表貼り付け用シート!$A$3:$AN$1133,3,FALSE)</f>
        <v>#N/A</v>
      </c>
      <c r="AD367" s="77" t="e">
        <f t="shared" si="11"/>
        <v>#N/A</v>
      </c>
      <c r="AE367" s="82" t="e">
        <f>IF(VLOOKUP($AB367,変換表貼り付け用シート!$A$3:$AN$3000,12,FALSE)="","",(VLOOKUP($AB367,変換表貼り付け用シート!$A$3:$AN$3000,12,FALSE)))</f>
        <v>#N/A</v>
      </c>
      <c r="AF367" s="83" t="e">
        <f>IF(VLOOKUP($AB367,変換表貼り付け用シート!$A$3:$AN$3000,13,FALSE)="","",(VLOOKUP($AB367,変換表貼り付け用シート!$A$3:$AN$3000,13,FALSE)))</f>
        <v>#N/A</v>
      </c>
      <c r="AG367" s="83" t="e">
        <f>IF(VLOOKUP($AB367,変換表貼り付け用シート!$A$3:$AN$3000,14,FALSE)="","",(VLOOKUP($AB367,変換表貼り付け用シート!$A$3:$AN$3000,14,FALSE)))</f>
        <v>#N/A</v>
      </c>
      <c r="AH367" s="86" t="e">
        <f>IF(VLOOKUP($AB367,変換表貼り付け用シート!$A$3:$AN$3000,15,FALSE)="","",(VLOOKUP($AB367,変換表貼り付け用シート!$A$3:$AN$3000,15,FALSE)))</f>
        <v>#N/A</v>
      </c>
      <c r="AI367" s="82" t="e">
        <f>IF(VLOOKUP($AB367,変換表貼り付け用シート!$A$3:$AN$3000,16,FALSE)="","",(VLOOKUP($AB367,変換表貼り付け用シート!$A$3:$AN$3000,16,FALSE)))</f>
        <v>#N/A</v>
      </c>
      <c r="AJ367" s="84" t="e">
        <f>IF(VLOOKUP($AB367,変換表貼り付け用シート!$A$3:$AN$3000,17,FALSE)="","",(VLOOKUP($AB367,変換表貼り付け用シート!$A$3:$AN$3000,17,FALSE)))</f>
        <v>#N/A</v>
      </c>
      <c r="AK367" s="89" t="e">
        <f>IF(VLOOKUP($AB367,変換表貼り付け用シート!$A$3:$AN$3000,18,FALSE)="","",(VLOOKUP($AB367,変換表貼り付け用シート!$A$3:$AN$3000,18,FALSE)))</f>
        <v>#N/A</v>
      </c>
      <c r="AL367" s="84" t="e">
        <f>IF(VLOOKUP($AB367,変換表貼り付け用シート!$A$3:$AN$3000,19,FALSE)="","",(VLOOKUP($AB367,変換表貼り付け用シート!$A$3:$AN$3000,19,FALSE)))</f>
        <v>#N/A</v>
      </c>
      <c r="AM367" s="78" t="e">
        <f>IF(VLOOKUP($AB367,変換表貼り付け用シート!$A$3:$AN$3000,20,FALSE)="","",(VLOOKUP($AB367,変換表貼り付け用シート!$A$3:$AN$3000,20,FALSE)))</f>
        <v>#N/A</v>
      </c>
    </row>
    <row r="368" spans="2:39" ht="21" customHeight="1" x14ac:dyDescent="0.35">
      <c r="B368" s="39"/>
      <c r="C368" s="117" t="s">
        <v>1072</v>
      </c>
      <c r="D368" s="96" t="s">
        <v>572</v>
      </c>
      <c r="E368" s="27" t="s">
        <v>44</v>
      </c>
      <c r="F368" s="37" t="s">
        <v>45</v>
      </c>
      <c r="G368" s="33" t="s">
        <v>206</v>
      </c>
      <c r="H368" s="27" t="s">
        <v>523</v>
      </c>
      <c r="I368" s="27" t="s">
        <v>206</v>
      </c>
      <c r="J368" s="37" t="s">
        <v>523</v>
      </c>
      <c r="K368" s="39" t="s">
        <v>118</v>
      </c>
      <c r="L368" s="28" t="s">
        <v>121</v>
      </c>
      <c r="M368" s="28" t="s">
        <v>48</v>
      </c>
      <c r="N368" s="41" t="s">
        <v>122</v>
      </c>
      <c r="O368" s="39">
        <v>-0.13070000000000001</v>
      </c>
      <c r="P368" s="28"/>
      <c r="Q368" s="28"/>
      <c r="R368" s="41"/>
      <c r="S368" s="39"/>
      <c r="T368" s="41"/>
      <c r="U368" s="39"/>
      <c r="V368" s="41"/>
      <c r="W368" s="43" t="s">
        <v>711</v>
      </c>
      <c r="X368" s="33"/>
      <c r="Y368" s="27"/>
      <c r="Z368" s="29"/>
    </row>
    <row r="369" spans="2:26" ht="21" customHeight="1" x14ac:dyDescent="0.35">
      <c r="B369" s="39"/>
      <c r="C369" s="117" t="s">
        <v>1073</v>
      </c>
      <c r="D369" s="96" t="s">
        <v>573</v>
      </c>
      <c r="E369" s="27" t="s">
        <v>44</v>
      </c>
      <c r="F369" s="37" t="s">
        <v>45</v>
      </c>
      <c r="G369" s="33" t="s">
        <v>206</v>
      </c>
      <c r="H369" s="27" t="s">
        <v>523</v>
      </c>
      <c r="I369" s="27" t="s">
        <v>206</v>
      </c>
      <c r="J369" s="37" t="s">
        <v>523</v>
      </c>
      <c r="K369" s="39" t="s">
        <v>118</v>
      </c>
      <c r="L369" s="28" t="s">
        <v>123</v>
      </c>
      <c r="M369" s="28" t="s">
        <v>48</v>
      </c>
      <c r="N369" s="41" t="s">
        <v>124</v>
      </c>
      <c r="O369" s="39">
        <v>4.3650000000000001E-2</v>
      </c>
      <c r="P369" s="28"/>
      <c r="Q369" s="28"/>
      <c r="R369" s="41"/>
      <c r="S369" s="39"/>
      <c r="T369" s="41"/>
      <c r="U369" s="39"/>
      <c r="V369" s="41"/>
      <c r="W369" s="43" t="s">
        <v>711</v>
      </c>
      <c r="X369" s="33"/>
      <c r="Y369" s="27"/>
      <c r="Z369" s="29"/>
    </row>
    <row r="370" spans="2:26" ht="21" customHeight="1" x14ac:dyDescent="0.35">
      <c r="B370" s="39"/>
      <c r="C370" s="117" t="s">
        <v>1074</v>
      </c>
      <c r="D370" s="96" t="s">
        <v>574</v>
      </c>
      <c r="E370" s="27" t="s">
        <v>44</v>
      </c>
      <c r="F370" s="37" t="s">
        <v>45</v>
      </c>
      <c r="G370" s="33" t="s">
        <v>206</v>
      </c>
      <c r="H370" s="27" t="s">
        <v>523</v>
      </c>
      <c r="I370" s="27" t="s">
        <v>206</v>
      </c>
      <c r="J370" s="37" t="s">
        <v>523</v>
      </c>
      <c r="K370" s="39" t="s">
        <v>118</v>
      </c>
      <c r="L370" s="28" t="s">
        <v>125</v>
      </c>
      <c r="M370" s="28" t="s">
        <v>48</v>
      </c>
      <c r="N370" s="41" t="s">
        <v>126</v>
      </c>
      <c r="O370" s="39">
        <v>1237</v>
      </c>
      <c r="P370" s="28"/>
      <c r="Q370" s="28"/>
      <c r="R370" s="41"/>
      <c r="S370" s="39"/>
      <c r="T370" s="41"/>
      <c r="U370" s="39"/>
      <c r="V370" s="41"/>
      <c r="W370" s="43" t="s">
        <v>711</v>
      </c>
      <c r="X370" s="33"/>
      <c r="Y370" s="27"/>
      <c r="Z370" s="29"/>
    </row>
    <row r="371" spans="2:26" ht="21" customHeight="1" x14ac:dyDescent="0.35">
      <c r="B371" s="39"/>
      <c r="C371" s="117" t="s">
        <v>1075</v>
      </c>
      <c r="D371" s="96" t="s">
        <v>575</v>
      </c>
      <c r="E371" s="27" t="s">
        <v>44</v>
      </c>
      <c r="F371" s="37" t="s">
        <v>45</v>
      </c>
      <c r="G371" s="33" t="s">
        <v>206</v>
      </c>
      <c r="H371" s="27" t="s">
        <v>523</v>
      </c>
      <c r="I371" s="27" t="s">
        <v>206</v>
      </c>
      <c r="J371" s="37" t="s">
        <v>523</v>
      </c>
      <c r="K371" s="39" t="s">
        <v>127</v>
      </c>
      <c r="L371" s="28" t="s">
        <v>128</v>
      </c>
      <c r="M371" s="28" t="s">
        <v>48</v>
      </c>
      <c r="N371" s="41" t="s">
        <v>120</v>
      </c>
      <c r="O371" s="39">
        <v>83.536000000000001</v>
      </c>
      <c r="P371" s="28"/>
      <c r="Q371" s="28"/>
      <c r="R371" s="41"/>
      <c r="S371" s="39"/>
      <c r="T371" s="41"/>
      <c r="U371" s="39"/>
      <c r="V371" s="41"/>
      <c r="W371" s="43" t="s">
        <v>711</v>
      </c>
      <c r="X371" s="33"/>
      <c r="Y371" s="27"/>
      <c r="Z371" s="29"/>
    </row>
    <row r="372" spans="2:26" ht="21" customHeight="1" x14ac:dyDescent="0.35">
      <c r="B372" s="39"/>
      <c r="C372" s="117" t="s">
        <v>1076</v>
      </c>
      <c r="D372" s="96" t="s">
        <v>576</v>
      </c>
      <c r="E372" s="27" t="s">
        <v>44</v>
      </c>
      <c r="F372" s="37" t="s">
        <v>45</v>
      </c>
      <c r="G372" s="33" t="s">
        <v>206</v>
      </c>
      <c r="H372" s="27" t="s">
        <v>523</v>
      </c>
      <c r="I372" s="27" t="s">
        <v>206</v>
      </c>
      <c r="J372" s="37" t="s">
        <v>523</v>
      </c>
      <c r="K372" s="39" t="s">
        <v>127</v>
      </c>
      <c r="L372" s="28" t="s">
        <v>129</v>
      </c>
      <c r="M372" s="28" t="s">
        <v>48</v>
      </c>
      <c r="N372" s="41" t="s">
        <v>122</v>
      </c>
      <c r="O372" s="39">
        <v>-0.13070000000000001</v>
      </c>
      <c r="P372" s="28"/>
      <c r="Q372" s="28"/>
      <c r="R372" s="41"/>
      <c r="S372" s="39"/>
      <c r="T372" s="41"/>
      <c r="U372" s="39"/>
      <c r="V372" s="41"/>
      <c r="W372" s="43" t="s">
        <v>711</v>
      </c>
      <c r="X372" s="33"/>
      <c r="Y372" s="27"/>
      <c r="Z372" s="29"/>
    </row>
    <row r="373" spans="2:26" ht="21" customHeight="1" x14ac:dyDescent="0.35">
      <c r="B373" s="39"/>
      <c r="C373" s="117" t="s">
        <v>1077</v>
      </c>
      <c r="D373" s="96" t="s">
        <v>577</v>
      </c>
      <c r="E373" s="27" t="s">
        <v>44</v>
      </c>
      <c r="F373" s="37" t="s">
        <v>45</v>
      </c>
      <c r="G373" s="33" t="s">
        <v>206</v>
      </c>
      <c r="H373" s="27" t="s">
        <v>523</v>
      </c>
      <c r="I373" s="27" t="s">
        <v>206</v>
      </c>
      <c r="J373" s="37" t="s">
        <v>523</v>
      </c>
      <c r="K373" s="39" t="s">
        <v>127</v>
      </c>
      <c r="L373" s="28" t="s">
        <v>130</v>
      </c>
      <c r="M373" s="28" t="s">
        <v>48</v>
      </c>
      <c r="N373" s="41" t="s">
        <v>124</v>
      </c>
      <c r="O373" s="39">
        <v>4.3650000000000001E-2</v>
      </c>
      <c r="P373" s="28"/>
      <c r="Q373" s="28"/>
      <c r="R373" s="41"/>
      <c r="S373" s="39"/>
      <c r="T373" s="41"/>
      <c r="U373" s="39"/>
      <c r="V373" s="41"/>
      <c r="W373" s="43" t="s">
        <v>711</v>
      </c>
      <c r="X373" s="33"/>
      <c r="Y373" s="27"/>
      <c r="Z373" s="29"/>
    </row>
    <row r="374" spans="2:26" ht="21" customHeight="1" x14ac:dyDescent="0.35">
      <c r="B374" s="39"/>
      <c r="C374" s="117" t="s">
        <v>1078</v>
      </c>
      <c r="D374" s="96" t="s">
        <v>578</v>
      </c>
      <c r="E374" s="27" t="s">
        <v>44</v>
      </c>
      <c r="F374" s="37" t="s">
        <v>45</v>
      </c>
      <c r="G374" s="33" t="s">
        <v>206</v>
      </c>
      <c r="H374" s="27" t="s">
        <v>523</v>
      </c>
      <c r="I374" s="27" t="s">
        <v>206</v>
      </c>
      <c r="J374" s="37" t="s">
        <v>523</v>
      </c>
      <c r="K374" s="39" t="s">
        <v>127</v>
      </c>
      <c r="L374" s="28" t="s">
        <v>131</v>
      </c>
      <c r="M374" s="28" t="s">
        <v>48</v>
      </c>
      <c r="N374" s="41" t="s">
        <v>126</v>
      </c>
      <c r="O374" s="39">
        <v>1237</v>
      </c>
      <c r="P374" s="28"/>
      <c r="Q374" s="28"/>
      <c r="R374" s="41"/>
      <c r="S374" s="39"/>
      <c r="T374" s="41"/>
      <c r="U374" s="39"/>
      <c r="V374" s="41"/>
      <c r="W374" s="43" t="s">
        <v>711</v>
      </c>
      <c r="X374" s="33"/>
      <c r="Y374" s="27"/>
      <c r="Z374" s="29"/>
    </row>
    <row r="375" spans="2:26" ht="21" customHeight="1" x14ac:dyDescent="0.35">
      <c r="B375" s="39"/>
      <c r="C375" s="117" t="s">
        <v>1079</v>
      </c>
      <c r="D375" s="96" t="s">
        <v>579</v>
      </c>
      <c r="E375" s="27" t="s">
        <v>44</v>
      </c>
      <c r="F375" s="37" t="s">
        <v>45</v>
      </c>
      <c r="G375" s="33" t="s">
        <v>206</v>
      </c>
      <c r="H375" s="27" t="s">
        <v>523</v>
      </c>
      <c r="I375" s="27" t="s">
        <v>206</v>
      </c>
      <c r="J375" s="37" t="s">
        <v>523</v>
      </c>
      <c r="K375" s="39" t="s">
        <v>127</v>
      </c>
      <c r="L375" s="28" t="s">
        <v>132</v>
      </c>
      <c r="M375" s="28" t="s">
        <v>48</v>
      </c>
      <c r="N375" s="41" t="s">
        <v>120</v>
      </c>
      <c r="O375" s="39">
        <v>95.656999999999996</v>
      </c>
      <c r="P375" s="28"/>
      <c r="Q375" s="28"/>
      <c r="R375" s="41"/>
      <c r="S375" s="39"/>
      <c r="T375" s="41"/>
      <c r="U375" s="39"/>
      <c r="V375" s="41"/>
      <c r="W375" s="43" t="s">
        <v>711</v>
      </c>
      <c r="X375" s="33"/>
      <c r="Y375" s="27"/>
      <c r="Z375" s="29"/>
    </row>
    <row r="376" spans="2:26" ht="21" customHeight="1" x14ac:dyDescent="0.35">
      <c r="B376" s="39"/>
      <c r="C376" s="117" t="s">
        <v>1080</v>
      </c>
      <c r="D376" s="96" t="s">
        <v>580</v>
      </c>
      <c r="E376" s="27" t="s">
        <v>44</v>
      </c>
      <c r="F376" s="37" t="s">
        <v>45</v>
      </c>
      <c r="G376" s="33" t="s">
        <v>206</v>
      </c>
      <c r="H376" s="27" t="s">
        <v>523</v>
      </c>
      <c r="I376" s="27" t="s">
        <v>206</v>
      </c>
      <c r="J376" s="37" t="s">
        <v>523</v>
      </c>
      <c r="K376" s="39" t="s">
        <v>127</v>
      </c>
      <c r="L376" s="28" t="s">
        <v>133</v>
      </c>
      <c r="M376" s="28" t="s">
        <v>48</v>
      </c>
      <c r="N376" s="41" t="s">
        <v>122</v>
      </c>
      <c r="O376" s="39" t="s">
        <v>48</v>
      </c>
      <c r="P376" s="28"/>
      <c r="Q376" s="28"/>
      <c r="R376" s="41"/>
      <c r="S376" s="39"/>
      <c r="T376" s="41"/>
      <c r="U376" s="39"/>
      <c r="V376" s="41"/>
      <c r="W376" s="43" t="s">
        <v>711</v>
      </c>
      <c r="X376" s="33"/>
      <c r="Y376" s="27"/>
      <c r="Z376" s="29"/>
    </row>
    <row r="377" spans="2:26" ht="21" customHeight="1" x14ac:dyDescent="0.35">
      <c r="B377" s="39"/>
      <c r="C377" s="117" t="s">
        <v>1081</v>
      </c>
      <c r="D377" s="96" t="s">
        <v>581</v>
      </c>
      <c r="E377" s="27" t="s">
        <v>44</v>
      </c>
      <c r="F377" s="37" t="s">
        <v>45</v>
      </c>
      <c r="G377" s="33" t="s">
        <v>206</v>
      </c>
      <c r="H377" s="27" t="s">
        <v>523</v>
      </c>
      <c r="I377" s="27" t="s">
        <v>206</v>
      </c>
      <c r="J377" s="37" t="s">
        <v>523</v>
      </c>
      <c r="K377" s="39" t="s">
        <v>127</v>
      </c>
      <c r="L377" s="28" t="s">
        <v>134</v>
      </c>
      <c r="M377" s="28" t="s">
        <v>48</v>
      </c>
      <c r="N377" s="41" t="s">
        <v>124</v>
      </c>
      <c r="O377" s="39">
        <v>4.1500000000000002E-2</v>
      </c>
      <c r="P377" s="28"/>
      <c r="Q377" s="28"/>
      <c r="R377" s="41"/>
      <c r="S377" s="39"/>
      <c r="T377" s="41"/>
      <c r="U377" s="39"/>
      <c r="V377" s="41"/>
      <c r="W377" s="43" t="s">
        <v>711</v>
      </c>
      <c r="X377" s="33"/>
      <c r="Y377" s="27"/>
      <c r="Z377" s="29"/>
    </row>
    <row r="378" spans="2:26" ht="21" customHeight="1" x14ac:dyDescent="0.35">
      <c r="B378" s="39"/>
      <c r="C378" s="117" t="s">
        <v>1082</v>
      </c>
      <c r="D378" s="96" t="s">
        <v>582</v>
      </c>
      <c r="E378" s="27" t="s">
        <v>44</v>
      </c>
      <c r="F378" s="37" t="s">
        <v>45</v>
      </c>
      <c r="G378" s="33" t="s">
        <v>206</v>
      </c>
      <c r="H378" s="27" t="s">
        <v>523</v>
      </c>
      <c r="I378" s="27" t="s">
        <v>206</v>
      </c>
      <c r="J378" s="37" t="s">
        <v>523</v>
      </c>
      <c r="K378" s="39" t="s">
        <v>127</v>
      </c>
      <c r="L378" s="28" t="s">
        <v>135</v>
      </c>
      <c r="M378" s="28" t="s">
        <v>48</v>
      </c>
      <c r="N378" s="41" t="s">
        <v>49</v>
      </c>
      <c r="O378" s="39">
        <v>1322</v>
      </c>
      <c r="P378" s="28"/>
      <c r="Q378" s="28"/>
      <c r="R378" s="41"/>
      <c r="S378" s="39"/>
      <c r="T378" s="41"/>
      <c r="U378" s="39"/>
      <c r="V378" s="41"/>
      <c r="W378" s="43" t="s">
        <v>711</v>
      </c>
      <c r="X378" s="33"/>
      <c r="Y378" s="27"/>
      <c r="Z378" s="29"/>
    </row>
    <row r="379" spans="2:26" ht="21" customHeight="1" x14ac:dyDescent="0.35">
      <c r="B379" s="39"/>
      <c r="C379" s="117" t="s">
        <v>1083</v>
      </c>
      <c r="D379" s="96" t="s">
        <v>583</v>
      </c>
      <c r="E379" s="27" t="s">
        <v>44</v>
      </c>
      <c r="F379" s="37" t="s">
        <v>45</v>
      </c>
      <c r="G379" s="33" t="s">
        <v>206</v>
      </c>
      <c r="H379" s="27" t="s">
        <v>523</v>
      </c>
      <c r="I379" s="27" t="s">
        <v>206</v>
      </c>
      <c r="J379" s="37" t="s">
        <v>523</v>
      </c>
      <c r="K379" s="39" t="s">
        <v>127</v>
      </c>
      <c r="L379" s="28" t="s">
        <v>136</v>
      </c>
      <c r="M379" s="28" t="s">
        <v>48</v>
      </c>
      <c r="N379" s="41" t="s">
        <v>120</v>
      </c>
      <c r="O379" s="39">
        <v>92.17</v>
      </c>
      <c r="P379" s="28"/>
      <c r="Q379" s="28"/>
      <c r="R379" s="41"/>
      <c r="S379" s="39"/>
      <c r="T379" s="41"/>
      <c r="U379" s="39"/>
      <c r="V379" s="41"/>
      <c r="W379" s="43" t="s">
        <v>711</v>
      </c>
      <c r="X379" s="33"/>
      <c r="Y379" s="27"/>
      <c r="Z379" s="29"/>
    </row>
    <row r="380" spans="2:26" ht="21" customHeight="1" x14ac:dyDescent="0.35">
      <c r="B380" s="39"/>
      <c r="C380" s="117" t="s">
        <v>1084</v>
      </c>
      <c r="D380" s="96" t="s">
        <v>584</v>
      </c>
      <c r="E380" s="27" t="s">
        <v>44</v>
      </c>
      <c r="F380" s="37" t="s">
        <v>45</v>
      </c>
      <c r="G380" s="33" t="s">
        <v>206</v>
      </c>
      <c r="H380" s="27" t="s">
        <v>523</v>
      </c>
      <c r="I380" s="27" t="s">
        <v>206</v>
      </c>
      <c r="J380" s="37" t="s">
        <v>523</v>
      </c>
      <c r="K380" s="39" t="s">
        <v>127</v>
      </c>
      <c r="L380" s="28" t="s">
        <v>137</v>
      </c>
      <c r="M380" s="28" t="s">
        <v>48</v>
      </c>
      <c r="N380" s="41" t="s">
        <v>122</v>
      </c>
      <c r="O380" s="39" t="s">
        <v>48</v>
      </c>
      <c r="P380" s="28"/>
      <c r="Q380" s="28"/>
      <c r="R380" s="41"/>
      <c r="S380" s="39"/>
      <c r="T380" s="41"/>
      <c r="U380" s="39"/>
      <c r="V380" s="41"/>
      <c r="W380" s="43" t="s">
        <v>711</v>
      </c>
      <c r="X380" s="33"/>
      <c r="Y380" s="27"/>
      <c r="Z380" s="29"/>
    </row>
    <row r="381" spans="2:26" ht="21" customHeight="1" x14ac:dyDescent="0.35">
      <c r="B381" s="39"/>
      <c r="C381" s="117" t="s">
        <v>1085</v>
      </c>
      <c r="D381" s="96" t="s">
        <v>585</v>
      </c>
      <c r="E381" s="27" t="s">
        <v>44</v>
      </c>
      <c r="F381" s="37" t="s">
        <v>45</v>
      </c>
      <c r="G381" s="33" t="s">
        <v>206</v>
      </c>
      <c r="H381" s="27" t="s">
        <v>523</v>
      </c>
      <c r="I381" s="27" t="s">
        <v>206</v>
      </c>
      <c r="J381" s="37" t="s">
        <v>523</v>
      </c>
      <c r="K381" s="39" t="s">
        <v>127</v>
      </c>
      <c r="L381" s="28" t="s">
        <v>138</v>
      </c>
      <c r="M381" s="28" t="s">
        <v>48</v>
      </c>
      <c r="N381" s="41" t="s">
        <v>124</v>
      </c>
      <c r="O381" s="39">
        <v>4.3650000000000001E-2</v>
      </c>
      <c r="P381" s="28"/>
      <c r="Q381" s="28"/>
      <c r="R381" s="41"/>
      <c r="S381" s="39"/>
      <c r="T381" s="41"/>
      <c r="U381" s="39"/>
      <c r="V381" s="41"/>
      <c r="W381" s="43" t="s">
        <v>711</v>
      </c>
      <c r="X381" s="33"/>
      <c r="Y381" s="27"/>
      <c r="Z381" s="29"/>
    </row>
    <row r="382" spans="2:26" ht="21" customHeight="1" x14ac:dyDescent="0.35">
      <c r="B382" s="39"/>
      <c r="C382" s="117" t="s">
        <v>1086</v>
      </c>
      <c r="D382" s="96" t="s">
        <v>586</v>
      </c>
      <c r="E382" s="27" t="s">
        <v>44</v>
      </c>
      <c r="F382" s="37" t="s">
        <v>45</v>
      </c>
      <c r="G382" s="33" t="s">
        <v>206</v>
      </c>
      <c r="H382" s="27" t="s">
        <v>523</v>
      </c>
      <c r="I382" s="27" t="s">
        <v>206</v>
      </c>
      <c r="J382" s="37" t="s">
        <v>523</v>
      </c>
      <c r="K382" s="39" t="s">
        <v>127</v>
      </c>
      <c r="L382" s="28" t="s">
        <v>139</v>
      </c>
      <c r="M382" s="28" t="s">
        <v>48</v>
      </c>
      <c r="N382" s="41" t="s">
        <v>49</v>
      </c>
      <c r="O382" s="39">
        <v>1261</v>
      </c>
      <c r="P382" s="28"/>
      <c r="Q382" s="28"/>
      <c r="R382" s="41"/>
      <c r="S382" s="39"/>
      <c r="T382" s="41"/>
      <c r="U382" s="39"/>
      <c r="V382" s="41"/>
      <c r="W382" s="43" t="s">
        <v>711</v>
      </c>
      <c r="X382" s="33"/>
      <c r="Y382" s="27"/>
      <c r="Z382" s="29"/>
    </row>
    <row r="383" spans="2:26" ht="21" customHeight="1" x14ac:dyDescent="0.35">
      <c r="B383" s="39"/>
      <c r="C383" s="117" t="s">
        <v>1087</v>
      </c>
      <c r="D383" s="96" t="s">
        <v>587</v>
      </c>
      <c r="E383" s="27" t="s">
        <v>44</v>
      </c>
      <c r="F383" s="37" t="s">
        <v>45</v>
      </c>
      <c r="G383" s="33" t="s">
        <v>206</v>
      </c>
      <c r="H383" s="27" t="s">
        <v>523</v>
      </c>
      <c r="I383" s="27" t="s">
        <v>206</v>
      </c>
      <c r="J383" s="37" t="s">
        <v>523</v>
      </c>
      <c r="K383" s="39" t="s">
        <v>127</v>
      </c>
      <c r="L383" s="28" t="s">
        <v>140</v>
      </c>
      <c r="M383" s="28" t="s">
        <v>48</v>
      </c>
      <c r="N383" s="41" t="s">
        <v>120</v>
      </c>
      <c r="O383" s="39">
        <v>92.17</v>
      </c>
      <c r="P383" s="28"/>
      <c r="Q383" s="28"/>
      <c r="R383" s="41"/>
      <c r="S383" s="39"/>
      <c r="T383" s="41"/>
      <c r="U383" s="39"/>
      <c r="V383" s="41"/>
      <c r="W383" s="43" t="s">
        <v>711</v>
      </c>
      <c r="X383" s="33"/>
      <c r="Y383" s="27"/>
      <c r="Z383" s="29"/>
    </row>
    <row r="384" spans="2:26" ht="21" customHeight="1" x14ac:dyDescent="0.35">
      <c r="B384" s="39"/>
      <c r="C384" s="117" t="s">
        <v>1088</v>
      </c>
      <c r="D384" s="96" t="s">
        <v>588</v>
      </c>
      <c r="E384" s="27" t="s">
        <v>44</v>
      </c>
      <c r="F384" s="37" t="s">
        <v>45</v>
      </c>
      <c r="G384" s="33" t="s">
        <v>206</v>
      </c>
      <c r="H384" s="27" t="s">
        <v>523</v>
      </c>
      <c r="I384" s="27" t="s">
        <v>206</v>
      </c>
      <c r="J384" s="37" t="s">
        <v>523</v>
      </c>
      <c r="K384" s="39" t="s">
        <v>127</v>
      </c>
      <c r="L384" s="28" t="s">
        <v>141</v>
      </c>
      <c r="M384" s="28" t="s">
        <v>48</v>
      </c>
      <c r="N384" s="41" t="s">
        <v>122</v>
      </c>
      <c r="O384" s="39" t="s">
        <v>48</v>
      </c>
      <c r="P384" s="28"/>
      <c r="Q384" s="28"/>
      <c r="R384" s="41"/>
      <c r="S384" s="39"/>
      <c r="T384" s="41"/>
      <c r="U384" s="39"/>
      <c r="V384" s="41"/>
      <c r="W384" s="43" t="s">
        <v>711</v>
      </c>
      <c r="X384" s="33"/>
      <c r="Y384" s="27"/>
      <c r="Z384" s="29"/>
    </row>
    <row r="385" spans="2:26" ht="21" customHeight="1" x14ac:dyDescent="0.35">
      <c r="B385" s="39"/>
      <c r="C385" s="117" t="s">
        <v>1089</v>
      </c>
      <c r="D385" s="96" t="s">
        <v>589</v>
      </c>
      <c r="E385" s="27" t="s">
        <v>44</v>
      </c>
      <c r="F385" s="37" t="s">
        <v>45</v>
      </c>
      <c r="G385" s="33" t="s">
        <v>206</v>
      </c>
      <c r="H385" s="27" t="s">
        <v>523</v>
      </c>
      <c r="I385" s="27" t="s">
        <v>206</v>
      </c>
      <c r="J385" s="37" t="s">
        <v>523</v>
      </c>
      <c r="K385" s="39" t="s">
        <v>127</v>
      </c>
      <c r="L385" s="28" t="s">
        <v>142</v>
      </c>
      <c r="M385" s="28" t="s">
        <v>48</v>
      </c>
      <c r="N385" s="41" t="s">
        <v>124</v>
      </c>
      <c r="O385" s="39">
        <v>4.3650000000000001E-2</v>
      </c>
      <c r="P385" s="28"/>
      <c r="Q385" s="28"/>
      <c r="R385" s="41"/>
      <c r="S385" s="39"/>
      <c r="T385" s="41"/>
      <c r="U385" s="39"/>
      <c r="V385" s="41"/>
      <c r="W385" s="43" t="s">
        <v>711</v>
      </c>
      <c r="X385" s="33"/>
      <c r="Y385" s="27"/>
      <c r="Z385" s="29"/>
    </row>
    <row r="386" spans="2:26" ht="21" customHeight="1" x14ac:dyDescent="0.35">
      <c r="B386" s="39"/>
      <c r="C386" s="117" t="s">
        <v>1090</v>
      </c>
      <c r="D386" s="96" t="s">
        <v>590</v>
      </c>
      <c r="E386" s="27" t="s">
        <v>44</v>
      </c>
      <c r="F386" s="37" t="s">
        <v>45</v>
      </c>
      <c r="G386" s="33" t="s">
        <v>206</v>
      </c>
      <c r="H386" s="27" t="s">
        <v>523</v>
      </c>
      <c r="I386" s="27" t="s">
        <v>206</v>
      </c>
      <c r="J386" s="37" t="s">
        <v>523</v>
      </c>
      <c r="K386" s="39" t="s">
        <v>127</v>
      </c>
      <c r="L386" s="28" t="s">
        <v>143</v>
      </c>
      <c r="M386" s="28" t="s">
        <v>48</v>
      </c>
      <c r="N386" s="41" t="s">
        <v>49</v>
      </c>
      <c r="O386" s="39">
        <v>1261</v>
      </c>
      <c r="P386" s="28"/>
      <c r="Q386" s="28"/>
      <c r="R386" s="41"/>
      <c r="S386" s="39"/>
      <c r="T386" s="41"/>
      <c r="U386" s="39"/>
      <c r="V386" s="41"/>
      <c r="W386" s="43" t="s">
        <v>711</v>
      </c>
      <c r="X386" s="33"/>
      <c r="Y386" s="27"/>
      <c r="Z386" s="29"/>
    </row>
    <row r="387" spans="2:26" ht="21" customHeight="1" x14ac:dyDescent="0.35">
      <c r="B387" s="39"/>
      <c r="C387" s="117" t="s">
        <v>1091</v>
      </c>
      <c r="D387" s="96" t="s">
        <v>591</v>
      </c>
      <c r="E387" s="27" t="s">
        <v>44</v>
      </c>
      <c r="F387" s="37" t="s">
        <v>45</v>
      </c>
      <c r="G387" s="33" t="s">
        <v>206</v>
      </c>
      <c r="H387" s="27" t="s">
        <v>523</v>
      </c>
      <c r="I387" s="27" t="s">
        <v>206</v>
      </c>
      <c r="J387" s="37" t="s">
        <v>523</v>
      </c>
      <c r="K387" s="39" t="s">
        <v>127</v>
      </c>
      <c r="L387" s="28" t="s">
        <v>144</v>
      </c>
      <c r="M387" s="28" t="s">
        <v>48</v>
      </c>
      <c r="N387" s="41" t="s">
        <v>145</v>
      </c>
      <c r="O387" s="39" t="s">
        <v>146</v>
      </c>
      <c r="P387" s="28"/>
      <c r="Q387" s="28"/>
      <c r="R387" s="41"/>
      <c r="S387" s="39"/>
      <c r="T387" s="41"/>
      <c r="U387" s="39"/>
      <c r="V387" s="41"/>
      <c r="W387" s="43" t="s">
        <v>711</v>
      </c>
      <c r="X387" s="33"/>
      <c r="Y387" s="27"/>
      <c r="Z387" s="29"/>
    </row>
    <row r="388" spans="2:26" ht="21" customHeight="1" x14ac:dyDescent="0.35">
      <c r="B388" s="39"/>
      <c r="C388" s="117" t="s">
        <v>1092</v>
      </c>
      <c r="D388" s="96" t="s">
        <v>592</v>
      </c>
      <c r="E388" s="27" t="s">
        <v>44</v>
      </c>
      <c r="F388" s="37" t="s">
        <v>45</v>
      </c>
      <c r="G388" s="33" t="s">
        <v>206</v>
      </c>
      <c r="H388" s="27" t="s">
        <v>523</v>
      </c>
      <c r="I388" s="27" t="s">
        <v>206</v>
      </c>
      <c r="J388" s="37" t="s">
        <v>523</v>
      </c>
      <c r="K388" s="39" t="s">
        <v>127</v>
      </c>
      <c r="L388" s="28" t="s">
        <v>147</v>
      </c>
      <c r="M388" s="28" t="s">
        <v>48</v>
      </c>
      <c r="N388" s="41" t="s">
        <v>120</v>
      </c>
      <c r="O388" s="39">
        <v>90.9</v>
      </c>
      <c r="P388" s="28"/>
      <c r="Q388" s="28"/>
      <c r="R388" s="41"/>
      <c r="S388" s="39"/>
      <c r="T388" s="41"/>
      <c r="U388" s="39"/>
      <c r="V388" s="41"/>
      <c r="W388" s="43" t="s">
        <v>711</v>
      </c>
      <c r="X388" s="33"/>
      <c r="Y388" s="27"/>
      <c r="Z388" s="29"/>
    </row>
    <row r="389" spans="2:26" ht="21" customHeight="1" x14ac:dyDescent="0.35">
      <c r="B389" s="39"/>
      <c r="C389" s="117" t="s">
        <v>1093</v>
      </c>
      <c r="D389" s="96" t="s">
        <v>593</v>
      </c>
      <c r="E389" s="27" t="s">
        <v>44</v>
      </c>
      <c r="F389" s="37" t="s">
        <v>45</v>
      </c>
      <c r="G389" s="33" t="s">
        <v>206</v>
      </c>
      <c r="H389" s="27" t="s">
        <v>523</v>
      </c>
      <c r="I389" s="27" t="s">
        <v>206</v>
      </c>
      <c r="J389" s="37" t="s">
        <v>523</v>
      </c>
      <c r="K389" s="39" t="s">
        <v>127</v>
      </c>
      <c r="L389" s="28" t="s">
        <v>148</v>
      </c>
      <c r="M389" s="28" t="s">
        <v>48</v>
      </c>
      <c r="N389" s="41" t="s">
        <v>122</v>
      </c>
      <c r="O389" s="39">
        <v>-9.5100000000000004E-2</v>
      </c>
      <c r="P389" s="28"/>
      <c r="Q389" s="28"/>
      <c r="R389" s="41"/>
      <c r="S389" s="39"/>
      <c r="T389" s="41"/>
      <c r="U389" s="39"/>
      <c r="V389" s="41"/>
      <c r="W389" s="43" t="s">
        <v>711</v>
      </c>
      <c r="X389" s="33"/>
      <c r="Y389" s="27"/>
      <c r="Z389" s="29"/>
    </row>
    <row r="390" spans="2:26" ht="21" customHeight="1" x14ac:dyDescent="0.35">
      <c r="B390" s="39"/>
      <c r="C390" s="117" t="s">
        <v>1094</v>
      </c>
      <c r="D390" s="96" t="s">
        <v>594</v>
      </c>
      <c r="E390" s="27" t="s">
        <v>44</v>
      </c>
      <c r="F390" s="37" t="s">
        <v>45</v>
      </c>
      <c r="G390" s="33" t="s">
        <v>206</v>
      </c>
      <c r="H390" s="27" t="s">
        <v>523</v>
      </c>
      <c r="I390" s="27" t="s">
        <v>206</v>
      </c>
      <c r="J390" s="37" t="s">
        <v>523</v>
      </c>
      <c r="K390" s="39" t="s">
        <v>127</v>
      </c>
      <c r="L390" s="28" t="s">
        <v>149</v>
      </c>
      <c r="M390" s="28" t="s">
        <v>48</v>
      </c>
      <c r="N390" s="41" t="s">
        <v>124</v>
      </c>
      <c r="O390" s="39">
        <v>4.326E-2</v>
      </c>
      <c r="P390" s="28"/>
      <c r="Q390" s="28"/>
      <c r="R390" s="41"/>
      <c r="S390" s="39"/>
      <c r="T390" s="41"/>
      <c r="U390" s="39"/>
      <c r="V390" s="41"/>
      <c r="W390" s="43" t="s">
        <v>711</v>
      </c>
      <c r="X390" s="33"/>
      <c r="Y390" s="27"/>
      <c r="Z390" s="29"/>
    </row>
    <row r="391" spans="2:26" ht="21" customHeight="1" x14ac:dyDescent="0.35">
      <c r="B391" s="39"/>
      <c r="C391" s="117" t="s">
        <v>1095</v>
      </c>
      <c r="D391" s="96" t="s">
        <v>595</v>
      </c>
      <c r="E391" s="27" t="s">
        <v>44</v>
      </c>
      <c r="F391" s="37" t="s">
        <v>45</v>
      </c>
      <c r="G391" s="33" t="s">
        <v>206</v>
      </c>
      <c r="H391" s="27" t="s">
        <v>523</v>
      </c>
      <c r="I391" s="27" t="s">
        <v>206</v>
      </c>
      <c r="J391" s="37" t="s">
        <v>523</v>
      </c>
      <c r="K391" s="39" t="s">
        <v>127</v>
      </c>
      <c r="L391" s="28" t="s">
        <v>150</v>
      </c>
      <c r="M391" s="28" t="s">
        <v>48</v>
      </c>
      <c r="N391" s="41" t="s">
        <v>49</v>
      </c>
      <c r="O391" s="39">
        <v>1380</v>
      </c>
      <c r="P391" s="28"/>
      <c r="Q391" s="28"/>
      <c r="R391" s="41"/>
      <c r="S391" s="39"/>
      <c r="T391" s="41"/>
      <c r="U391" s="39"/>
      <c r="V391" s="41"/>
      <c r="W391" s="43" t="s">
        <v>711</v>
      </c>
      <c r="X391" s="33"/>
      <c r="Y391" s="27"/>
      <c r="Z391" s="29"/>
    </row>
    <row r="392" spans="2:26" ht="21" customHeight="1" x14ac:dyDescent="0.35">
      <c r="B392" s="39"/>
      <c r="C392" s="117" t="s">
        <v>1096</v>
      </c>
      <c r="D392" s="96" t="s">
        <v>596</v>
      </c>
      <c r="E392" s="27" t="s">
        <v>44</v>
      </c>
      <c r="F392" s="37" t="s">
        <v>45</v>
      </c>
      <c r="G392" s="33" t="s">
        <v>206</v>
      </c>
      <c r="H392" s="27" t="s">
        <v>523</v>
      </c>
      <c r="I392" s="27" t="s">
        <v>206</v>
      </c>
      <c r="J392" s="37" t="s">
        <v>523</v>
      </c>
      <c r="K392" s="39" t="s">
        <v>127</v>
      </c>
      <c r="L392" s="28" t="s">
        <v>151</v>
      </c>
      <c r="M392" s="28" t="s">
        <v>48</v>
      </c>
      <c r="N392" s="41" t="s">
        <v>120</v>
      </c>
      <c r="O392" s="39" t="s">
        <v>116</v>
      </c>
      <c r="P392" s="28"/>
      <c r="Q392" s="28"/>
      <c r="R392" s="41"/>
      <c r="S392" s="39"/>
      <c r="T392" s="41"/>
      <c r="U392" s="39"/>
      <c r="V392" s="41"/>
      <c r="W392" s="43" t="s">
        <v>711</v>
      </c>
      <c r="X392" s="33"/>
      <c r="Y392" s="27"/>
      <c r="Z392" s="29"/>
    </row>
    <row r="393" spans="2:26" ht="21" customHeight="1" x14ac:dyDescent="0.35">
      <c r="B393" s="39"/>
      <c r="C393" s="117" t="s">
        <v>1097</v>
      </c>
      <c r="D393" s="96" t="s">
        <v>597</v>
      </c>
      <c r="E393" s="27" t="s">
        <v>44</v>
      </c>
      <c r="F393" s="37" t="s">
        <v>45</v>
      </c>
      <c r="G393" s="33" t="s">
        <v>206</v>
      </c>
      <c r="H393" s="27" t="s">
        <v>523</v>
      </c>
      <c r="I393" s="27" t="s">
        <v>206</v>
      </c>
      <c r="J393" s="37" t="s">
        <v>523</v>
      </c>
      <c r="K393" s="39" t="s">
        <v>127</v>
      </c>
      <c r="L393" s="28" t="s">
        <v>152</v>
      </c>
      <c r="M393" s="28" t="s">
        <v>48</v>
      </c>
      <c r="N393" s="41" t="s">
        <v>122</v>
      </c>
      <c r="O393" s="39" t="s">
        <v>116</v>
      </c>
      <c r="P393" s="28"/>
      <c r="Q393" s="28"/>
      <c r="R393" s="41"/>
      <c r="S393" s="39"/>
      <c r="T393" s="41"/>
      <c r="U393" s="39"/>
      <c r="V393" s="41"/>
      <c r="W393" s="43" t="s">
        <v>711</v>
      </c>
      <c r="X393" s="33"/>
      <c r="Y393" s="27"/>
      <c r="Z393" s="29"/>
    </row>
    <row r="394" spans="2:26" ht="21" customHeight="1" x14ac:dyDescent="0.35">
      <c r="B394" s="39"/>
      <c r="C394" s="117" t="s">
        <v>1098</v>
      </c>
      <c r="D394" s="96" t="s">
        <v>598</v>
      </c>
      <c r="E394" s="27" t="s">
        <v>44</v>
      </c>
      <c r="F394" s="37" t="s">
        <v>45</v>
      </c>
      <c r="G394" s="33" t="s">
        <v>206</v>
      </c>
      <c r="H394" s="27" t="s">
        <v>523</v>
      </c>
      <c r="I394" s="27" t="s">
        <v>206</v>
      </c>
      <c r="J394" s="37" t="s">
        <v>523</v>
      </c>
      <c r="K394" s="39" t="s">
        <v>127</v>
      </c>
      <c r="L394" s="28" t="s">
        <v>153</v>
      </c>
      <c r="M394" s="28" t="s">
        <v>48</v>
      </c>
      <c r="N394" s="41" t="s">
        <v>124</v>
      </c>
      <c r="O394" s="39" t="s">
        <v>116</v>
      </c>
      <c r="P394" s="28"/>
      <c r="Q394" s="28"/>
      <c r="R394" s="41"/>
      <c r="S394" s="39"/>
      <c r="T394" s="41"/>
      <c r="U394" s="39"/>
      <c r="V394" s="41"/>
      <c r="W394" s="43" t="s">
        <v>711</v>
      </c>
      <c r="X394" s="33"/>
      <c r="Y394" s="27"/>
      <c r="Z394" s="29"/>
    </row>
    <row r="395" spans="2:26" ht="21" customHeight="1" x14ac:dyDescent="0.35">
      <c r="B395" s="39"/>
      <c r="C395" s="117" t="s">
        <v>1099</v>
      </c>
      <c r="D395" s="96" t="s">
        <v>599</v>
      </c>
      <c r="E395" s="27" t="s">
        <v>44</v>
      </c>
      <c r="F395" s="37" t="s">
        <v>45</v>
      </c>
      <c r="G395" s="33" t="s">
        <v>206</v>
      </c>
      <c r="H395" s="27" t="s">
        <v>523</v>
      </c>
      <c r="I395" s="27" t="s">
        <v>206</v>
      </c>
      <c r="J395" s="37" t="s">
        <v>523</v>
      </c>
      <c r="K395" s="39" t="s">
        <v>127</v>
      </c>
      <c r="L395" s="28" t="s">
        <v>154</v>
      </c>
      <c r="M395" s="28" t="s">
        <v>48</v>
      </c>
      <c r="N395" s="41" t="s">
        <v>49</v>
      </c>
      <c r="O395" s="39" t="s">
        <v>116</v>
      </c>
      <c r="P395" s="28"/>
      <c r="Q395" s="28"/>
      <c r="R395" s="41"/>
      <c r="S395" s="39"/>
      <c r="T395" s="41"/>
      <c r="U395" s="39"/>
      <c r="V395" s="41"/>
      <c r="W395" s="43" t="s">
        <v>711</v>
      </c>
      <c r="X395" s="33"/>
      <c r="Y395" s="27"/>
      <c r="Z395" s="29"/>
    </row>
    <row r="396" spans="2:26" ht="21" customHeight="1" x14ac:dyDescent="0.35">
      <c r="B396" s="39"/>
      <c r="C396" s="117" t="s">
        <v>1100</v>
      </c>
      <c r="D396" s="96" t="s">
        <v>600</v>
      </c>
      <c r="E396" s="27" t="s">
        <v>44</v>
      </c>
      <c r="F396" s="37" t="s">
        <v>45</v>
      </c>
      <c r="G396" s="33" t="s">
        <v>206</v>
      </c>
      <c r="H396" s="27" t="s">
        <v>523</v>
      </c>
      <c r="I396" s="27" t="s">
        <v>206</v>
      </c>
      <c r="J396" s="37" t="s">
        <v>523</v>
      </c>
      <c r="K396" s="39" t="s">
        <v>127</v>
      </c>
      <c r="L396" s="28" t="s">
        <v>155</v>
      </c>
      <c r="M396" s="28" t="s">
        <v>48</v>
      </c>
      <c r="N396" s="41" t="s">
        <v>120</v>
      </c>
      <c r="O396" s="39" t="s">
        <v>57</v>
      </c>
      <c r="P396" s="28"/>
      <c r="Q396" s="28"/>
      <c r="R396" s="41"/>
      <c r="S396" s="39"/>
      <c r="T396" s="41"/>
      <c r="U396" s="39"/>
      <c r="V396" s="41"/>
      <c r="W396" s="43" t="s">
        <v>711</v>
      </c>
      <c r="X396" s="33"/>
      <c r="Y396" s="27"/>
      <c r="Z396" s="29"/>
    </row>
    <row r="397" spans="2:26" ht="21" customHeight="1" x14ac:dyDescent="0.35">
      <c r="B397" s="39"/>
      <c r="C397" s="117" t="s">
        <v>1101</v>
      </c>
      <c r="D397" s="96" t="s">
        <v>601</v>
      </c>
      <c r="E397" s="27" t="s">
        <v>44</v>
      </c>
      <c r="F397" s="37" t="s">
        <v>45</v>
      </c>
      <c r="G397" s="33" t="s">
        <v>206</v>
      </c>
      <c r="H397" s="27" t="s">
        <v>523</v>
      </c>
      <c r="I397" s="27" t="s">
        <v>206</v>
      </c>
      <c r="J397" s="37" t="s">
        <v>523</v>
      </c>
      <c r="K397" s="39" t="s">
        <v>127</v>
      </c>
      <c r="L397" s="28" t="s">
        <v>156</v>
      </c>
      <c r="M397" s="28" t="s">
        <v>48</v>
      </c>
      <c r="N397" s="41" t="s">
        <v>122</v>
      </c>
      <c r="O397" s="39" t="s">
        <v>57</v>
      </c>
      <c r="P397" s="28"/>
      <c r="Q397" s="28"/>
      <c r="R397" s="41"/>
      <c r="S397" s="39"/>
      <c r="T397" s="41"/>
      <c r="U397" s="39"/>
      <c r="V397" s="41"/>
      <c r="W397" s="43" t="s">
        <v>711</v>
      </c>
      <c r="X397" s="33"/>
      <c r="Y397" s="27"/>
      <c r="Z397" s="29"/>
    </row>
    <row r="398" spans="2:26" ht="21" customHeight="1" x14ac:dyDescent="0.35">
      <c r="B398" s="39"/>
      <c r="C398" s="117" t="s">
        <v>1102</v>
      </c>
      <c r="D398" s="96" t="s">
        <v>602</v>
      </c>
      <c r="E398" s="27" t="s">
        <v>44</v>
      </c>
      <c r="F398" s="37" t="s">
        <v>45</v>
      </c>
      <c r="G398" s="33" t="s">
        <v>206</v>
      </c>
      <c r="H398" s="27" t="s">
        <v>523</v>
      </c>
      <c r="I398" s="27" t="s">
        <v>206</v>
      </c>
      <c r="J398" s="37" t="s">
        <v>523</v>
      </c>
      <c r="K398" s="39" t="s">
        <v>127</v>
      </c>
      <c r="L398" s="28" t="s">
        <v>157</v>
      </c>
      <c r="M398" s="28" t="s">
        <v>48</v>
      </c>
      <c r="N398" s="41" t="s">
        <v>124</v>
      </c>
      <c r="O398" s="39" t="s">
        <v>57</v>
      </c>
      <c r="P398" s="28"/>
      <c r="Q398" s="28"/>
      <c r="R398" s="41"/>
      <c r="S398" s="39"/>
      <c r="T398" s="41"/>
      <c r="U398" s="39"/>
      <c r="V398" s="41"/>
      <c r="W398" s="43" t="s">
        <v>711</v>
      </c>
      <c r="X398" s="33"/>
      <c r="Y398" s="27"/>
      <c r="Z398" s="29"/>
    </row>
    <row r="399" spans="2:26" ht="21" customHeight="1" x14ac:dyDescent="0.35">
      <c r="B399" s="39"/>
      <c r="C399" s="117" t="s">
        <v>1103</v>
      </c>
      <c r="D399" s="96" t="s">
        <v>603</v>
      </c>
      <c r="E399" s="27" t="s">
        <v>44</v>
      </c>
      <c r="F399" s="37" t="s">
        <v>45</v>
      </c>
      <c r="G399" s="33" t="s">
        <v>206</v>
      </c>
      <c r="H399" s="27" t="s">
        <v>523</v>
      </c>
      <c r="I399" s="27" t="s">
        <v>206</v>
      </c>
      <c r="J399" s="37" t="s">
        <v>523</v>
      </c>
      <c r="K399" s="39" t="s">
        <v>127</v>
      </c>
      <c r="L399" s="28" t="s">
        <v>158</v>
      </c>
      <c r="M399" s="28" t="s">
        <v>48</v>
      </c>
      <c r="N399" s="41" t="s">
        <v>49</v>
      </c>
      <c r="O399" s="39" t="s">
        <v>57</v>
      </c>
      <c r="P399" s="28"/>
      <c r="Q399" s="28"/>
      <c r="R399" s="41"/>
      <c r="S399" s="39"/>
      <c r="T399" s="41"/>
      <c r="U399" s="39"/>
      <c r="V399" s="41"/>
      <c r="W399" s="43" t="s">
        <v>711</v>
      </c>
      <c r="X399" s="33"/>
      <c r="Y399" s="27"/>
      <c r="Z399" s="29"/>
    </row>
    <row r="400" spans="2:26" ht="21" customHeight="1" x14ac:dyDescent="0.35">
      <c r="B400" s="39"/>
      <c r="C400" s="117" t="s">
        <v>1104</v>
      </c>
      <c r="D400" s="96" t="s">
        <v>604</v>
      </c>
      <c r="E400" s="27" t="s">
        <v>44</v>
      </c>
      <c r="F400" s="37" t="s">
        <v>45</v>
      </c>
      <c r="G400" s="33" t="s">
        <v>206</v>
      </c>
      <c r="H400" s="27" t="s">
        <v>523</v>
      </c>
      <c r="I400" s="27" t="s">
        <v>206</v>
      </c>
      <c r="J400" s="37" t="s">
        <v>523</v>
      </c>
      <c r="K400" s="39" t="s">
        <v>159</v>
      </c>
      <c r="L400" s="28" t="s">
        <v>160</v>
      </c>
      <c r="M400" s="28" t="s">
        <v>48</v>
      </c>
      <c r="N400" s="41" t="s">
        <v>161</v>
      </c>
      <c r="O400" s="39">
        <v>47</v>
      </c>
      <c r="P400" s="28"/>
      <c r="Q400" s="28"/>
      <c r="R400" s="41"/>
      <c r="S400" s="39"/>
      <c r="T400" s="41"/>
      <c r="U400" s="39"/>
      <c r="V400" s="41"/>
      <c r="W400" s="43" t="s">
        <v>711</v>
      </c>
      <c r="X400" s="33"/>
      <c r="Y400" s="27"/>
      <c r="Z400" s="29"/>
    </row>
    <row r="401" spans="2:26" ht="21" customHeight="1" x14ac:dyDescent="0.35">
      <c r="B401" s="39"/>
      <c r="C401" s="117" t="s">
        <v>1105</v>
      </c>
      <c r="D401" s="96" t="s">
        <v>605</v>
      </c>
      <c r="E401" s="27" t="s">
        <v>44</v>
      </c>
      <c r="F401" s="37" t="s">
        <v>45</v>
      </c>
      <c r="G401" s="33" t="s">
        <v>206</v>
      </c>
      <c r="H401" s="27" t="s">
        <v>523</v>
      </c>
      <c r="I401" s="27" t="s">
        <v>206</v>
      </c>
      <c r="J401" s="37" t="s">
        <v>523</v>
      </c>
      <c r="K401" s="39" t="s">
        <v>159</v>
      </c>
      <c r="L401" s="28" t="s">
        <v>162</v>
      </c>
      <c r="M401" s="28" t="s">
        <v>48</v>
      </c>
      <c r="N401" s="41" t="s">
        <v>78</v>
      </c>
      <c r="O401" s="39">
        <v>1.1044999999999999E-2</v>
      </c>
      <c r="P401" s="28"/>
      <c r="Q401" s="28"/>
      <c r="R401" s="41"/>
      <c r="S401" s="39"/>
      <c r="T401" s="41"/>
      <c r="U401" s="39"/>
      <c r="V401" s="41"/>
      <c r="W401" s="43" t="s">
        <v>711</v>
      </c>
      <c r="X401" s="33"/>
      <c r="Y401" s="27"/>
      <c r="Z401" s="29"/>
    </row>
    <row r="402" spans="2:26" ht="21" customHeight="1" x14ac:dyDescent="0.35">
      <c r="B402" s="39"/>
      <c r="C402" s="117" t="s">
        <v>1106</v>
      </c>
      <c r="D402" s="96" t="s">
        <v>606</v>
      </c>
      <c r="E402" s="27" t="s">
        <v>44</v>
      </c>
      <c r="F402" s="37" t="s">
        <v>45</v>
      </c>
      <c r="G402" s="33" t="s">
        <v>206</v>
      </c>
      <c r="H402" s="27" t="s">
        <v>523</v>
      </c>
      <c r="I402" s="27" t="s">
        <v>206</v>
      </c>
      <c r="J402" s="37" t="s">
        <v>523</v>
      </c>
      <c r="K402" s="39" t="s">
        <v>159</v>
      </c>
      <c r="L402" s="28" t="s">
        <v>163</v>
      </c>
      <c r="M402" s="28" t="s">
        <v>48</v>
      </c>
      <c r="N402" s="41" t="s">
        <v>78</v>
      </c>
      <c r="O402" s="39" t="s">
        <v>164</v>
      </c>
      <c r="P402" s="28"/>
      <c r="Q402" s="28"/>
      <c r="R402" s="41"/>
      <c r="S402" s="39"/>
      <c r="T402" s="41"/>
      <c r="U402" s="39"/>
      <c r="V402" s="41"/>
      <c r="W402" s="43" t="s">
        <v>711</v>
      </c>
      <c r="X402" s="33"/>
      <c r="Y402" s="27"/>
      <c r="Z402" s="29"/>
    </row>
    <row r="403" spans="2:26" ht="21" customHeight="1" x14ac:dyDescent="0.35">
      <c r="B403" s="39"/>
      <c r="C403" s="117" t="s">
        <v>1107</v>
      </c>
      <c r="D403" s="96" t="s">
        <v>607</v>
      </c>
      <c r="E403" s="27" t="s">
        <v>44</v>
      </c>
      <c r="F403" s="37" t="s">
        <v>45</v>
      </c>
      <c r="G403" s="33" t="s">
        <v>206</v>
      </c>
      <c r="H403" s="27" t="s">
        <v>523</v>
      </c>
      <c r="I403" s="27" t="s">
        <v>206</v>
      </c>
      <c r="J403" s="37" t="s">
        <v>523</v>
      </c>
      <c r="K403" s="39" t="s">
        <v>159</v>
      </c>
      <c r="L403" s="28" t="s">
        <v>165</v>
      </c>
      <c r="M403" s="28" t="s">
        <v>48</v>
      </c>
      <c r="N403" s="41" t="s">
        <v>78</v>
      </c>
      <c r="O403" s="39" t="s">
        <v>57</v>
      </c>
      <c r="P403" s="28"/>
      <c r="Q403" s="28"/>
      <c r="R403" s="41"/>
      <c r="S403" s="39"/>
      <c r="T403" s="41"/>
      <c r="U403" s="39"/>
      <c r="V403" s="41"/>
      <c r="W403" s="43" t="s">
        <v>711</v>
      </c>
      <c r="X403" s="33"/>
      <c r="Y403" s="27"/>
      <c r="Z403" s="29"/>
    </row>
    <row r="404" spans="2:26" ht="21" customHeight="1" x14ac:dyDescent="0.35">
      <c r="B404" s="39"/>
      <c r="C404" s="117" t="s">
        <v>1108</v>
      </c>
      <c r="D404" s="96" t="s">
        <v>608</v>
      </c>
      <c r="E404" s="27" t="s">
        <v>44</v>
      </c>
      <c r="F404" s="37" t="s">
        <v>45</v>
      </c>
      <c r="G404" s="33" t="s">
        <v>206</v>
      </c>
      <c r="H404" s="27" t="s">
        <v>523</v>
      </c>
      <c r="I404" s="27" t="s">
        <v>206</v>
      </c>
      <c r="J404" s="37" t="s">
        <v>523</v>
      </c>
      <c r="K404" s="39" t="s">
        <v>159</v>
      </c>
      <c r="L404" s="28" t="s">
        <v>166</v>
      </c>
      <c r="M404" s="28" t="s">
        <v>48</v>
      </c>
      <c r="N404" s="41" t="s">
        <v>78</v>
      </c>
      <c r="O404" s="39" t="s">
        <v>53</v>
      </c>
      <c r="P404" s="28"/>
      <c r="Q404" s="28"/>
      <c r="R404" s="41"/>
      <c r="S404" s="39"/>
      <c r="T404" s="41"/>
      <c r="U404" s="39"/>
      <c r="V404" s="41"/>
      <c r="W404" s="43" t="s">
        <v>711</v>
      </c>
      <c r="X404" s="33"/>
      <c r="Y404" s="27"/>
      <c r="Z404" s="29"/>
    </row>
    <row r="405" spans="2:26" ht="21" customHeight="1" x14ac:dyDescent="0.35">
      <c r="B405" s="39"/>
      <c r="C405" s="117" t="s">
        <v>1109</v>
      </c>
      <c r="D405" s="96" t="s">
        <v>609</v>
      </c>
      <c r="E405" s="27" t="s">
        <v>44</v>
      </c>
      <c r="F405" s="37" t="s">
        <v>45</v>
      </c>
      <c r="G405" s="33" t="s">
        <v>206</v>
      </c>
      <c r="H405" s="27" t="s">
        <v>523</v>
      </c>
      <c r="I405" s="27" t="s">
        <v>206</v>
      </c>
      <c r="J405" s="37" t="s">
        <v>523</v>
      </c>
      <c r="K405" s="39" t="s">
        <v>159</v>
      </c>
      <c r="L405" s="28" t="s">
        <v>167</v>
      </c>
      <c r="M405" s="28" t="s">
        <v>48</v>
      </c>
      <c r="N405" s="41" t="s">
        <v>168</v>
      </c>
      <c r="O405" s="39">
        <v>135</v>
      </c>
      <c r="P405" s="28"/>
      <c r="Q405" s="28"/>
      <c r="R405" s="41"/>
      <c r="S405" s="39"/>
      <c r="T405" s="41"/>
      <c r="U405" s="39"/>
      <c r="V405" s="41"/>
      <c r="W405" s="43" t="s">
        <v>711</v>
      </c>
      <c r="X405" s="33"/>
      <c r="Y405" s="27"/>
      <c r="Z405" s="29"/>
    </row>
    <row r="406" spans="2:26" ht="21" customHeight="1" x14ac:dyDescent="0.35">
      <c r="B406" s="39"/>
      <c r="C406" s="117" t="s">
        <v>1110</v>
      </c>
      <c r="D406" s="96" t="s">
        <v>610</v>
      </c>
      <c r="E406" s="27" t="s">
        <v>44</v>
      </c>
      <c r="F406" s="37" t="s">
        <v>45</v>
      </c>
      <c r="G406" s="33" t="s">
        <v>206</v>
      </c>
      <c r="H406" s="27" t="s">
        <v>523</v>
      </c>
      <c r="I406" s="27" t="s">
        <v>206</v>
      </c>
      <c r="J406" s="37" t="s">
        <v>523</v>
      </c>
      <c r="K406" s="39" t="s">
        <v>159</v>
      </c>
      <c r="L406" s="28" t="s">
        <v>169</v>
      </c>
      <c r="M406" s="28" t="s">
        <v>48</v>
      </c>
      <c r="N406" s="41" t="s">
        <v>168</v>
      </c>
      <c r="O406" s="39">
        <v>-135</v>
      </c>
      <c r="P406" s="28"/>
      <c r="Q406" s="28"/>
      <c r="R406" s="41"/>
      <c r="S406" s="39"/>
      <c r="T406" s="41"/>
      <c r="U406" s="39"/>
      <c r="V406" s="41"/>
      <c r="W406" s="43" t="s">
        <v>711</v>
      </c>
      <c r="X406" s="33"/>
      <c r="Y406" s="27"/>
      <c r="Z406" s="29"/>
    </row>
    <row r="407" spans="2:26" ht="21" customHeight="1" x14ac:dyDescent="0.35">
      <c r="B407" s="39"/>
      <c r="C407" s="117" t="s">
        <v>1111</v>
      </c>
      <c r="D407" s="96" t="s">
        <v>611</v>
      </c>
      <c r="E407" s="27" t="s">
        <v>44</v>
      </c>
      <c r="F407" s="37" t="s">
        <v>45</v>
      </c>
      <c r="G407" s="33" t="s">
        <v>206</v>
      </c>
      <c r="H407" s="27" t="s">
        <v>523</v>
      </c>
      <c r="I407" s="27" t="s">
        <v>206</v>
      </c>
      <c r="J407" s="37" t="s">
        <v>523</v>
      </c>
      <c r="K407" s="39" t="s">
        <v>159</v>
      </c>
      <c r="L407" s="28" t="s">
        <v>170</v>
      </c>
      <c r="M407" s="28" t="s">
        <v>48</v>
      </c>
      <c r="N407" s="41" t="s">
        <v>48</v>
      </c>
      <c r="O407" s="39">
        <v>12.728</v>
      </c>
      <c r="P407" s="28"/>
      <c r="Q407" s="28"/>
      <c r="R407" s="41"/>
      <c r="S407" s="39"/>
      <c r="T407" s="41"/>
      <c r="U407" s="39"/>
      <c r="V407" s="41"/>
      <c r="W407" s="43" t="s">
        <v>711</v>
      </c>
      <c r="X407" s="33"/>
      <c r="Y407" s="27"/>
      <c r="Z407" s="29"/>
    </row>
    <row r="408" spans="2:26" ht="21" customHeight="1" x14ac:dyDescent="0.35">
      <c r="B408" s="39"/>
      <c r="C408" s="117" t="s">
        <v>1112</v>
      </c>
      <c r="D408" s="96" t="s">
        <v>612</v>
      </c>
      <c r="E408" s="27" t="s">
        <v>44</v>
      </c>
      <c r="F408" s="37" t="s">
        <v>45</v>
      </c>
      <c r="G408" s="33" t="s">
        <v>206</v>
      </c>
      <c r="H408" s="27" t="s">
        <v>523</v>
      </c>
      <c r="I408" s="27" t="s">
        <v>206</v>
      </c>
      <c r="J408" s="37" t="s">
        <v>523</v>
      </c>
      <c r="K408" s="39" t="s">
        <v>159</v>
      </c>
      <c r="L408" s="28" t="s">
        <v>171</v>
      </c>
      <c r="M408" s="28" t="s">
        <v>48</v>
      </c>
      <c r="N408" s="41" t="s">
        <v>168</v>
      </c>
      <c r="O408" s="39" t="s">
        <v>53</v>
      </c>
      <c r="P408" s="28"/>
      <c r="Q408" s="28"/>
      <c r="R408" s="41"/>
      <c r="S408" s="39"/>
      <c r="T408" s="41"/>
      <c r="U408" s="39"/>
      <c r="V408" s="41"/>
      <c r="W408" s="43" t="s">
        <v>711</v>
      </c>
      <c r="X408" s="33"/>
      <c r="Y408" s="27"/>
      <c r="Z408" s="29"/>
    </row>
    <row r="409" spans="2:26" ht="21" customHeight="1" x14ac:dyDescent="0.35">
      <c r="B409" s="39"/>
      <c r="C409" s="117" t="s">
        <v>1113</v>
      </c>
      <c r="D409" s="96" t="s">
        <v>613</v>
      </c>
      <c r="E409" s="27" t="s">
        <v>44</v>
      </c>
      <c r="F409" s="37" t="s">
        <v>45</v>
      </c>
      <c r="G409" s="33" t="s">
        <v>206</v>
      </c>
      <c r="H409" s="27" t="s">
        <v>523</v>
      </c>
      <c r="I409" s="27" t="s">
        <v>206</v>
      </c>
      <c r="J409" s="37" t="s">
        <v>523</v>
      </c>
      <c r="K409" s="39" t="s">
        <v>159</v>
      </c>
      <c r="L409" s="28" t="s">
        <v>172</v>
      </c>
      <c r="M409" s="28" t="s">
        <v>48</v>
      </c>
      <c r="N409" s="41" t="s">
        <v>168</v>
      </c>
      <c r="O409" s="39" t="s">
        <v>53</v>
      </c>
      <c r="P409" s="28"/>
      <c r="Q409" s="28"/>
      <c r="R409" s="41"/>
      <c r="S409" s="39"/>
      <c r="T409" s="41"/>
      <c r="U409" s="39"/>
      <c r="V409" s="41"/>
      <c r="W409" s="43" t="s">
        <v>711</v>
      </c>
      <c r="X409" s="33"/>
      <c r="Y409" s="27"/>
      <c r="Z409" s="29"/>
    </row>
    <row r="410" spans="2:26" ht="21" customHeight="1" x14ac:dyDescent="0.35">
      <c r="B410" s="39"/>
      <c r="C410" s="117" t="s">
        <v>1114</v>
      </c>
      <c r="D410" s="96" t="s">
        <v>614</v>
      </c>
      <c r="E410" s="27" t="s">
        <v>44</v>
      </c>
      <c r="F410" s="37" t="s">
        <v>45</v>
      </c>
      <c r="G410" s="33" t="s">
        <v>206</v>
      </c>
      <c r="H410" s="27" t="s">
        <v>523</v>
      </c>
      <c r="I410" s="27" t="s">
        <v>206</v>
      </c>
      <c r="J410" s="37" t="s">
        <v>523</v>
      </c>
      <c r="K410" s="39" t="s">
        <v>159</v>
      </c>
      <c r="L410" s="28" t="s">
        <v>173</v>
      </c>
      <c r="M410" s="28" t="s">
        <v>48</v>
      </c>
      <c r="N410" s="41" t="s">
        <v>48</v>
      </c>
      <c r="O410" s="39" t="s">
        <v>53</v>
      </c>
      <c r="P410" s="28"/>
      <c r="Q410" s="28"/>
      <c r="R410" s="41"/>
      <c r="S410" s="39"/>
      <c r="T410" s="41"/>
      <c r="U410" s="39"/>
      <c r="V410" s="41"/>
      <c r="W410" s="43" t="s">
        <v>711</v>
      </c>
      <c r="X410" s="33"/>
      <c r="Y410" s="27"/>
      <c r="Z410" s="29"/>
    </row>
    <row r="411" spans="2:26" ht="21" customHeight="1" x14ac:dyDescent="0.35">
      <c r="B411" s="39"/>
      <c r="C411" s="117" t="s">
        <v>1115</v>
      </c>
      <c r="D411" s="96" t="s">
        <v>615</v>
      </c>
      <c r="E411" s="27" t="s">
        <v>44</v>
      </c>
      <c r="F411" s="37" t="s">
        <v>45</v>
      </c>
      <c r="G411" s="33" t="s">
        <v>206</v>
      </c>
      <c r="H411" s="27" t="s">
        <v>523</v>
      </c>
      <c r="I411" s="27" t="s">
        <v>206</v>
      </c>
      <c r="J411" s="37" t="s">
        <v>523</v>
      </c>
      <c r="K411" s="39" t="s">
        <v>174</v>
      </c>
      <c r="L411" s="28" t="s">
        <v>175</v>
      </c>
      <c r="M411" s="28" t="s">
        <v>48</v>
      </c>
      <c r="N411" s="41" t="s">
        <v>78</v>
      </c>
      <c r="O411" s="39" t="s">
        <v>301</v>
      </c>
      <c r="P411" s="28"/>
      <c r="Q411" s="28"/>
      <c r="R411" s="41"/>
      <c r="S411" s="39"/>
      <c r="T411" s="41"/>
      <c r="U411" s="39"/>
      <c r="V411" s="41"/>
      <c r="W411" s="43" t="s">
        <v>711</v>
      </c>
      <c r="X411" s="33"/>
      <c r="Y411" s="27"/>
      <c r="Z411" s="29"/>
    </row>
    <row r="412" spans="2:26" ht="21" customHeight="1" x14ac:dyDescent="0.35">
      <c r="B412" s="39"/>
      <c r="C412" s="117" t="s">
        <v>1116</v>
      </c>
      <c r="D412" s="96" t="s">
        <v>616</v>
      </c>
      <c r="E412" s="27" t="s">
        <v>44</v>
      </c>
      <c r="F412" s="37" t="s">
        <v>45</v>
      </c>
      <c r="G412" s="33" t="s">
        <v>206</v>
      </c>
      <c r="H412" s="27" t="s">
        <v>523</v>
      </c>
      <c r="I412" s="27" t="s">
        <v>206</v>
      </c>
      <c r="J412" s="37" t="s">
        <v>523</v>
      </c>
      <c r="K412" s="39" t="s">
        <v>174</v>
      </c>
      <c r="L412" s="28" t="s">
        <v>176</v>
      </c>
      <c r="M412" s="28" t="s">
        <v>48</v>
      </c>
      <c r="N412" s="41" t="s">
        <v>78</v>
      </c>
      <c r="O412" s="39" t="s">
        <v>303</v>
      </c>
      <c r="P412" s="28"/>
      <c r="Q412" s="28"/>
      <c r="R412" s="41"/>
      <c r="S412" s="39"/>
      <c r="T412" s="41"/>
      <c r="U412" s="39"/>
      <c r="V412" s="41"/>
      <c r="W412" s="43" t="s">
        <v>711</v>
      </c>
      <c r="X412" s="33"/>
      <c r="Y412" s="27"/>
      <c r="Z412" s="29"/>
    </row>
    <row r="413" spans="2:26" ht="21" customHeight="1" x14ac:dyDescent="0.35">
      <c r="B413" s="39"/>
      <c r="C413" s="117" t="s">
        <v>1117</v>
      </c>
      <c r="D413" s="96" t="s">
        <v>617</v>
      </c>
      <c r="E413" s="27" t="s">
        <v>44</v>
      </c>
      <c r="F413" s="37" t="s">
        <v>45</v>
      </c>
      <c r="G413" s="33" t="s">
        <v>206</v>
      </c>
      <c r="H413" s="27" t="s">
        <v>523</v>
      </c>
      <c r="I413" s="27" t="s">
        <v>206</v>
      </c>
      <c r="J413" s="37" t="s">
        <v>523</v>
      </c>
      <c r="K413" s="39" t="s">
        <v>174</v>
      </c>
      <c r="L413" s="28" t="s">
        <v>177</v>
      </c>
      <c r="M413" s="28" t="s">
        <v>48</v>
      </c>
      <c r="N413" s="41" t="s">
        <v>78</v>
      </c>
      <c r="O413" s="39" t="s">
        <v>53</v>
      </c>
      <c r="P413" s="28"/>
      <c r="Q413" s="28"/>
      <c r="R413" s="41"/>
      <c r="S413" s="39"/>
      <c r="T413" s="41"/>
      <c r="U413" s="39"/>
      <c r="V413" s="41"/>
      <c r="W413" s="43" t="s">
        <v>711</v>
      </c>
      <c r="X413" s="33"/>
      <c r="Y413" s="27"/>
      <c r="Z413" s="29"/>
    </row>
    <row r="414" spans="2:26" ht="21" customHeight="1" x14ac:dyDescent="0.35">
      <c r="B414" s="39"/>
      <c r="C414" s="117" t="s">
        <v>1118</v>
      </c>
      <c r="D414" s="96" t="s">
        <v>618</v>
      </c>
      <c r="E414" s="27" t="s">
        <v>44</v>
      </c>
      <c r="F414" s="37" t="s">
        <v>45</v>
      </c>
      <c r="G414" s="33" t="s">
        <v>206</v>
      </c>
      <c r="H414" s="27" t="s">
        <v>523</v>
      </c>
      <c r="I414" s="27" t="s">
        <v>206</v>
      </c>
      <c r="J414" s="37" t="s">
        <v>523</v>
      </c>
      <c r="K414" s="39" t="s">
        <v>174</v>
      </c>
      <c r="L414" s="28" t="s">
        <v>178</v>
      </c>
      <c r="M414" s="28" t="s">
        <v>48</v>
      </c>
      <c r="N414" s="41" t="s">
        <v>78</v>
      </c>
      <c r="O414" s="39" t="s">
        <v>53</v>
      </c>
      <c r="P414" s="28"/>
      <c r="Q414" s="28"/>
      <c r="R414" s="41"/>
      <c r="S414" s="39"/>
      <c r="T414" s="41"/>
      <c r="U414" s="39"/>
      <c r="V414" s="41"/>
      <c r="W414" s="43" t="s">
        <v>711</v>
      </c>
      <c r="X414" s="33"/>
      <c r="Y414" s="27"/>
      <c r="Z414" s="29"/>
    </row>
    <row r="415" spans="2:26" ht="21" customHeight="1" x14ac:dyDescent="0.35">
      <c r="B415" s="39"/>
      <c r="C415" s="117" t="s">
        <v>1119</v>
      </c>
      <c r="D415" s="96" t="s">
        <v>619</v>
      </c>
      <c r="E415" s="27" t="s">
        <v>44</v>
      </c>
      <c r="F415" s="37" t="s">
        <v>45</v>
      </c>
      <c r="G415" s="33" t="s">
        <v>206</v>
      </c>
      <c r="H415" s="27" t="s">
        <v>523</v>
      </c>
      <c r="I415" s="27" t="s">
        <v>206</v>
      </c>
      <c r="J415" s="37" t="s">
        <v>523</v>
      </c>
      <c r="K415" s="39" t="s">
        <v>179</v>
      </c>
      <c r="L415" s="28" t="s">
        <v>180</v>
      </c>
      <c r="M415" s="28" t="s">
        <v>48</v>
      </c>
      <c r="N415" s="41" t="s">
        <v>181</v>
      </c>
      <c r="O415" s="39">
        <v>75</v>
      </c>
      <c r="P415" s="28"/>
      <c r="Q415" s="28"/>
      <c r="R415" s="41"/>
      <c r="S415" s="39"/>
      <c r="T415" s="41"/>
      <c r="U415" s="39"/>
      <c r="V415" s="41"/>
      <c r="W415" s="43" t="s">
        <v>711</v>
      </c>
      <c r="X415" s="33"/>
      <c r="Y415" s="27"/>
      <c r="Z415" s="29"/>
    </row>
    <row r="416" spans="2:26" ht="21" customHeight="1" x14ac:dyDescent="0.35">
      <c r="B416" s="39"/>
      <c r="C416" s="117" t="s">
        <v>1120</v>
      </c>
      <c r="D416" s="96" t="s">
        <v>620</v>
      </c>
      <c r="E416" s="27" t="s">
        <v>44</v>
      </c>
      <c r="F416" s="37" t="s">
        <v>45</v>
      </c>
      <c r="G416" s="33" t="s">
        <v>206</v>
      </c>
      <c r="H416" s="27" t="s">
        <v>523</v>
      </c>
      <c r="I416" s="27" t="s">
        <v>206</v>
      </c>
      <c r="J416" s="37" t="s">
        <v>523</v>
      </c>
      <c r="K416" s="39" t="s">
        <v>182</v>
      </c>
      <c r="L416" s="28" t="s">
        <v>183</v>
      </c>
      <c r="M416" s="28" t="s">
        <v>48</v>
      </c>
      <c r="N416" s="41" t="s">
        <v>161</v>
      </c>
      <c r="O416" s="39">
        <v>227</v>
      </c>
      <c r="P416" s="28"/>
      <c r="Q416" s="28"/>
      <c r="R416" s="41"/>
      <c r="S416" s="39"/>
      <c r="T416" s="41"/>
      <c r="U416" s="39"/>
      <c r="V416" s="41"/>
      <c r="W416" s="43" t="s">
        <v>711</v>
      </c>
      <c r="X416" s="33"/>
      <c r="Y416" s="27"/>
      <c r="Z416" s="29"/>
    </row>
    <row r="417" spans="2:26" ht="21" customHeight="1" x14ac:dyDescent="0.35">
      <c r="B417" s="39"/>
      <c r="C417" s="117" t="s">
        <v>1121</v>
      </c>
      <c r="D417" s="96" t="s">
        <v>621</v>
      </c>
      <c r="E417" s="27" t="s">
        <v>44</v>
      </c>
      <c r="F417" s="37" t="s">
        <v>45</v>
      </c>
      <c r="G417" s="33" t="s">
        <v>206</v>
      </c>
      <c r="H417" s="27" t="s">
        <v>523</v>
      </c>
      <c r="I417" s="27" t="s">
        <v>206</v>
      </c>
      <c r="J417" s="37" t="s">
        <v>523</v>
      </c>
      <c r="K417" s="39" t="s">
        <v>184</v>
      </c>
      <c r="L417" s="28" t="s">
        <v>185</v>
      </c>
      <c r="M417" s="28" t="s">
        <v>48</v>
      </c>
      <c r="N417" s="41" t="s">
        <v>186</v>
      </c>
      <c r="O417" s="39">
        <v>100</v>
      </c>
      <c r="P417" s="28"/>
      <c r="Q417" s="28"/>
      <c r="R417" s="41"/>
      <c r="S417" s="39"/>
      <c r="T417" s="41"/>
      <c r="U417" s="39"/>
      <c r="V417" s="41"/>
      <c r="W417" s="43" t="s">
        <v>711</v>
      </c>
      <c r="X417" s="33"/>
      <c r="Y417" s="27"/>
      <c r="Z417" s="29"/>
    </row>
    <row r="418" spans="2:26" ht="21" customHeight="1" x14ac:dyDescent="0.35">
      <c r="B418" s="39"/>
      <c r="C418" s="117" t="s">
        <v>1122</v>
      </c>
      <c r="D418" s="96" t="s">
        <v>622</v>
      </c>
      <c r="E418" s="27" t="s">
        <v>44</v>
      </c>
      <c r="F418" s="37" t="s">
        <v>45</v>
      </c>
      <c r="G418" s="33" t="s">
        <v>206</v>
      </c>
      <c r="H418" s="27" t="s">
        <v>523</v>
      </c>
      <c r="I418" s="27" t="s">
        <v>206</v>
      </c>
      <c r="J418" s="37" t="s">
        <v>523</v>
      </c>
      <c r="K418" s="39" t="s">
        <v>184</v>
      </c>
      <c r="L418" s="28" t="s">
        <v>187</v>
      </c>
      <c r="M418" s="28" t="s">
        <v>48</v>
      </c>
      <c r="N418" s="41" t="s">
        <v>188</v>
      </c>
      <c r="O418" s="39">
        <v>1</v>
      </c>
      <c r="P418" s="28"/>
      <c r="Q418" s="28"/>
      <c r="R418" s="41"/>
      <c r="S418" s="39"/>
      <c r="T418" s="41"/>
      <c r="U418" s="39"/>
      <c r="V418" s="41"/>
      <c r="W418" s="43" t="s">
        <v>711</v>
      </c>
      <c r="X418" s="33"/>
      <c r="Y418" s="27"/>
      <c r="Z418" s="29"/>
    </row>
    <row r="419" spans="2:26" ht="21" customHeight="1" x14ac:dyDescent="0.35">
      <c r="B419" s="39"/>
      <c r="C419" s="117" t="s">
        <v>1123</v>
      </c>
      <c r="D419" s="96" t="s">
        <v>623</v>
      </c>
      <c r="E419" s="27" t="s">
        <v>44</v>
      </c>
      <c r="F419" s="37" t="s">
        <v>45</v>
      </c>
      <c r="G419" s="33" t="s">
        <v>206</v>
      </c>
      <c r="H419" s="27" t="s">
        <v>523</v>
      </c>
      <c r="I419" s="27" t="s">
        <v>206</v>
      </c>
      <c r="J419" s="37" t="s">
        <v>523</v>
      </c>
      <c r="K419" s="39" t="s">
        <v>184</v>
      </c>
      <c r="L419" s="28" t="s">
        <v>189</v>
      </c>
      <c r="M419" s="28" t="s">
        <v>48</v>
      </c>
      <c r="N419" s="41" t="s">
        <v>190</v>
      </c>
      <c r="O419" s="39">
        <v>72</v>
      </c>
      <c r="P419" s="28"/>
      <c r="Q419" s="28"/>
      <c r="R419" s="41"/>
      <c r="S419" s="39"/>
      <c r="T419" s="41"/>
      <c r="U419" s="39"/>
      <c r="V419" s="41"/>
      <c r="W419" s="43" t="s">
        <v>711</v>
      </c>
      <c r="X419" s="33"/>
      <c r="Y419" s="27"/>
      <c r="Z419" s="29"/>
    </row>
    <row r="420" spans="2:26" ht="21" customHeight="1" x14ac:dyDescent="0.35">
      <c r="B420" s="39"/>
      <c r="C420" s="117" t="s">
        <v>1124</v>
      </c>
      <c r="D420" s="96" t="s">
        <v>624</v>
      </c>
      <c r="E420" s="27" t="s">
        <v>44</v>
      </c>
      <c r="F420" s="37" t="s">
        <v>45</v>
      </c>
      <c r="G420" s="33" t="s">
        <v>206</v>
      </c>
      <c r="H420" s="27" t="s">
        <v>523</v>
      </c>
      <c r="I420" s="27" t="s">
        <v>206</v>
      </c>
      <c r="J420" s="37" t="s">
        <v>523</v>
      </c>
      <c r="K420" s="39" t="s">
        <v>184</v>
      </c>
      <c r="L420" s="28" t="s">
        <v>191</v>
      </c>
      <c r="M420" s="28" t="s">
        <v>48</v>
      </c>
      <c r="N420" s="41" t="s">
        <v>192</v>
      </c>
      <c r="O420" s="39" t="s">
        <v>193</v>
      </c>
      <c r="P420" s="28"/>
      <c r="Q420" s="28"/>
      <c r="R420" s="41"/>
      <c r="S420" s="39"/>
      <c r="T420" s="41"/>
      <c r="U420" s="39"/>
      <c r="V420" s="41"/>
      <c r="W420" s="43" t="s">
        <v>711</v>
      </c>
      <c r="X420" s="33"/>
      <c r="Y420" s="27"/>
      <c r="Z420" s="29"/>
    </row>
    <row r="421" spans="2:26" ht="21" customHeight="1" x14ac:dyDescent="0.35">
      <c r="B421" s="39"/>
      <c r="C421" s="117" t="s">
        <v>1125</v>
      </c>
      <c r="D421" s="96" t="s">
        <v>625</v>
      </c>
      <c r="E421" s="27" t="s">
        <v>44</v>
      </c>
      <c r="F421" s="37" t="s">
        <v>45</v>
      </c>
      <c r="G421" s="33" t="s">
        <v>206</v>
      </c>
      <c r="H421" s="27" t="s">
        <v>523</v>
      </c>
      <c r="I421" s="27" t="s">
        <v>206</v>
      </c>
      <c r="J421" s="37" t="s">
        <v>523</v>
      </c>
      <c r="K421" s="39" t="s">
        <v>184</v>
      </c>
      <c r="L421" s="28" t="s">
        <v>194</v>
      </c>
      <c r="M421" s="28" t="s">
        <v>48</v>
      </c>
      <c r="N421" s="41" t="s">
        <v>192</v>
      </c>
      <c r="O421" s="39" t="s">
        <v>108</v>
      </c>
      <c r="P421" s="28"/>
      <c r="Q421" s="28"/>
      <c r="R421" s="41"/>
      <c r="S421" s="39"/>
      <c r="T421" s="41"/>
      <c r="U421" s="39"/>
      <c r="V421" s="41"/>
      <c r="W421" s="43" t="s">
        <v>711</v>
      </c>
      <c r="X421" s="33"/>
      <c r="Y421" s="27"/>
      <c r="Z421" s="29"/>
    </row>
    <row r="422" spans="2:26" ht="21" customHeight="1" x14ac:dyDescent="0.35">
      <c r="B422" s="39"/>
      <c r="C422" s="117" t="s">
        <v>1126</v>
      </c>
      <c r="D422" s="96" t="s">
        <v>626</v>
      </c>
      <c r="E422" s="27" t="s">
        <v>44</v>
      </c>
      <c r="F422" s="37" t="s">
        <v>45</v>
      </c>
      <c r="G422" s="33" t="s">
        <v>206</v>
      </c>
      <c r="H422" s="27" t="s">
        <v>207</v>
      </c>
      <c r="I422" s="27" t="s">
        <v>206</v>
      </c>
      <c r="J422" s="37" t="s">
        <v>207</v>
      </c>
      <c r="K422" s="39" t="s">
        <v>96</v>
      </c>
      <c r="L422" s="28" t="s">
        <v>627</v>
      </c>
      <c r="M422" s="28" t="s">
        <v>48</v>
      </c>
      <c r="N422" s="41" t="s">
        <v>628</v>
      </c>
      <c r="O422" s="39"/>
      <c r="P422" s="28"/>
      <c r="Q422" s="28"/>
      <c r="R422" s="41"/>
      <c r="S422" s="39"/>
      <c r="T422" s="41" t="s">
        <v>629</v>
      </c>
      <c r="U422" s="39"/>
      <c r="V422" s="41"/>
      <c r="W422" s="43" t="s">
        <v>711</v>
      </c>
      <c r="X422" s="33"/>
      <c r="Y422" s="27"/>
      <c r="Z422" s="29"/>
    </row>
    <row r="423" spans="2:26" ht="21" customHeight="1" x14ac:dyDescent="0.35">
      <c r="B423" s="39"/>
      <c r="C423" s="117" t="s">
        <v>1127</v>
      </c>
      <c r="D423" s="96" t="s">
        <v>630</v>
      </c>
      <c r="E423" s="27" t="s">
        <v>44</v>
      </c>
      <c r="F423" s="37" t="s">
        <v>45</v>
      </c>
      <c r="G423" s="33" t="s">
        <v>206</v>
      </c>
      <c r="H423" s="27" t="s">
        <v>207</v>
      </c>
      <c r="I423" s="27" t="s">
        <v>206</v>
      </c>
      <c r="J423" s="37" t="s">
        <v>207</v>
      </c>
      <c r="K423" s="39" t="s">
        <v>159</v>
      </c>
      <c r="L423" s="28" t="s">
        <v>631</v>
      </c>
      <c r="M423" s="28" t="s">
        <v>48</v>
      </c>
      <c r="N423" s="41" t="s">
        <v>628</v>
      </c>
      <c r="O423" s="39"/>
      <c r="P423" s="28"/>
      <c r="Q423" s="28"/>
      <c r="R423" s="41"/>
      <c r="S423" s="39"/>
      <c r="T423" s="41" t="s">
        <v>629</v>
      </c>
      <c r="U423" s="39"/>
      <c r="V423" s="41"/>
      <c r="W423" s="43" t="s">
        <v>711</v>
      </c>
      <c r="X423" s="33"/>
      <c r="Y423" s="27"/>
      <c r="Z423" s="29"/>
    </row>
    <row r="424" spans="2:26" ht="21" customHeight="1" x14ac:dyDescent="0.35">
      <c r="B424" s="39"/>
      <c r="C424" s="117" t="s">
        <v>1128</v>
      </c>
      <c r="D424" s="96" t="s">
        <v>632</v>
      </c>
      <c r="E424" s="27" t="s">
        <v>44</v>
      </c>
      <c r="F424" s="37" t="s">
        <v>45</v>
      </c>
      <c r="G424" s="33" t="s">
        <v>206</v>
      </c>
      <c r="H424" s="27" t="s">
        <v>207</v>
      </c>
      <c r="I424" s="27" t="s">
        <v>206</v>
      </c>
      <c r="J424" s="37" t="s">
        <v>207</v>
      </c>
      <c r="K424" s="39" t="s">
        <v>159</v>
      </c>
      <c r="L424" s="28" t="s">
        <v>633</v>
      </c>
      <c r="M424" s="28" t="s">
        <v>48</v>
      </c>
      <c r="N424" s="41" t="s">
        <v>628</v>
      </c>
      <c r="O424" s="39"/>
      <c r="P424" s="28"/>
      <c r="Q424" s="28"/>
      <c r="R424" s="41"/>
      <c r="S424" s="39"/>
      <c r="T424" s="41" t="s">
        <v>629</v>
      </c>
      <c r="U424" s="39"/>
      <c r="V424" s="41"/>
      <c r="W424" s="43" t="s">
        <v>711</v>
      </c>
      <c r="X424" s="33"/>
      <c r="Y424" s="27"/>
      <c r="Z424" s="29"/>
    </row>
    <row r="425" spans="2:26" ht="21" customHeight="1" x14ac:dyDescent="0.35">
      <c r="B425" s="39"/>
      <c r="C425" s="117" t="s">
        <v>1129</v>
      </c>
      <c r="D425" s="96" t="s">
        <v>634</v>
      </c>
      <c r="E425" s="27" t="s">
        <v>44</v>
      </c>
      <c r="F425" s="37" t="s">
        <v>45</v>
      </c>
      <c r="G425" s="33" t="s">
        <v>206</v>
      </c>
      <c r="H425" s="27" t="s">
        <v>207</v>
      </c>
      <c r="I425" s="27" t="s">
        <v>206</v>
      </c>
      <c r="J425" s="37" t="s">
        <v>207</v>
      </c>
      <c r="K425" s="39" t="s">
        <v>159</v>
      </c>
      <c r="L425" s="28" t="s">
        <v>635</v>
      </c>
      <c r="M425" s="28" t="s">
        <v>48</v>
      </c>
      <c r="N425" s="41" t="s">
        <v>628</v>
      </c>
      <c r="O425" s="39"/>
      <c r="P425" s="28"/>
      <c r="Q425" s="28"/>
      <c r="R425" s="41"/>
      <c r="S425" s="39"/>
      <c r="T425" s="41" t="s">
        <v>629</v>
      </c>
      <c r="U425" s="39"/>
      <c r="V425" s="41"/>
      <c r="W425" s="43" t="s">
        <v>711</v>
      </c>
      <c r="X425" s="33"/>
      <c r="Y425" s="27"/>
      <c r="Z425" s="29"/>
    </row>
    <row r="426" spans="2:26" ht="21" customHeight="1" x14ac:dyDescent="0.35">
      <c r="B426" s="39"/>
      <c r="C426" s="117" t="s">
        <v>1130</v>
      </c>
      <c r="D426" s="96" t="s">
        <v>636</v>
      </c>
      <c r="E426" s="27" t="s">
        <v>44</v>
      </c>
      <c r="F426" s="37" t="s">
        <v>45</v>
      </c>
      <c r="G426" s="33" t="s">
        <v>206</v>
      </c>
      <c r="H426" s="27" t="s">
        <v>207</v>
      </c>
      <c r="I426" s="27" t="s">
        <v>206</v>
      </c>
      <c r="J426" s="37" t="s">
        <v>207</v>
      </c>
      <c r="K426" s="39" t="s">
        <v>159</v>
      </c>
      <c r="L426" s="28" t="s">
        <v>637</v>
      </c>
      <c r="M426" s="28" t="s">
        <v>48</v>
      </c>
      <c r="N426" s="41" t="s">
        <v>628</v>
      </c>
      <c r="O426" s="39"/>
      <c r="P426" s="28"/>
      <c r="Q426" s="28"/>
      <c r="R426" s="41"/>
      <c r="S426" s="39"/>
      <c r="T426" s="41" t="s">
        <v>629</v>
      </c>
      <c r="U426" s="39"/>
      <c r="V426" s="41"/>
      <c r="W426" s="43" t="s">
        <v>711</v>
      </c>
      <c r="X426" s="33"/>
      <c r="Y426" s="27"/>
      <c r="Z426" s="29"/>
    </row>
    <row r="427" spans="2:26" ht="21" customHeight="1" x14ac:dyDescent="0.35">
      <c r="B427" s="114"/>
      <c r="C427" s="117" t="s">
        <v>1131</v>
      </c>
      <c r="D427" s="96" t="s">
        <v>638</v>
      </c>
      <c r="E427" s="27" t="s">
        <v>44</v>
      </c>
      <c r="F427" s="37" t="s">
        <v>45</v>
      </c>
      <c r="G427" s="33" t="s">
        <v>206</v>
      </c>
      <c r="H427" s="27" t="s">
        <v>207</v>
      </c>
      <c r="I427" s="27" t="s">
        <v>206</v>
      </c>
      <c r="J427" s="37" t="s">
        <v>207</v>
      </c>
      <c r="K427" s="39" t="s">
        <v>159</v>
      </c>
      <c r="L427" s="28" t="s">
        <v>639</v>
      </c>
      <c r="M427" s="28" t="s">
        <v>48</v>
      </c>
      <c r="N427" s="41" t="s">
        <v>628</v>
      </c>
      <c r="O427" s="39"/>
      <c r="P427" s="28"/>
      <c r="Q427" s="28"/>
      <c r="R427" s="41"/>
      <c r="S427" s="39"/>
      <c r="T427" s="41" t="s">
        <v>629</v>
      </c>
      <c r="U427" s="39"/>
      <c r="V427" s="41"/>
      <c r="W427" s="43" t="s">
        <v>711</v>
      </c>
      <c r="X427" s="33"/>
      <c r="Y427" s="27"/>
      <c r="Z427" s="29"/>
    </row>
    <row r="428" spans="2:26" ht="21" customHeight="1" x14ac:dyDescent="0.35">
      <c r="B428" s="114"/>
      <c r="C428" s="117" t="s">
        <v>1132</v>
      </c>
      <c r="D428" s="96" t="s">
        <v>640</v>
      </c>
      <c r="E428" s="27" t="s">
        <v>44</v>
      </c>
      <c r="F428" s="37" t="s">
        <v>45</v>
      </c>
      <c r="G428" s="33" t="s">
        <v>206</v>
      </c>
      <c r="H428" s="27" t="s">
        <v>207</v>
      </c>
      <c r="I428" s="27" t="s">
        <v>206</v>
      </c>
      <c r="J428" s="37" t="s">
        <v>207</v>
      </c>
      <c r="K428" s="39" t="s">
        <v>159</v>
      </c>
      <c r="L428" s="28" t="s">
        <v>641</v>
      </c>
      <c r="M428" s="28" t="s">
        <v>48</v>
      </c>
      <c r="N428" s="41" t="s">
        <v>628</v>
      </c>
      <c r="O428" s="39"/>
      <c r="P428" s="28"/>
      <c r="Q428" s="28"/>
      <c r="R428" s="41"/>
      <c r="S428" s="39"/>
      <c r="T428" s="41" t="s">
        <v>629</v>
      </c>
      <c r="U428" s="39"/>
      <c r="V428" s="41"/>
      <c r="W428" s="43" t="s">
        <v>711</v>
      </c>
      <c r="X428" s="33"/>
      <c r="Y428" s="27"/>
      <c r="Z428" s="29"/>
    </row>
    <row r="429" spans="2:26" ht="21" customHeight="1" x14ac:dyDescent="0.35">
      <c r="B429" s="114"/>
      <c r="C429" s="117" t="s">
        <v>1133</v>
      </c>
      <c r="D429" s="96" t="s">
        <v>642</v>
      </c>
      <c r="E429" s="27" t="s">
        <v>44</v>
      </c>
      <c r="F429" s="37" t="s">
        <v>45</v>
      </c>
      <c r="G429" s="33" t="s">
        <v>206</v>
      </c>
      <c r="H429" s="27" t="s">
        <v>207</v>
      </c>
      <c r="I429" s="27" t="s">
        <v>206</v>
      </c>
      <c r="J429" s="37" t="s">
        <v>207</v>
      </c>
      <c r="K429" s="39" t="s">
        <v>643</v>
      </c>
      <c r="L429" s="28" t="s">
        <v>644</v>
      </c>
      <c r="M429" s="28" t="s">
        <v>48</v>
      </c>
      <c r="N429" s="41" t="s">
        <v>628</v>
      </c>
      <c r="O429" s="39"/>
      <c r="P429" s="28"/>
      <c r="Q429" s="28"/>
      <c r="R429" s="41"/>
      <c r="S429" s="39"/>
      <c r="T429" s="41" t="s">
        <v>629</v>
      </c>
      <c r="U429" s="39"/>
      <c r="V429" s="41"/>
      <c r="W429" s="43" t="s">
        <v>711</v>
      </c>
      <c r="X429" s="33"/>
      <c r="Y429" s="27"/>
      <c r="Z429" s="29"/>
    </row>
    <row r="430" spans="2:26" ht="21" customHeight="1" x14ac:dyDescent="0.35">
      <c r="B430" s="114"/>
      <c r="C430" s="117" t="s">
        <v>1134</v>
      </c>
      <c r="D430" s="96" t="s">
        <v>645</v>
      </c>
      <c r="E430" s="27" t="s">
        <v>44</v>
      </c>
      <c r="F430" s="37" t="s">
        <v>45</v>
      </c>
      <c r="G430" s="33" t="s">
        <v>206</v>
      </c>
      <c r="H430" s="27" t="s">
        <v>207</v>
      </c>
      <c r="I430" s="27" t="s">
        <v>206</v>
      </c>
      <c r="J430" s="37" t="s">
        <v>207</v>
      </c>
      <c r="K430" s="39" t="s">
        <v>646</v>
      </c>
      <c r="L430" s="28" t="s">
        <v>647</v>
      </c>
      <c r="M430" s="28" t="s">
        <v>48</v>
      </c>
      <c r="N430" s="41" t="s">
        <v>628</v>
      </c>
      <c r="O430" s="39"/>
      <c r="P430" s="28"/>
      <c r="Q430" s="28"/>
      <c r="R430" s="41"/>
      <c r="S430" s="39"/>
      <c r="T430" s="41" t="s">
        <v>629</v>
      </c>
      <c r="U430" s="39"/>
      <c r="V430" s="41"/>
      <c r="W430" s="43" t="s">
        <v>711</v>
      </c>
      <c r="X430" s="33"/>
      <c r="Y430" s="27"/>
      <c r="Z430" s="29"/>
    </row>
    <row r="431" spans="2:26" ht="21" customHeight="1" x14ac:dyDescent="0.35">
      <c r="B431" s="114"/>
      <c r="C431" s="117" t="s">
        <v>1135</v>
      </c>
      <c r="D431" s="96" t="s">
        <v>648</v>
      </c>
      <c r="E431" s="27" t="s">
        <v>44</v>
      </c>
      <c r="F431" s="37" t="s">
        <v>45</v>
      </c>
      <c r="G431" s="33" t="s">
        <v>206</v>
      </c>
      <c r="H431" s="27" t="s">
        <v>207</v>
      </c>
      <c r="I431" s="27" t="s">
        <v>206</v>
      </c>
      <c r="J431" s="37" t="s">
        <v>207</v>
      </c>
      <c r="K431" s="39" t="s">
        <v>184</v>
      </c>
      <c r="L431" s="28" t="s">
        <v>649</v>
      </c>
      <c r="M431" s="28" t="s">
        <v>48</v>
      </c>
      <c r="N431" s="41" t="s">
        <v>628</v>
      </c>
      <c r="O431" s="39"/>
      <c r="P431" s="28"/>
      <c r="Q431" s="28"/>
      <c r="R431" s="41"/>
      <c r="S431" s="39"/>
      <c r="T431" s="41" t="s">
        <v>629</v>
      </c>
      <c r="U431" s="39"/>
      <c r="V431" s="41"/>
      <c r="W431" s="43" t="s">
        <v>711</v>
      </c>
      <c r="X431" s="33"/>
      <c r="Y431" s="27"/>
      <c r="Z431" s="29"/>
    </row>
    <row r="432" spans="2:26" ht="21" customHeight="1" x14ac:dyDescent="0.35">
      <c r="B432" s="114"/>
      <c r="C432" s="117" t="s">
        <v>1136</v>
      </c>
      <c r="D432" s="96" t="s">
        <v>650</v>
      </c>
      <c r="E432" s="27" t="s">
        <v>44</v>
      </c>
      <c r="F432" s="37" t="s">
        <v>45</v>
      </c>
      <c r="G432" s="33" t="s">
        <v>206</v>
      </c>
      <c r="H432" s="27" t="s">
        <v>207</v>
      </c>
      <c r="I432" s="27" t="s">
        <v>206</v>
      </c>
      <c r="J432" s="37" t="s">
        <v>207</v>
      </c>
      <c r="K432" s="39" t="s">
        <v>184</v>
      </c>
      <c r="L432" s="28" t="s">
        <v>651</v>
      </c>
      <c r="M432" s="28" t="s">
        <v>48</v>
      </c>
      <c r="N432" s="41" t="s">
        <v>628</v>
      </c>
      <c r="O432" s="39"/>
      <c r="P432" s="28"/>
      <c r="Q432" s="28"/>
      <c r="R432" s="41"/>
      <c r="S432" s="39"/>
      <c r="T432" s="41" t="s">
        <v>629</v>
      </c>
      <c r="U432" s="39"/>
      <c r="V432" s="41"/>
      <c r="W432" s="43" t="s">
        <v>711</v>
      </c>
      <c r="X432" s="33"/>
      <c r="Y432" s="27"/>
      <c r="Z432" s="29"/>
    </row>
    <row r="433" spans="2:26" ht="21" customHeight="1" x14ac:dyDescent="0.35">
      <c r="B433" s="114"/>
      <c r="C433" s="117" t="s">
        <v>1137</v>
      </c>
      <c r="D433" s="96" t="s">
        <v>652</v>
      </c>
      <c r="E433" s="27" t="s">
        <v>44</v>
      </c>
      <c r="F433" s="37" t="s">
        <v>45</v>
      </c>
      <c r="G433" s="33" t="s">
        <v>206</v>
      </c>
      <c r="H433" s="27" t="s">
        <v>207</v>
      </c>
      <c r="I433" s="27" t="s">
        <v>206</v>
      </c>
      <c r="J433" s="37" t="s">
        <v>207</v>
      </c>
      <c r="K433" s="39" t="s">
        <v>184</v>
      </c>
      <c r="L433" s="28" t="s">
        <v>653</v>
      </c>
      <c r="M433" s="28" t="s">
        <v>48</v>
      </c>
      <c r="N433" s="41" t="s">
        <v>628</v>
      </c>
      <c r="O433" s="39"/>
      <c r="P433" s="28"/>
      <c r="Q433" s="28"/>
      <c r="R433" s="41"/>
      <c r="S433" s="39"/>
      <c r="T433" s="41" t="s">
        <v>629</v>
      </c>
      <c r="U433" s="39"/>
      <c r="V433" s="41"/>
      <c r="W433" s="43" t="s">
        <v>711</v>
      </c>
      <c r="X433" s="33"/>
      <c r="Y433" s="27"/>
      <c r="Z433" s="29"/>
    </row>
    <row r="434" spans="2:26" ht="21" customHeight="1" x14ac:dyDescent="0.35">
      <c r="B434" s="114"/>
      <c r="C434" s="117" t="s">
        <v>1138</v>
      </c>
      <c r="D434" s="96" t="s">
        <v>654</v>
      </c>
      <c r="E434" s="27" t="s">
        <v>44</v>
      </c>
      <c r="F434" s="37" t="s">
        <v>45</v>
      </c>
      <c r="G434" s="33" t="s">
        <v>206</v>
      </c>
      <c r="H434" s="27" t="s">
        <v>207</v>
      </c>
      <c r="I434" s="27" t="s">
        <v>206</v>
      </c>
      <c r="J434" s="37" t="s">
        <v>207</v>
      </c>
      <c r="K434" s="39" t="s">
        <v>184</v>
      </c>
      <c r="L434" s="28" t="s">
        <v>655</v>
      </c>
      <c r="M434" s="28" t="s">
        <v>48</v>
      </c>
      <c r="N434" s="41" t="s">
        <v>628</v>
      </c>
      <c r="O434" s="39"/>
      <c r="P434" s="28"/>
      <c r="Q434" s="28"/>
      <c r="R434" s="41"/>
      <c r="S434" s="39"/>
      <c r="T434" s="41" t="s">
        <v>629</v>
      </c>
      <c r="U434" s="39"/>
      <c r="V434" s="41"/>
      <c r="W434" s="43" t="s">
        <v>711</v>
      </c>
      <c r="X434" s="33"/>
      <c r="Y434" s="27"/>
      <c r="Z434" s="29"/>
    </row>
    <row r="435" spans="2:26" ht="21" customHeight="1" x14ac:dyDescent="0.35">
      <c r="B435" s="114"/>
      <c r="C435" s="117" t="s">
        <v>1139</v>
      </c>
      <c r="D435" s="96" t="s">
        <v>656</v>
      </c>
      <c r="E435" s="27" t="s">
        <v>44</v>
      </c>
      <c r="F435" s="37" t="s">
        <v>45</v>
      </c>
      <c r="G435" s="33" t="s">
        <v>206</v>
      </c>
      <c r="H435" s="27" t="s">
        <v>207</v>
      </c>
      <c r="I435" s="27" t="s">
        <v>206</v>
      </c>
      <c r="J435" s="37" t="s">
        <v>207</v>
      </c>
      <c r="K435" s="39" t="s">
        <v>184</v>
      </c>
      <c r="L435" s="28" t="s">
        <v>657</v>
      </c>
      <c r="M435" s="28" t="s">
        <v>48</v>
      </c>
      <c r="N435" s="41" t="s">
        <v>628</v>
      </c>
      <c r="O435" s="39"/>
      <c r="P435" s="28"/>
      <c r="Q435" s="28"/>
      <c r="R435" s="41"/>
      <c r="S435" s="39"/>
      <c r="T435" s="41" t="s">
        <v>629</v>
      </c>
      <c r="U435" s="39"/>
      <c r="V435" s="41"/>
      <c r="W435" s="43" t="s">
        <v>711</v>
      </c>
      <c r="X435" s="33"/>
      <c r="Y435" s="27"/>
      <c r="Z435" s="29"/>
    </row>
    <row r="436" spans="2:26" ht="21" customHeight="1" x14ac:dyDescent="0.35">
      <c r="B436" s="114"/>
      <c r="C436" s="117" t="s">
        <v>1140</v>
      </c>
      <c r="D436" s="96" t="s">
        <v>658</v>
      </c>
      <c r="E436" s="27" t="s">
        <v>44</v>
      </c>
      <c r="F436" s="37" t="s">
        <v>45</v>
      </c>
      <c r="G436" s="33" t="s">
        <v>206</v>
      </c>
      <c r="H436" s="27" t="s">
        <v>207</v>
      </c>
      <c r="I436" s="27" t="s">
        <v>206</v>
      </c>
      <c r="J436" s="37" t="s">
        <v>207</v>
      </c>
      <c r="K436" s="39" t="s">
        <v>659</v>
      </c>
      <c r="L436" s="28" t="s">
        <v>660</v>
      </c>
      <c r="M436" s="28" t="s">
        <v>48</v>
      </c>
      <c r="N436" s="41" t="s">
        <v>628</v>
      </c>
      <c r="O436" s="39"/>
      <c r="P436" s="28"/>
      <c r="Q436" s="28"/>
      <c r="R436" s="41"/>
      <c r="S436" s="39"/>
      <c r="T436" s="41" t="s">
        <v>629</v>
      </c>
      <c r="U436" s="39"/>
      <c r="V436" s="41"/>
      <c r="W436" s="43" t="s">
        <v>711</v>
      </c>
      <c r="X436" s="33"/>
      <c r="Y436" s="27"/>
      <c r="Z436" s="29"/>
    </row>
    <row r="437" spans="2:26" ht="21" customHeight="1" x14ac:dyDescent="0.35">
      <c r="B437" s="114"/>
      <c r="C437" s="117" t="s">
        <v>1141</v>
      </c>
      <c r="D437" s="96" t="s">
        <v>661</v>
      </c>
      <c r="E437" s="27" t="s">
        <v>44</v>
      </c>
      <c r="F437" s="37" t="s">
        <v>45</v>
      </c>
      <c r="G437" s="33" t="s">
        <v>206</v>
      </c>
      <c r="H437" s="27" t="s">
        <v>207</v>
      </c>
      <c r="I437" s="27" t="s">
        <v>206</v>
      </c>
      <c r="J437" s="37" t="s">
        <v>207</v>
      </c>
      <c r="K437" s="39" t="s">
        <v>159</v>
      </c>
      <c r="L437" s="28" t="s">
        <v>662</v>
      </c>
      <c r="M437" s="28" t="s">
        <v>48</v>
      </c>
      <c r="N437" s="41" t="s">
        <v>628</v>
      </c>
      <c r="O437" s="39"/>
      <c r="P437" s="28"/>
      <c r="Q437" s="28"/>
      <c r="R437" s="41"/>
      <c r="S437" s="39"/>
      <c r="T437" s="41" t="s">
        <v>629</v>
      </c>
      <c r="U437" s="39"/>
      <c r="V437" s="41"/>
      <c r="W437" s="43" t="s">
        <v>711</v>
      </c>
      <c r="X437" s="33"/>
      <c r="Y437" s="27"/>
      <c r="Z437" s="29"/>
    </row>
    <row r="438" spans="2:26" ht="21" customHeight="1" x14ac:dyDescent="0.35">
      <c r="B438" s="114"/>
      <c r="C438" s="117" t="s">
        <v>1142</v>
      </c>
      <c r="D438" s="96" t="s">
        <v>663</v>
      </c>
      <c r="E438" s="27" t="s">
        <v>44</v>
      </c>
      <c r="F438" s="37" t="s">
        <v>45</v>
      </c>
      <c r="G438" s="33" t="s">
        <v>206</v>
      </c>
      <c r="H438" s="27" t="s">
        <v>314</v>
      </c>
      <c r="I438" s="27" t="s">
        <v>206</v>
      </c>
      <c r="J438" s="37" t="s">
        <v>314</v>
      </c>
      <c r="K438" s="39" t="s">
        <v>96</v>
      </c>
      <c r="L438" s="28" t="s">
        <v>627</v>
      </c>
      <c r="M438" s="28" t="s">
        <v>48</v>
      </c>
      <c r="N438" s="41" t="s">
        <v>628</v>
      </c>
      <c r="O438" s="39"/>
      <c r="P438" s="28"/>
      <c r="Q438" s="28"/>
      <c r="R438" s="41"/>
      <c r="S438" s="39"/>
      <c r="T438" s="41" t="s">
        <v>629</v>
      </c>
      <c r="U438" s="39"/>
      <c r="V438" s="41"/>
      <c r="W438" s="43" t="s">
        <v>711</v>
      </c>
      <c r="X438" s="33"/>
      <c r="Y438" s="27"/>
      <c r="Z438" s="29"/>
    </row>
    <row r="439" spans="2:26" ht="21" customHeight="1" x14ac:dyDescent="0.35">
      <c r="B439" s="114"/>
      <c r="C439" s="117" t="s">
        <v>1143</v>
      </c>
      <c r="D439" s="96" t="s">
        <v>664</v>
      </c>
      <c r="E439" s="27" t="s">
        <v>44</v>
      </c>
      <c r="F439" s="37" t="s">
        <v>45</v>
      </c>
      <c r="G439" s="33" t="s">
        <v>206</v>
      </c>
      <c r="H439" s="27" t="s">
        <v>314</v>
      </c>
      <c r="I439" s="27" t="s">
        <v>206</v>
      </c>
      <c r="J439" s="37" t="s">
        <v>314</v>
      </c>
      <c r="K439" s="39" t="s">
        <v>159</v>
      </c>
      <c r="L439" s="28" t="s">
        <v>631</v>
      </c>
      <c r="M439" s="28" t="s">
        <v>48</v>
      </c>
      <c r="N439" s="41" t="s">
        <v>628</v>
      </c>
      <c r="O439" s="39"/>
      <c r="P439" s="28"/>
      <c r="Q439" s="28"/>
      <c r="R439" s="41"/>
      <c r="S439" s="39"/>
      <c r="T439" s="41" t="s">
        <v>629</v>
      </c>
      <c r="U439" s="39"/>
      <c r="V439" s="41"/>
      <c r="W439" s="43" t="s">
        <v>711</v>
      </c>
      <c r="X439" s="33"/>
      <c r="Y439" s="27"/>
      <c r="Z439" s="29"/>
    </row>
    <row r="440" spans="2:26" ht="21" customHeight="1" x14ac:dyDescent="0.35">
      <c r="B440" s="114"/>
      <c r="C440" s="117" t="s">
        <v>1144</v>
      </c>
      <c r="D440" s="96" t="s">
        <v>665</v>
      </c>
      <c r="E440" s="27" t="s">
        <v>44</v>
      </c>
      <c r="F440" s="37" t="s">
        <v>45</v>
      </c>
      <c r="G440" s="33" t="s">
        <v>206</v>
      </c>
      <c r="H440" s="27" t="s">
        <v>314</v>
      </c>
      <c r="I440" s="27" t="s">
        <v>206</v>
      </c>
      <c r="J440" s="37" t="s">
        <v>314</v>
      </c>
      <c r="K440" s="39" t="s">
        <v>159</v>
      </c>
      <c r="L440" s="28" t="s">
        <v>633</v>
      </c>
      <c r="M440" s="28" t="s">
        <v>48</v>
      </c>
      <c r="N440" s="41" t="s">
        <v>628</v>
      </c>
      <c r="O440" s="39"/>
      <c r="P440" s="28"/>
      <c r="Q440" s="28"/>
      <c r="R440" s="41"/>
      <c r="S440" s="39"/>
      <c r="T440" s="41" t="s">
        <v>629</v>
      </c>
      <c r="U440" s="39"/>
      <c r="V440" s="41"/>
      <c r="W440" s="43" t="s">
        <v>711</v>
      </c>
      <c r="X440" s="33"/>
      <c r="Y440" s="27"/>
      <c r="Z440" s="29"/>
    </row>
    <row r="441" spans="2:26" ht="21" customHeight="1" x14ac:dyDescent="0.35">
      <c r="B441" s="114"/>
      <c r="C441" s="117" t="s">
        <v>1145</v>
      </c>
      <c r="D441" s="96" t="s">
        <v>666</v>
      </c>
      <c r="E441" s="27" t="s">
        <v>44</v>
      </c>
      <c r="F441" s="37" t="s">
        <v>45</v>
      </c>
      <c r="G441" s="33" t="s">
        <v>206</v>
      </c>
      <c r="H441" s="27" t="s">
        <v>314</v>
      </c>
      <c r="I441" s="27" t="s">
        <v>206</v>
      </c>
      <c r="J441" s="37" t="s">
        <v>314</v>
      </c>
      <c r="K441" s="39" t="s">
        <v>159</v>
      </c>
      <c r="L441" s="28" t="s">
        <v>635</v>
      </c>
      <c r="M441" s="28" t="s">
        <v>48</v>
      </c>
      <c r="N441" s="41" t="s">
        <v>628</v>
      </c>
      <c r="O441" s="39"/>
      <c r="P441" s="28"/>
      <c r="Q441" s="28"/>
      <c r="R441" s="41"/>
      <c r="S441" s="39"/>
      <c r="T441" s="41" t="s">
        <v>629</v>
      </c>
      <c r="U441" s="39"/>
      <c r="V441" s="41"/>
      <c r="W441" s="43" t="s">
        <v>711</v>
      </c>
      <c r="X441" s="33"/>
      <c r="Y441" s="27"/>
      <c r="Z441" s="29"/>
    </row>
    <row r="442" spans="2:26" ht="21" customHeight="1" x14ac:dyDescent="0.35">
      <c r="B442" s="114"/>
      <c r="C442" s="117" t="s">
        <v>1146</v>
      </c>
      <c r="D442" s="96" t="s">
        <v>667</v>
      </c>
      <c r="E442" s="27" t="s">
        <v>44</v>
      </c>
      <c r="F442" s="37" t="s">
        <v>45</v>
      </c>
      <c r="G442" s="33" t="s">
        <v>206</v>
      </c>
      <c r="H442" s="27" t="s">
        <v>314</v>
      </c>
      <c r="I442" s="27" t="s">
        <v>206</v>
      </c>
      <c r="J442" s="37" t="s">
        <v>314</v>
      </c>
      <c r="K442" s="39" t="s">
        <v>159</v>
      </c>
      <c r="L442" s="28" t="s">
        <v>637</v>
      </c>
      <c r="M442" s="28" t="s">
        <v>48</v>
      </c>
      <c r="N442" s="41" t="s">
        <v>628</v>
      </c>
      <c r="O442" s="39"/>
      <c r="P442" s="28"/>
      <c r="Q442" s="28"/>
      <c r="R442" s="41"/>
      <c r="S442" s="39"/>
      <c r="T442" s="41" t="s">
        <v>629</v>
      </c>
      <c r="U442" s="39"/>
      <c r="V442" s="41"/>
      <c r="W442" s="43" t="s">
        <v>711</v>
      </c>
      <c r="X442" s="33"/>
      <c r="Y442" s="27"/>
      <c r="Z442" s="29"/>
    </row>
    <row r="443" spans="2:26" ht="21" customHeight="1" x14ac:dyDescent="0.35">
      <c r="B443" s="114"/>
      <c r="C443" s="117" t="s">
        <v>1147</v>
      </c>
      <c r="D443" s="96" t="s">
        <v>668</v>
      </c>
      <c r="E443" s="27" t="s">
        <v>44</v>
      </c>
      <c r="F443" s="37" t="s">
        <v>45</v>
      </c>
      <c r="G443" s="33" t="s">
        <v>206</v>
      </c>
      <c r="H443" s="27" t="s">
        <v>314</v>
      </c>
      <c r="I443" s="27" t="s">
        <v>206</v>
      </c>
      <c r="J443" s="37" t="s">
        <v>314</v>
      </c>
      <c r="K443" s="39" t="s">
        <v>159</v>
      </c>
      <c r="L443" s="28" t="s">
        <v>639</v>
      </c>
      <c r="M443" s="28" t="s">
        <v>48</v>
      </c>
      <c r="N443" s="41" t="s">
        <v>628</v>
      </c>
      <c r="O443" s="39"/>
      <c r="P443" s="28"/>
      <c r="Q443" s="28"/>
      <c r="R443" s="41"/>
      <c r="S443" s="39"/>
      <c r="T443" s="41" t="s">
        <v>629</v>
      </c>
      <c r="U443" s="39"/>
      <c r="V443" s="41"/>
      <c r="W443" s="43" t="s">
        <v>711</v>
      </c>
      <c r="X443" s="33"/>
      <c r="Y443" s="27"/>
      <c r="Z443" s="29"/>
    </row>
    <row r="444" spans="2:26" ht="21" customHeight="1" x14ac:dyDescent="0.35">
      <c r="B444" s="114"/>
      <c r="C444" s="117" t="s">
        <v>1148</v>
      </c>
      <c r="D444" s="96" t="s">
        <v>669</v>
      </c>
      <c r="E444" s="27" t="s">
        <v>44</v>
      </c>
      <c r="F444" s="37" t="s">
        <v>45</v>
      </c>
      <c r="G444" s="33" t="s">
        <v>206</v>
      </c>
      <c r="H444" s="27" t="s">
        <v>314</v>
      </c>
      <c r="I444" s="27" t="s">
        <v>206</v>
      </c>
      <c r="J444" s="37" t="s">
        <v>314</v>
      </c>
      <c r="K444" s="39" t="s">
        <v>159</v>
      </c>
      <c r="L444" s="28" t="s">
        <v>641</v>
      </c>
      <c r="M444" s="28" t="s">
        <v>48</v>
      </c>
      <c r="N444" s="41" t="s">
        <v>628</v>
      </c>
      <c r="O444" s="39"/>
      <c r="P444" s="28"/>
      <c r="Q444" s="28"/>
      <c r="R444" s="41"/>
      <c r="S444" s="39"/>
      <c r="T444" s="41" t="s">
        <v>629</v>
      </c>
      <c r="U444" s="39"/>
      <c r="V444" s="41"/>
      <c r="W444" s="43" t="s">
        <v>711</v>
      </c>
      <c r="X444" s="33"/>
      <c r="Y444" s="27"/>
      <c r="Z444" s="29"/>
    </row>
    <row r="445" spans="2:26" ht="21" customHeight="1" x14ac:dyDescent="0.35">
      <c r="B445" s="114"/>
      <c r="C445" s="117" t="s">
        <v>1149</v>
      </c>
      <c r="D445" s="96" t="s">
        <v>670</v>
      </c>
      <c r="E445" s="27" t="s">
        <v>44</v>
      </c>
      <c r="F445" s="37" t="s">
        <v>45</v>
      </c>
      <c r="G445" s="33" t="s">
        <v>206</v>
      </c>
      <c r="H445" s="27" t="s">
        <v>314</v>
      </c>
      <c r="I445" s="27" t="s">
        <v>206</v>
      </c>
      <c r="J445" s="37" t="s">
        <v>314</v>
      </c>
      <c r="K445" s="39" t="s">
        <v>643</v>
      </c>
      <c r="L445" s="28" t="s">
        <v>644</v>
      </c>
      <c r="M445" s="28" t="s">
        <v>48</v>
      </c>
      <c r="N445" s="41" t="s">
        <v>628</v>
      </c>
      <c r="O445" s="39"/>
      <c r="P445" s="28"/>
      <c r="Q445" s="28"/>
      <c r="R445" s="41"/>
      <c r="S445" s="39"/>
      <c r="T445" s="41" t="s">
        <v>629</v>
      </c>
      <c r="U445" s="39"/>
      <c r="V445" s="41"/>
      <c r="W445" s="43" t="s">
        <v>711</v>
      </c>
      <c r="X445" s="33"/>
      <c r="Y445" s="27"/>
      <c r="Z445" s="29"/>
    </row>
    <row r="446" spans="2:26" ht="21" customHeight="1" x14ac:dyDescent="0.35">
      <c r="B446" s="114"/>
      <c r="C446" s="117" t="s">
        <v>1150</v>
      </c>
      <c r="D446" s="96" t="s">
        <v>671</v>
      </c>
      <c r="E446" s="27" t="s">
        <v>44</v>
      </c>
      <c r="F446" s="37" t="s">
        <v>45</v>
      </c>
      <c r="G446" s="33" t="s">
        <v>206</v>
      </c>
      <c r="H446" s="27" t="s">
        <v>314</v>
      </c>
      <c r="I446" s="27" t="s">
        <v>206</v>
      </c>
      <c r="J446" s="37" t="s">
        <v>314</v>
      </c>
      <c r="K446" s="39" t="s">
        <v>646</v>
      </c>
      <c r="L446" s="28" t="s">
        <v>647</v>
      </c>
      <c r="M446" s="28" t="s">
        <v>48</v>
      </c>
      <c r="N446" s="41" t="s">
        <v>628</v>
      </c>
      <c r="O446" s="39"/>
      <c r="P446" s="28"/>
      <c r="Q446" s="28"/>
      <c r="R446" s="41"/>
      <c r="S446" s="39"/>
      <c r="T446" s="41" t="s">
        <v>629</v>
      </c>
      <c r="U446" s="39"/>
      <c r="V446" s="41"/>
      <c r="W446" s="43" t="s">
        <v>711</v>
      </c>
      <c r="X446" s="33"/>
      <c r="Y446" s="27"/>
      <c r="Z446" s="29"/>
    </row>
    <row r="447" spans="2:26" ht="21" customHeight="1" x14ac:dyDescent="0.35">
      <c r="B447" s="114"/>
      <c r="C447" s="117" t="s">
        <v>1151</v>
      </c>
      <c r="D447" s="96" t="s">
        <v>672</v>
      </c>
      <c r="E447" s="27" t="s">
        <v>44</v>
      </c>
      <c r="F447" s="37" t="s">
        <v>45</v>
      </c>
      <c r="G447" s="33" t="s">
        <v>206</v>
      </c>
      <c r="H447" s="27" t="s">
        <v>314</v>
      </c>
      <c r="I447" s="27" t="s">
        <v>206</v>
      </c>
      <c r="J447" s="37" t="s">
        <v>314</v>
      </c>
      <c r="K447" s="39" t="s">
        <v>184</v>
      </c>
      <c r="L447" s="28" t="s">
        <v>649</v>
      </c>
      <c r="M447" s="28" t="s">
        <v>48</v>
      </c>
      <c r="N447" s="41" t="s">
        <v>628</v>
      </c>
      <c r="O447" s="39"/>
      <c r="P447" s="28"/>
      <c r="Q447" s="28"/>
      <c r="R447" s="41"/>
      <c r="S447" s="39"/>
      <c r="T447" s="41" t="s">
        <v>629</v>
      </c>
      <c r="U447" s="39"/>
      <c r="V447" s="41"/>
      <c r="W447" s="43" t="s">
        <v>711</v>
      </c>
      <c r="X447" s="33"/>
      <c r="Y447" s="27"/>
      <c r="Z447" s="29"/>
    </row>
    <row r="448" spans="2:26" ht="21" customHeight="1" x14ac:dyDescent="0.35">
      <c r="B448" s="114"/>
      <c r="C448" s="117" t="s">
        <v>1152</v>
      </c>
      <c r="D448" s="96" t="s">
        <v>673</v>
      </c>
      <c r="E448" s="27" t="s">
        <v>44</v>
      </c>
      <c r="F448" s="37" t="s">
        <v>45</v>
      </c>
      <c r="G448" s="33" t="s">
        <v>206</v>
      </c>
      <c r="H448" s="27" t="s">
        <v>314</v>
      </c>
      <c r="I448" s="27" t="s">
        <v>206</v>
      </c>
      <c r="J448" s="37" t="s">
        <v>314</v>
      </c>
      <c r="K448" s="39" t="s">
        <v>184</v>
      </c>
      <c r="L448" s="28" t="s">
        <v>651</v>
      </c>
      <c r="M448" s="28" t="s">
        <v>48</v>
      </c>
      <c r="N448" s="41" t="s">
        <v>628</v>
      </c>
      <c r="O448" s="39"/>
      <c r="P448" s="28"/>
      <c r="Q448" s="28"/>
      <c r="R448" s="41"/>
      <c r="S448" s="39"/>
      <c r="T448" s="41" t="s">
        <v>629</v>
      </c>
      <c r="U448" s="39"/>
      <c r="V448" s="41"/>
      <c r="W448" s="43" t="s">
        <v>711</v>
      </c>
      <c r="X448" s="33"/>
      <c r="Y448" s="27"/>
      <c r="Z448" s="29"/>
    </row>
    <row r="449" spans="2:26" ht="21" customHeight="1" x14ac:dyDescent="0.35">
      <c r="B449" s="114"/>
      <c r="C449" s="117" t="s">
        <v>1153</v>
      </c>
      <c r="D449" s="96" t="s">
        <v>674</v>
      </c>
      <c r="E449" s="27" t="s">
        <v>44</v>
      </c>
      <c r="F449" s="37" t="s">
        <v>45</v>
      </c>
      <c r="G449" s="33" t="s">
        <v>206</v>
      </c>
      <c r="H449" s="27" t="s">
        <v>314</v>
      </c>
      <c r="I449" s="27" t="s">
        <v>206</v>
      </c>
      <c r="J449" s="37" t="s">
        <v>314</v>
      </c>
      <c r="K449" s="39" t="s">
        <v>184</v>
      </c>
      <c r="L449" s="28" t="s">
        <v>653</v>
      </c>
      <c r="M449" s="28" t="s">
        <v>48</v>
      </c>
      <c r="N449" s="41" t="s">
        <v>628</v>
      </c>
      <c r="O449" s="39"/>
      <c r="P449" s="28"/>
      <c r="Q449" s="28"/>
      <c r="R449" s="41"/>
      <c r="S449" s="39"/>
      <c r="T449" s="41" t="s">
        <v>629</v>
      </c>
      <c r="U449" s="39"/>
      <c r="V449" s="41"/>
      <c r="W449" s="43" t="s">
        <v>711</v>
      </c>
      <c r="X449" s="33"/>
      <c r="Y449" s="27"/>
      <c r="Z449" s="29"/>
    </row>
    <row r="450" spans="2:26" ht="21" customHeight="1" x14ac:dyDescent="0.35">
      <c r="B450" s="114"/>
      <c r="C450" s="117" t="s">
        <v>1154</v>
      </c>
      <c r="D450" s="96" t="s">
        <v>675</v>
      </c>
      <c r="E450" s="27" t="s">
        <v>44</v>
      </c>
      <c r="F450" s="37" t="s">
        <v>45</v>
      </c>
      <c r="G450" s="33" t="s">
        <v>206</v>
      </c>
      <c r="H450" s="27" t="s">
        <v>314</v>
      </c>
      <c r="I450" s="27" t="s">
        <v>206</v>
      </c>
      <c r="J450" s="37" t="s">
        <v>314</v>
      </c>
      <c r="K450" s="39" t="s">
        <v>184</v>
      </c>
      <c r="L450" s="28" t="s">
        <v>655</v>
      </c>
      <c r="M450" s="28" t="s">
        <v>48</v>
      </c>
      <c r="N450" s="41" t="s">
        <v>628</v>
      </c>
      <c r="O450" s="39"/>
      <c r="P450" s="28"/>
      <c r="Q450" s="28"/>
      <c r="R450" s="41"/>
      <c r="S450" s="39"/>
      <c r="T450" s="41" t="s">
        <v>629</v>
      </c>
      <c r="U450" s="39"/>
      <c r="V450" s="41"/>
      <c r="W450" s="43" t="s">
        <v>711</v>
      </c>
      <c r="X450" s="33"/>
      <c r="Y450" s="27"/>
      <c r="Z450" s="29"/>
    </row>
    <row r="451" spans="2:26" ht="21" customHeight="1" x14ac:dyDescent="0.35">
      <c r="B451" s="114"/>
      <c r="C451" s="117" t="s">
        <v>1155</v>
      </c>
      <c r="D451" s="96" t="s">
        <v>676</v>
      </c>
      <c r="E451" s="27" t="s">
        <v>44</v>
      </c>
      <c r="F451" s="37" t="s">
        <v>45</v>
      </c>
      <c r="G451" s="33" t="s">
        <v>206</v>
      </c>
      <c r="H451" s="27" t="s">
        <v>314</v>
      </c>
      <c r="I451" s="27" t="s">
        <v>206</v>
      </c>
      <c r="J451" s="37" t="s">
        <v>314</v>
      </c>
      <c r="K451" s="39" t="s">
        <v>184</v>
      </c>
      <c r="L451" s="28" t="s">
        <v>657</v>
      </c>
      <c r="M451" s="28" t="s">
        <v>48</v>
      </c>
      <c r="N451" s="41" t="s">
        <v>628</v>
      </c>
      <c r="O451" s="39"/>
      <c r="P451" s="28"/>
      <c r="Q451" s="28"/>
      <c r="R451" s="41"/>
      <c r="S451" s="39"/>
      <c r="T451" s="41" t="s">
        <v>629</v>
      </c>
      <c r="U451" s="39"/>
      <c r="V451" s="41"/>
      <c r="W451" s="43" t="s">
        <v>711</v>
      </c>
      <c r="X451" s="33"/>
      <c r="Y451" s="27"/>
      <c r="Z451" s="29"/>
    </row>
    <row r="452" spans="2:26" ht="21" customHeight="1" x14ac:dyDescent="0.35">
      <c r="B452" s="114"/>
      <c r="C452" s="117" t="s">
        <v>1156</v>
      </c>
      <c r="D452" s="96" t="s">
        <v>677</v>
      </c>
      <c r="E452" s="27" t="s">
        <v>44</v>
      </c>
      <c r="F452" s="37" t="s">
        <v>45</v>
      </c>
      <c r="G452" s="33" t="s">
        <v>206</v>
      </c>
      <c r="H452" s="27" t="s">
        <v>314</v>
      </c>
      <c r="I452" s="27" t="s">
        <v>206</v>
      </c>
      <c r="J452" s="37" t="s">
        <v>314</v>
      </c>
      <c r="K452" s="39" t="s">
        <v>659</v>
      </c>
      <c r="L452" s="28" t="s">
        <v>660</v>
      </c>
      <c r="M452" s="28" t="s">
        <v>48</v>
      </c>
      <c r="N452" s="41" t="s">
        <v>628</v>
      </c>
      <c r="O452" s="39"/>
      <c r="P452" s="28"/>
      <c r="Q452" s="28"/>
      <c r="R452" s="41"/>
      <c r="S452" s="39"/>
      <c r="T452" s="41" t="s">
        <v>629</v>
      </c>
      <c r="U452" s="39"/>
      <c r="V452" s="41"/>
      <c r="W452" s="43" t="s">
        <v>711</v>
      </c>
      <c r="X452" s="33"/>
      <c r="Y452" s="27"/>
      <c r="Z452" s="29"/>
    </row>
    <row r="453" spans="2:26" ht="21" customHeight="1" x14ac:dyDescent="0.35">
      <c r="B453" s="114"/>
      <c r="C453" s="117" t="s">
        <v>1157</v>
      </c>
      <c r="D453" s="96" t="s">
        <v>678</v>
      </c>
      <c r="E453" s="27" t="s">
        <v>44</v>
      </c>
      <c r="F453" s="37" t="s">
        <v>45</v>
      </c>
      <c r="G453" s="33" t="s">
        <v>206</v>
      </c>
      <c r="H453" s="27" t="s">
        <v>314</v>
      </c>
      <c r="I453" s="27" t="s">
        <v>206</v>
      </c>
      <c r="J453" s="37" t="s">
        <v>314</v>
      </c>
      <c r="K453" s="39" t="s">
        <v>159</v>
      </c>
      <c r="L453" s="28" t="s">
        <v>662</v>
      </c>
      <c r="M453" s="28" t="s">
        <v>48</v>
      </c>
      <c r="N453" s="41" t="s">
        <v>628</v>
      </c>
      <c r="O453" s="39"/>
      <c r="P453" s="28"/>
      <c r="Q453" s="28"/>
      <c r="R453" s="41"/>
      <c r="S453" s="39"/>
      <c r="T453" s="41" t="s">
        <v>629</v>
      </c>
      <c r="U453" s="39"/>
      <c r="V453" s="41"/>
      <c r="W453" s="43" t="s">
        <v>711</v>
      </c>
      <c r="X453" s="33"/>
      <c r="Y453" s="27"/>
      <c r="Z453" s="29"/>
    </row>
    <row r="454" spans="2:26" ht="21" customHeight="1" x14ac:dyDescent="0.35">
      <c r="B454" s="114"/>
      <c r="C454" s="117" t="s">
        <v>1158</v>
      </c>
      <c r="D454" s="96" t="s">
        <v>679</v>
      </c>
      <c r="E454" s="27" t="s">
        <v>44</v>
      </c>
      <c r="F454" s="37" t="s">
        <v>45</v>
      </c>
      <c r="G454" s="33" t="s">
        <v>206</v>
      </c>
      <c r="H454" s="27" t="s">
        <v>419</v>
      </c>
      <c r="I454" s="27" t="s">
        <v>206</v>
      </c>
      <c r="J454" s="37" t="s">
        <v>419</v>
      </c>
      <c r="K454" s="39" t="s">
        <v>96</v>
      </c>
      <c r="L454" s="28" t="s">
        <v>627</v>
      </c>
      <c r="M454" s="28" t="s">
        <v>48</v>
      </c>
      <c r="N454" s="41" t="s">
        <v>628</v>
      </c>
      <c r="O454" s="39"/>
      <c r="P454" s="28"/>
      <c r="Q454" s="28"/>
      <c r="R454" s="41"/>
      <c r="S454" s="39"/>
      <c r="T454" s="41" t="s">
        <v>629</v>
      </c>
      <c r="U454" s="39"/>
      <c r="V454" s="41"/>
      <c r="W454" s="43" t="s">
        <v>711</v>
      </c>
      <c r="X454" s="33"/>
      <c r="Y454" s="27"/>
      <c r="Z454" s="29"/>
    </row>
    <row r="455" spans="2:26" ht="21" customHeight="1" x14ac:dyDescent="0.35">
      <c r="B455" s="114"/>
      <c r="C455" s="117" t="s">
        <v>1159</v>
      </c>
      <c r="D455" s="96" t="s">
        <v>680</v>
      </c>
      <c r="E455" s="27" t="s">
        <v>44</v>
      </c>
      <c r="F455" s="37" t="s">
        <v>45</v>
      </c>
      <c r="G455" s="33" t="s">
        <v>206</v>
      </c>
      <c r="H455" s="27" t="s">
        <v>419</v>
      </c>
      <c r="I455" s="27" t="s">
        <v>206</v>
      </c>
      <c r="J455" s="37" t="s">
        <v>419</v>
      </c>
      <c r="K455" s="39" t="s">
        <v>159</v>
      </c>
      <c r="L455" s="28" t="s">
        <v>631</v>
      </c>
      <c r="M455" s="28" t="s">
        <v>48</v>
      </c>
      <c r="N455" s="41" t="s">
        <v>628</v>
      </c>
      <c r="O455" s="39"/>
      <c r="P455" s="28"/>
      <c r="Q455" s="28"/>
      <c r="R455" s="41"/>
      <c r="S455" s="39"/>
      <c r="T455" s="41" t="s">
        <v>629</v>
      </c>
      <c r="U455" s="39"/>
      <c r="V455" s="41"/>
      <c r="W455" s="43" t="s">
        <v>711</v>
      </c>
      <c r="X455" s="33"/>
      <c r="Y455" s="27"/>
      <c r="Z455" s="29"/>
    </row>
    <row r="456" spans="2:26" ht="21" customHeight="1" x14ac:dyDescent="0.35">
      <c r="B456" s="114"/>
      <c r="C456" s="117" t="s">
        <v>1160</v>
      </c>
      <c r="D456" s="96" t="s">
        <v>681</v>
      </c>
      <c r="E456" s="27" t="s">
        <v>44</v>
      </c>
      <c r="F456" s="37" t="s">
        <v>45</v>
      </c>
      <c r="G456" s="33" t="s">
        <v>206</v>
      </c>
      <c r="H456" s="27" t="s">
        <v>419</v>
      </c>
      <c r="I456" s="27" t="s">
        <v>206</v>
      </c>
      <c r="J456" s="37" t="s">
        <v>419</v>
      </c>
      <c r="K456" s="39" t="s">
        <v>159</v>
      </c>
      <c r="L456" s="28" t="s">
        <v>633</v>
      </c>
      <c r="M456" s="28" t="s">
        <v>48</v>
      </c>
      <c r="N456" s="41" t="s">
        <v>628</v>
      </c>
      <c r="O456" s="39"/>
      <c r="P456" s="28"/>
      <c r="Q456" s="28"/>
      <c r="R456" s="41"/>
      <c r="S456" s="39"/>
      <c r="T456" s="41" t="s">
        <v>629</v>
      </c>
      <c r="U456" s="39"/>
      <c r="V456" s="41"/>
      <c r="W456" s="43" t="s">
        <v>711</v>
      </c>
      <c r="X456" s="33"/>
      <c r="Y456" s="27"/>
      <c r="Z456" s="29"/>
    </row>
    <row r="457" spans="2:26" ht="21" customHeight="1" x14ac:dyDescent="0.35">
      <c r="B457" s="114"/>
      <c r="C457" s="117" t="s">
        <v>1161</v>
      </c>
      <c r="D457" s="96" t="s">
        <v>682</v>
      </c>
      <c r="E457" s="27" t="s">
        <v>44</v>
      </c>
      <c r="F457" s="37" t="s">
        <v>45</v>
      </c>
      <c r="G457" s="33" t="s">
        <v>206</v>
      </c>
      <c r="H457" s="27" t="s">
        <v>419</v>
      </c>
      <c r="I457" s="27" t="s">
        <v>206</v>
      </c>
      <c r="J457" s="37" t="s">
        <v>419</v>
      </c>
      <c r="K457" s="39" t="s">
        <v>159</v>
      </c>
      <c r="L457" s="28" t="s">
        <v>635</v>
      </c>
      <c r="M457" s="28" t="s">
        <v>48</v>
      </c>
      <c r="N457" s="41" t="s">
        <v>628</v>
      </c>
      <c r="O457" s="39"/>
      <c r="P457" s="28"/>
      <c r="Q457" s="28"/>
      <c r="R457" s="41"/>
      <c r="S457" s="39"/>
      <c r="T457" s="41" t="s">
        <v>629</v>
      </c>
      <c r="U457" s="39"/>
      <c r="V457" s="41"/>
      <c r="W457" s="43" t="s">
        <v>711</v>
      </c>
      <c r="X457" s="33"/>
      <c r="Y457" s="27"/>
      <c r="Z457" s="29"/>
    </row>
    <row r="458" spans="2:26" ht="21" customHeight="1" x14ac:dyDescent="0.35">
      <c r="B458" s="114"/>
      <c r="C458" s="117" t="s">
        <v>1162</v>
      </c>
      <c r="D458" s="96" t="s">
        <v>683</v>
      </c>
      <c r="E458" s="27" t="s">
        <v>44</v>
      </c>
      <c r="F458" s="37" t="s">
        <v>45</v>
      </c>
      <c r="G458" s="33" t="s">
        <v>206</v>
      </c>
      <c r="H458" s="27" t="s">
        <v>419</v>
      </c>
      <c r="I458" s="27" t="s">
        <v>206</v>
      </c>
      <c r="J458" s="37" t="s">
        <v>419</v>
      </c>
      <c r="K458" s="39" t="s">
        <v>159</v>
      </c>
      <c r="L458" s="28" t="s">
        <v>637</v>
      </c>
      <c r="M458" s="28" t="s">
        <v>48</v>
      </c>
      <c r="N458" s="41" t="s">
        <v>628</v>
      </c>
      <c r="O458" s="39"/>
      <c r="P458" s="28"/>
      <c r="Q458" s="28"/>
      <c r="R458" s="41"/>
      <c r="S458" s="39"/>
      <c r="T458" s="41" t="s">
        <v>629</v>
      </c>
      <c r="U458" s="39"/>
      <c r="V458" s="41"/>
      <c r="W458" s="43" t="s">
        <v>711</v>
      </c>
      <c r="X458" s="33"/>
      <c r="Y458" s="27"/>
      <c r="Z458" s="29"/>
    </row>
    <row r="459" spans="2:26" ht="21" customHeight="1" x14ac:dyDescent="0.35">
      <c r="B459" s="114"/>
      <c r="C459" s="117" t="s">
        <v>1163</v>
      </c>
      <c r="D459" s="96" t="s">
        <v>684</v>
      </c>
      <c r="E459" s="27" t="s">
        <v>44</v>
      </c>
      <c r="F459" s="37" t="s">
        <v>45</v>
      </c>
      <c r="G459" s="33" t="s">
        <v>206</v>
      </c>
      <c r="H459" s="27" t="s">
        <v>419</v>
      </c>
      <c r="I459" s="27" t="s">
        <v>206</v>
      </c>
      <c r="J459" s="37" t="s">
        <v>419</v>
      </c>
      <c r="K459" s="39" t="s">
        <v>159</v>
      </c>
      <c r="L459" s="28" t="s">
        <v>639</v>
      </c>
      <c r="M459" s="28" t="s">
        <v>48</v>
      </c>
      <c r="N459" s="41" t="s">
        <v>628</v>
      </c>
      <c r="O459" s="39"/>
      <c r="P459" s="28"/>
      <c r="Q459" s="28"/>
      <c r="R459" s="41"/>
      <c r="S459" s="39"/>
      <c r="T459" s="41" t="s">
        <v>629</v>
      </c>
      <c r="U459" s="39"/>
      <c r="V459" s="41"/>
      <c r="W459" s="43" t="s">
        <v>711</v>
      </c>
      <c r="X459" s="33"/>
      <c r="Y459" s="27"/>
      <c r="Z459" s="29"/>
    </row>
    <row r="460" spans="2:26" ht="21" customHeight="1" x14ac:dyDescent="0.35">
      <c r="B460" s="114"/>
      <c r="C460" s="117" t="s">
        <v>1164</v>
      </c>
      <c r="D460" s="96" t="s">
        <v>685</v>
      </c>
      <c r="E460" s="27" t="s">
        <v>44</v>
      </c>
      <c r="F460" s="37" t="s">
        <v>45</v>
      </c>
      <c r="G460" s="33" t="s">
        <v>206</v>
      </c>
      <c r="H460" s="27" t="s">
        <v>419</v>
      </c>
      <c r="I460" s="27" t="s">
        <v>206</v>
      </c>
      <c r="J460" s="37" t="s">
        <v>419</v>
      </c>
      <c r="K460" s="39" t="s">
        <v>159</v>
      </c>
      <c r="L460" s="28" t="s">
        <v>641</v>
      </c>
      <c r="M460" s="28" t="s">
        <v>48</v>
      </c>
      <c r="N460" s="41" t="s">
        <v>628</v>
      </c>
      <c r="O460" s="39"/>
      <c r="P460" s="28"/>
      <c r="Q460" s="28"/>
      <c r="R460" s="41"/>
      <c r="S460" s="39"/>
      <c r="T460" s="41" t="s">
        <v>629</v>
      </c>
      <c r="U460" s="39"/>
      <c r="V460" s="41"/>
      <c r="W460" s="43" t="s">
        <v>711</v>
      </c>
      <c r="X460" s="33"/>
      <c r="Y460" s="27"/>
      <c r="Z460" s="29"/>
    </row>
    <row r="461" spans="2:26" ht="21" customHeight="1" x14ac:dyDescent="0.35">
      <c r="B461" s="114"/>
      <c r="C461" s="117" t="s">
        <v>1165</v>
      </c>
      <c r="D461" s="96" t="s">
        <v>686</v>
      </c>
      <c r="E461" s="27" t="s">
        <v>44</v>
      </c>
      <c r="F461" s="37" t="s">
        <v>45</v>
      </c>
      <c r="G461" s="33" t="s">
        <v>206</v>
      </c>
      <c r="H461" s="27" t="s">
        <v>419</v>
      </c>
      <c r="I461" s="27" t="s">
        <v>206</v>
      </c>
      <c r="J461" s="37" t="s">
        <v>419</v>
      </c>
      <c r="K461" s="39" t="s">
        <v>643</v>
      </c>
      <c r="L461" s="28" t="s">
        <v>644</v>
      </c>
      <c r="M461" s="28" t="s">
        <v>48</v>
      </c>
      <c r="N461" s="41" t="s">
        <v>628</v>
      </c>
      <c r="O461" s="39"/>
      <c r="P461" s="28"/>
      <c r="Q461" s="28"/>
      <c r="R461" s="41"/>
      <c r="S461" s="39"/>
      <c r="T461" s="41" t="s">
        <v>629</v>
      </c>
      <c r="U461" s="39"/>
      <c r="V461" s="41"/>
      <c r="W461" s="43" t="s">
        <v>711</v>
      </c>
      <c r="X461" s="33"/>
      <c r="Y461" s="27"/>
      <c r="Z461" s="29"/>
    </row>
    <row r="462" spans="2:26" ht="21" customHeight="1" x14ac:dyDescent="0.35">
      <c r="B462" s="114"/>
      <c r="C462" s="117" t="s">
        <v>1166</v>
      </c>
      <c r="D462" s="96" t="s">
        <v>687</v>
      </c>
      <c r="E462" s="27" t="s">
        <v>44</v>
      </c>
      <c r="F462" s="37" t="s">
        <v>45</v>
      </c>
      <c r="G462" s="33" t="s">
        <v>206</v>
      </c>
      <c r="H462" s="27" t="s">
        <v>419</v>
      </c>
      <c r="I462" s="27" t="s">
        <v>206</v>
      </c>
      <c r="J462" s="37" t="s">
        <v>419</v>
      </c>
      <c r="K462" s="39" t="s">
        <v>646</v>
      </c>
      <c r="L462" s="28" t="s">
        <v>647</v>
      </c>
      <c r="M462" s="28" t="s">
        <v>48</v>
      </c>
      <c r="N462" s="41" t="s">
        <v>628</v>
      </c>
      <c r="O462" s="39"/>
      <c r="P462" s="28"/>
      <c r="Q462" s="28"/>
      <c r="R462" s="41"/>
      <c r="S462" s="39"/>
      <c r="T462" s="41" t="s">
        <v>629</v>
      </c>
      <c r="U462" s="39"/>
      <c r="V462" s="41"/>
      <c r="W462" s="43" t="s">
        <v>711</v>
      </c>
      <c r="X462" s="33"/>
      <c r="Y462" s="27"/>
      <c r="Z462" s="29"/>
    </row>
    <row r="463" spans="2:26" ht="21" customHeight="1" x14ac:dyDescent="0.35">
      <c r="B463" s="114"/>
      <c r="C463" s="117" t="s">
        <v>1167</v>
      </c>
      <c r="D463" s="96" t="s">
        <v>688</v>
      </c>
      <c r="E463" s="27" t="s">
        <v>44</v>
      </c>
      <c r="F463" s="37" t="s">
        <v>45</v>
      </c>
      <c r="G463" s="33" t="s">
        <v>206</v>
      </c>
      <c r="H463" s="27" t="s">
        <v>419</v>
      </c>
      <c r="I463" s="27" t="s">
        <v>206</v>
      </c>
      <c r="J463" s="37" t="s">
        <v>419</v>
      </c>
      <c r="K463" s="39" t="s">
        <v>184</v>
      </c>
      <c r="L463" s="28" t="s">
        <v>649</v>
      </c>
      <c r="M463" s="28" t="s">
        <v>48</v>
      </c>
      <c r="N463" s="41" t="s">
        <v>628</v>
      </c>
      <c r="O463" s="39"/>
      <c r="P463" s="28"/>
      <c r="Q463" s="28"/>
      <c r="R463" s="41"/>
      <c r="S463" s="39"/>
      <c r="T463" s="41" t="s">
        <v>629</v>
      </c>
      <c r="U463" s="39"/>
      <c r="V463" s="41"/>
      <c r="W463" s="43" t="s">
        <v>711</v>
      </c>
      <c r="X463" s="33"/>
      <c r="Y463" s="27"/>
      <c r="Z463" s="29"/>
    </row>
    <row r="464" spans="2:26" ht="21" customHeight="1" x14ac:dyDescent="0.35">
      <c r="B464" s="114"/>
      <c r="C464" s="117" t="s">
        <v>1168</v>
      </c>
      <c r="D464" s="96" t="s">
        <v>689</v>
      </c>
      <c r="E464" s="27" t="s">
        <v>44</v>
      </c>
      <c r="F464" s="37" t="s">
        <v>45</v>
      </c>
      <c r="G464" s="33" t="s">
        <v>206</v>
      </c>
      <c r="H464" s="27" t="s">
        <v>419</v>
      </c>
      <c r="I464" s="27" t="s">
        <v>206</v>
      </c>
      <c r="J464" s="37" t="s">
        <v>419</v>
      </c>
      <c r="K464" s="39" t="s">
        <v>184</v>
      </c>
      <c r="L464" s="28" t="s">
        <v>651</v>
      </c>
      <c r="M464" s="28" t="s">
        <v>48</v>
      </c>
      <c r="N464" s="41" t="s">
        <v>628</v>
      </c>
      <c r="O464" s="39"/>
      <c r="P464" s="28"/>
      <c r="Q464" s="28"/>
      <c r="R464" s="41"/>
      <c r="S464" s="39"/>
      <c r="T464" s="41" t="s">
        <v>629</v>
      </c>
      <c r="U464" s="39"/>
      <c r="V464" s="41"/>
      <c r="W464" s="43" t="s">
        <v>711</v>
      </c>
      <c r="X464" s="33"/>
      <c r="Y464" s="27"/>
      <c r="Z464" s="29"/>
    </row>
    <row r="465" spans="2:26" ht="21" customHeight="1" x14ac:dyDescent="0.35">
      <c r="B465" s="114"/>
      <c r="C465" s="117" t="s">
        <v>1169</v>
      </c>
      <c r="D465" s="96" t="s">
        <v>690</v>
      </c>
      <c r="E465" s="27" t="s">
        <v>44</v>
      </c>
      <c r="F465" s="37" t="s">
        <v>45</v>
      </c>
      <c r="G465" s="33" t="s">
        <v>206</v>
      </c>
      <c r="H465" s="27" t="s">
        <v>419</v>
      </c>
      <c r="I465" s="27" t="s">
        <v>206</v>
      </c>
      <c r="J465" s="37" t="s">
        <v>419</v>
      </c>
      <c r="K465" s="39" t="s">
        <v>184</v>
      </c>
      <c r="L465" s="28" t="s">
        <v>653</v>
      </c>
      <c r="M465" s="28" t="s">
        <v>48</v>
      </c>
      <c r="N465" s="41" t="s">
        <v>628</v>
      </c>
      <c r="O465" s="39"/>
      <c r="P465" s="28"/>
      <c r="Q465" s="28"/>
      <c r="R465" s="41"/>
      <c r="S465" s="39"/>
      <c r="T465" s="41" t="s">
        <v>629</v>
      </c>
      <c r="U465" s="39"/>
      <c r="V465" s="41"/>
      <c r="W465" s="43" t="s">
        <v>711</v>
      </c>
      <c r="X465" s="33"/>
      <c r="Y465" s="27"/>
      <c r="Z465" s="29"/>
    </row>
    <row r="466" spans="2:26" ht="21" customHeight="1" x14ac:dyDescent="0.35">
      <c r="B466" s="114"/>
      <c r="C466" s="117" t="s">
        <v>1170</v>
      </c>
      <c r="D466" s="96" t="s">
        <v>691</v>
      </c>
      <c r="E466" s="27" t="s">
        <v>44</v>
      </c>
      <c r="F466" s="37" t="s">
        <v>45</v>
      </c>
      <c r="G466" s="33" t="s">
        <v>206</v>
      </c>
      <c r="H466" s="27" t="s">
        <v>419</v>
      </c>
      <c r="I466" s="27" t="s">
        <v>206</v>
      </c>
      <c r="J466" s="37" t="s">
        <v>419</v>
      </c>
      <c r="K466" s="39" t="s">
        <v>184</v>
      </c>
      <c r="L466" s="28" t="s">
        <v>655</v>
      </c>
      <c r="M466" s="28" t="s">
        <v>48</v>
      </c>
      <c r="N466" s="41" t="s">
        <v>628</v>
      </c>
      <c r="O466" s="39"/>
      <c r="P466" s="28"/>
      <c r="Q466" s="28"/>
      <c r="R466" s="41"/>
      <c r="S466" s="39"/>
      <c r="T466" s="41" t="s">
        <v>629</v>
      </c>
      <c r="U466" s="39"/>
      <c r="V466" s="41"/>
      <c r="W466" s="43" t="s">
        <v>711</v>
      </c>
      <c r="X466" s="33"/>
      <c r="Y466" s="27"/>
      <c r="Z466" s="29"/>
    </row>
    <row r="467" spans="2:26" ht="21" customHeight="1" x14ac:dyDescent="0.35">
      <c r="B467" s="114"/>
      <c r="C467" s="117" t="s">
        <v>1171</v>
      </c>
      <c r="D467" s="96" t="s">
        <v>692</v>
      </c>
      <c r="E467" s="27" t="s">
        <v>44</v>
      </c>
      <c r="F467" s="37" t="s">
        <v>45</v>
      </c>
      <c r="G467" s="33" t="s">
        <v>206</v>
      </c>
      <c r="H467" s="27" t="s">
        <v>419</v>
      </c>
      <c r="I467" s="27" t="s">
        <v>206</v>
      </c>
      <c r="J467" s="37" t="s">
        <v>419</v>
      </c>
      <c r="K467" s="39" t="s">
        <v>184</v>
      </c>
      <c r="L467" s="28" t="s">
        <v>657</v>
      </c>
      <c r="M467" s="28" t="s">
        <v>48</v>
      </c>
      <c r="N467" s="41" t="s">
        <v>628</v>
      </c>
      <c r="O467" s="39"/>
      <c r="P467" s="28"/>
      <c r="Q467" s="28"/>
      <c r="R467" s="41"/>
      <c r="S467" s="39"/>
      <c r="T467" s="41" t="s">
        <v>629</v>
      </c>
      <c r="U467" s="39"/>
      <c r="V467" s="41"/>
      <c r="W467" s="43" t="s">
        <v>711</v>
      </c>
      <c r="X467" s="33"/>
      <c r="Y467" s="27"/>
      <c r="Z467" s="29"/>
    </row>
    <row r="468" spans="2:26" ht="21" customHeight="1" x14ac:dyDescent="0.35">
      <c r="B468" s="114"/>
      <c r="C468" s="117" t="s">
        <v>1172</v>
      </c>
      <c r="D468" s="96" t="s">
        <v>693</v>
      </c>
      <c r="E468" s="27" t="s">
        <v>44</v>
      </c>
      <c r="F468" s="37" t="s">
        <v>45</v>
      </c>
      <c r="G468" s="33" t="s">
        <v>206</v>
      </c>
      <c r="H468" s="27" t="s">
        <v>419</v>
      </c>
      <c r="I468" s="27" t="s">
        <v>206</v>
      </c>
      <c r="J468" s="37" t="s">
        <v>419</v>
      </c>
      <c r="K468" s="39" t="s">
        <v>659</v>
      </c>
      <c r="L468" s="28" t="s">
        <v>660</v>
      </c>
      <c r="M468" s="28" t="s">
        <v>48</v>
      </c>
      <c r="N468" s="41" t="s">
        <v>628</v>
      </c>
      <c r="O468" s="39"/>
      <c r="P468" s="28"/>
      <c r="Q468" s="28"/>
      <c r="R468" s="41"/>
      <c r="S468" s="39"/>
      <c r="T468" s="41" t="s">
        <v>629</v>
      </c>
      <c r="U468" s="39"/>
      <c r="V468" s="41"/>
      <c r="W468" s="43" t="s">
        <v>711</v>
      </c>
      <c r="X468" s="33"/>
      <c r="Y468" s="27"/>
      <c r="Z468" s="29"/>
    </row>
    <row r="469" spans="2:26" ht="21" customHeight="1" x14ac:dyDescent="0.35">
      <c r="B469" s="114"/>
      <c r="C469" s="117" t="s">
        <v>1173</v>
      </c>
      <c r="D469" s="96" t="s">
        <v>694</v>
      </c>
      <c r="E469" s="27" t="s">
        <v>44</v>
      </c>
      <c r="F469" s="37" t="s">
        <v>45</v>
      </c>
      <c r="G469" s="33" t="s">
        <v>206</v>
      </c>
      <c r="H469" s="27" t="s">
        <v>419</v>
      </c>
      <c r="I469" s="27" t="s">
        <v>206</v>
      </c>
      <c r="J469" s="37" t="s">
        <v>419</v>
      </c>
      <c r="K469" s="39" t="s">
        <v>159</v>
      </c>
      <c r="L469" s="28" t="s">
        <v>662</v>
      </c>
      <c r="M469" s="28" t="s">
        <v>48</v>
      </c>
      <c r="N469" s="41" t="s">
        <v>628</v>
      </c>
      <c r="O469" s="39"/>
      <c r="P469" s="28"/>
      <c r="Q469" s="28"/>
      <c r="R469" s="41"/>
      <c r="S469" s="39"/>
      <c r="T469" s="41" t="s">
        <v>629</v>
      </c>
      <c r="U469" s="39"/>
      <c r="V469" s="41"/>
      <c r="W469" s="43" t="s">
        <v>711</v>
      </c>
      <c r="X469" s="33"/>
      <c r="Y469" s="27"/>
      <c r="Z469" s="29"/>
    </row>
    <row r="470" spans="2:26" ht="21" customHeight="1" x14ac:dyDescent="0.35">
      <c r="B470" s="114"/>
      <c r="C470" s="117" t="s">
        <v>1174</v>
      </c>
      <c r="D470" s="96" t="s">
        <v>695</v>
      </c>
      <c r="E470" s="27" t="s">
        <v>44</v>
      </c>
      <c r="F470" s="37" t="s">
        <v>45</v>
      </c>
      <c r="G470" s="33" t="s">
        <v>206</v>
      </c>
      <c r="H470" s="27" t="s">
        <v>523</v>
      </c>
      <c r="I470" s="27" t="s">
        <v>206</v>
      </c>
      <c r="J470" s="37" t="s">
        <v>523</v>
      </c>
      <c r="K470" s="39" t="s">
        <v>96</v>
      </c>
      <c r="L470" s="28" t="s">
        <v>627</v>
      </c>
      <c r="M470" s="28" t="s">
        <v>48</v>
      </c>
      <c r="N470" s="41" t="s">
        <v>628</v>
      </c>
      <c r="O470" s="39"/>
      <c r="P470" s="28"/>
      <c r="Q470" s="28"/>
      <c r="R470" s="41"/>
      <c r="S470" s="39"/>
      <c r="T470" s="41" t="s">
        <v>629</v>
      </c>
      <c r="U470" s="39"/>
      <c r="V470" s="41"/>
      <c r="W470" s="43" t="s">
        <v>711</v>
      </c>
      <c r="X470" s="33"/>
      <c r="Y470" s="27"/>
      <c r="Z470" s="29"/>
    </row>
    <row r="471" spans="2:26" ht="21" customHeight="1" x14ac:dyDescent="0.35">
      <c r="B471" s="114"/>
      <c r="C471" s="117" t="s">
        <v>1175</v>
      </c>
      <c r="D471" s="96" t="s">
        <v>696</v>
      </c>
      <c r="E471" s="27" t="s">
        <v>44</v>
      </c>
      <c r="F471" s="37" t="s">
        <v>45</v>
      </c>
      <c r="G471" s="33" t="s">
        <v>206</v>
      </c>
      <c r="H471" s="27" t="s">
        <v>523</v>
      </c>
      <c r="I471" s="27" t="s">
        <v>206</v>
      </c>
      <c r="J471" s="37" t="s">
        <v>523</v>
      </c>
      <c r="K471" s="39" t="s">
        <v>159</v>
      </c>
      <c r="L471" s="28" t="s">
        <v>631</v>
      </c>
      <c r="M471" s="28" t="s">
        <v>48</v>
      </c>
      <c r="N471" s="41" t="s">
        <v>628</v>
      </c>
      <c r="O471" s="39"/>
      <c r="P471" s="28"/>
      <c r="Q471" s="28"/>
      <c r="R471" s="41"/>
      <c r="S471" s="39"/>
      <c r="T471" s="41" t="s">
        <v>629</v>
      </c>
      <c r="U471" s="39"/>
      <c r="V471" s="41"/>
      <c r="W471" s="43" t="s">
        <v>711</v>
      </c>
      <c r="X471" s="33"/>
      <c r="Y471" s="27"/>
      <c r="Z471" s="29"/>
    </row>
    <row r="472" spans="2:26" ht="21" customHeight="1" x14ac:dyDescent="0.35">
      <c r="B472" s="114"/>
      <c r="C472" s="117" t="s">
        <v>1176</v>
      </c>
      <c r="D472" s="96" t="s">
        <v>697</v>
      </c>
      <c r="E472" s="27" t="s">
        <v>44</v>
      </c>
      <c r="F472" s="37" t="s">
        <v>45</v>
      </c>
      <c r="G472" s="33" t="s">
        <v>206</v>
      </c>
      <c r="H472" s="27" t="s">
        <v>523</v>
      </c>
      <c r="I472" s="27" t="s">
        <v>206</v>
      </c>
      <c r="J472" s="37" t="s">
        <v>523</v>
      </c>
      <c r="K472" s="39" t="s">
        <v>159</v>
      </c>
      <c r="L472" s="28" t="s">
        <v>633</v>
      </c>
      <c r="M472" s="28" t="s">
        <v>48</v>
      </c>
      <c r="N472" s="41" t="s">
        <v>628</v>
      </c>
      <c r="O472" s="39"/>
      <c r="P472" s="28"/>
      <c r="Q472" s="28"/>
      <c r="R472" s="41"/>
      <c r="S472" s="39"/>
      <c r="T472" s="41" t="s">
        <v>629</v>
      </c>
      <c r="U472" s="39"/>
      <c r="V472" s="41"/>
      <c r="W472" s="43" t="s">
        <v>711</v>
      </c>
      <c r="X472" s="33"/>
      <c r="Y472" s="27"/>
      <c r="Z472" s="29"/>
    </row>
    <row r="473" spans="2:26" ht="21" customHeight="1" x14ac:dyDescent="0.35">
      <c r="B473" s="114"/>
      <c r="C473" s="117" t="s">
        <v>1177</v>
      </c>
      <c r="D473" s="96" t="s">
        <v>698</v>
      </c>
      <c r="E473" s="27" t="s">
        <v>44</v>
      </c>
      <c r="F473" s="37" t="s">
        <v>45</v>
      </c>
      <c r="G473" s="33" t="s">
        <v>206</v>
      </c>
      <c r="H473" s="27" t="s">
        <v>523</v>
      </c>
      <c r="I473" s="27" t="s">
        <v>206</v>
      </c>
      <c r="J473" s="37" t="s">
        <v>523</v>
      </c>
      <c r="K473" s="39" t="s">
        <v>159</v>
      </c>
      <c r="L473" s="28" t="s">
        <v>635</v>
      </c>
      <c r="M473" s="28" t="s">
        <v>48</v>
      </c>
      <c r="N473" s="41" t="s">
        <v>628</v>
      </c>
      <c r="O473" s="39"/>
      <c r="P473" s="28"/>
      <c r="Q473" s="28"/>
      <c r="R473" s="41"/>
      <c r="S473" s="39"/>
      <c r="T473" s="41" t="s">
        <v>629</v>
      </c>
      <c r="U473" s="39"/>
      <c r="V473" s="41"/>
      <c r="W473" s="43" t="s">
        <v>711</v>
      </c>
      <c r="X473" s="33"/>
      <c r="Y473" s="27"/>
      <c r="Z473" s="29"/>
    </row>
    <row r="474" spans="2:26" ht="21" customHeight="1" x14ac:dyDescent="0.35">
      <c r="B474" s="114"/>
      <c r="C474" s="117" t="s">
        <v>1178</v>
      </c>
      <c r="D474" s="96" t="s">
        <v>699</v>
      </c>
      <c r="E474" s="27" t="s">
        <v>44</v>
      </c>
      <c r="F474" s="37" t="s">
        <v>45</v>
      </c>
      <c r="G474" s="33" t="s">
        <v>206</v>
      </c>
      <c r="H474" s="27" t="s">
        <v>523</v>
      </c>
      <c r="I474" s="27" t="s">
        <v>206</v>
      </c>
      <c r="J474" s="37" t="s">
        <v>523</v>
      </c>
      <c r="K474" s="39" t="s">
        <v>159</v>
      </c>
      <c r="L474" s="28" t="s">
        <v>637</v>
      </c>
      <c r="M474" s="28" t="s">
        <v>48</v>
      </c>
      <c r="N474" s="41" t="s">
        <v>628</v>
      </c>
      <c r="O474" s="39"/>
      <c r="P474" s="28"/>
      <c r="Q474" s="28"/>
      <c r="R474" s="41"/>
      <c r="S474" s="39"/>
      <c r="T474" s="41" t="s">
        <v>629</v>
      </c>
      <c r="U474" s="39"/>
      <c r="V474" s="41"/>
      <c r="W474" s="43" t="s">
        <v>711</v>
      </c>
      <c r="X474" s="33"/>
      <c r="Y474" s="27"/>
      <c r="Z474" s="29"/>
    </row>
    <row r="475" spans="2:26" ht="21" customHeight="1" x14ac:dyDescent="0.35">
      <c r="B475" s="114"/>
      <c r="C475" s="117" t="s">
        <v>1179</v>
      </c>
      <c r="D475" s="96" t="s">
        <v>700</v>
      </c>
      <c r="E475" s="27" t="s">
        <v>44</v>
      </c>
      <c r="F475" s="37" t="s">
        <v>45</v>
      </c>
      <c r="G475" s="33" t="s">
        <v>206</v>
      </c>
      <c r="H475" s="27" t="s">
        <v>523</v>
      </c>
      <c r="I475" s="27" t="s">
        <v>206</v>
      </c>
      <c r="J475" s="37" t="s">
        <v>523</v>
      </c>
      <c r="K475" s="39" t="s">
        <v>159</v>
      </c>
      <c r="L475" s="28" t="s">
        <v>639</v>
      </c>
      <c r="M475" s="28" t="s">
        <v>48</v>
      </c>
      <c r="N475" s="41" t="s">
        <v>628</v>
      </c>
      <c r="O475" s="39"/>
      <c r="P475" s="28"/>
      <c r="Q475" s="28"/>
      <c r="R475" s="41"/>
      <c r="S475" s="39"/>
      <c r="T475" s="41" t="s">
        <v>629</v>
      </c>
      <c r="U475" s="39"/>
      <c r="V475" s="41"/>
      <c r="W475" s="43" t="s">
        <v>711</v>
      </c>
      <c r="X475" s="33"/>
      <c r="Y475" s="27"/>
      <c r="Z475" s="29"/>
    </row>
    <row r="476" spans="2:26" ht="21" customHeight="1" x14ac:dyDescent="0.35">
      <c r="B476" s="114"/>
      <c r="C476" s="117" t="s">
        <v>1180</v>
      </c>
      <c r="D476" s="96" t="s">
        <v>701</v>
      </c>
      <c r="E476" s="27" t="s">
        <v>44</v>
      </c>
      <c r="F476" s="37" t="s">
        <v>45</v>
      </c>
      <c r="G476" s="33" t="s">
        <v>206</v>
      </c>
      <c r="H476" s="27" t="s">
        <v>523</v>
      </c>
      <c r="I476" s="27" t="s">
        <v>206</v>
      </c>
      <c r="J476" s="37" t="s">
        <v>523</v>
      </c>
      <c r="K476" s="39" t="s">
        <v>159</v>
      </c>
      <c r="L476" s="28" t="s">
        <v>641</v>
      </c>
      <c r="M476" s="28" t="s">
        <v>48</v>
      </c>
      <c r="N476" s="41" t="s">
        <v>628</v>
      </c>
      <c r="O476" s="39"/>
      <c r="P476" s="28"/>
      <c r="Q476" s="28"/>
      <c r="R476" s="41"/>
      <c r="S476" s="39"/>
      <c r="T476" s="41" t="s">
        <v>629</v>
      </c>
      <c r="U476" s="39"/>
      <c r="V476" s="41"/>
      <c r="W476" s="43" t="s">
        <v>711</v>
      </c>
      <c r="X476" s="33"/>
      <c r="Y476" s="27"/>
      <c r="Z476" s="29"/>
    </row>
    <row r="477" spans="2:26" ht="21" customHeight="1" x14ac:dyDescent="0.35">
      <c r="B477" s="114"/>
      <c r="C477" s="117" t="s">
        <v>1181</v>
      </c>
      <c r="D477" s="96" t="s">
        <v>702</v>
      </c>
      <c r="E477" s="27" t="s">
        <v>44</v>
      </c>
      <c r="F477" s="37" t="s">
        <v>45</v>
      </c>
      <c r="G477" s="33" t="s">
        <v>206</v>
      </c>
      <c r="H477" s="27" t="s">
        <v>523</v>
      </c>
      <c r="I477" s="27" t="s">
        <v>206</v>
      </c>
      <c r="J477" s="37" t="s">
        <v>523</v>
      </c>
      <c r="K477" s="39" t="s">
        <v>643</v>
      </c>
      <c r="L477" s="28" t="s">
        <v>644</v>
      </c>
      <c r="M477" s="28" t="s">
        <v>48</v>
      </c>
      <c r="N477" s="41" t="s">
        <v>628</v>
      </c>
      <c r="O477" s="39"/>
      <c r="P477" s="28"/>
      <c r="Q477" s="28"/>
      <c r="R477" s="41"/>
      <c r="S477" s="39"/>
      <c r="T477" s="41" t="s">
        <v>629</v>
      </c>
      <c r="U477" s="39"/>
      <c r="V477" s="41"/>
      <c r="W477" s="43" t="s">
        <v>711</v>
      </c>
      <c r="X477" s="33"/>
      <c r="Y477" s="27"/>
      <c r="Z477" s="29"/>
    </row>
    <row r="478" spans="2:26" ht="21" customHeight="1" x14ac:dyDescent="0.35">
      <c r="B478" s="114"/>
      <c r="C478" s="117" t="s">
        <v>1182</v>
      </c>
      <c r="D478" s="96" t="s">
        <v>703</v>
      </c>
      <c r="E478" s="27" t="s">
        <v>44</v>
      </c>
      <c r="F478" s="37" t="s">
        <v>45</v>
      </c>
      <c r="G478" s="33" t="s">
        <v>206</v>
      </c>
      <c r="H478" s="27" t="s">
        <v>523</v>
      </c>
      <c r="I478" s="27" t="s">
        <v>206</v>
      </c>
      <c r="J478" s="37" t="s">
        <v>523</v>
      </c>
      <c r="K478" s="39" t="s">
        <v>646</v>
      </c>
      <c r="L478" s="28" t="s">
        <v>647</v>
      </c>
      <c r="M478" s="28" t="s">
        <v>48</v>
      </c>
      <c r="N478" s="41" t="s">
        <v>628</v>
      </c>
      <c r="O478" s="39"/>
      <c r="P478" s="28"/>
      <c r="Q478" s="28"/>
      <c r="R478" s="41"/>
      <c r="S478" s="39"/>
      <c r="T478" s="41" t="s">
        <v>629</v>
      </c>
      <c r="U478" s="39"/>
      <c r="V478" s="41"/>
      <c r="W478" s="43" t="s">
        <v>711</v>
      </c>
      <c r="X478" s="33"/>
      <c r="Y478" s="27"/>
      <c r="Z478" s="29"/>
    </row>
    <row r="479" spans="2:26" ht="21" customHeight="1" x14ac:dyDescent="0.35">
      <c r="B479" s="114"/>
      <c r="C479" s="117" t="s">
        <v>1183</v>
      </c>
      <c r="D479" s="96" t="s">
        <v>704</v>
      </c>
      <c r="E479" s="27" t="s">
        <v>44</v>
      </c>
      <c r="F479" s="37" t="s">
        <v>45</v>
      </c>
      <c r="G479" s="33" t="s">
        <v>206</v>
      </c>
      <c r="H479" s="27" t="s">
        <v>523</v>
      </c>
      <c r="I479" s="27" t="s">
        <v>206</v>
      </c>
      <c r="J479" s="37" t="s">
        <v>523</v>
      </c>
      <c r="K479" s="39" t="s">
        <v>184</v>
      </c>
      <c r="L479" s="28" t="s">
        <v>649</v>
      </c>
      <c r="M479" s="28" t="s">
        <v>48</v>
      </c>
      <c r="N479" s="41" t="s">
        <v>628</v>
      </c>
      <c r="O479" s="39"/>
      <c r="P479" s="28"/>
      <c r="Q479" s="28"/>
      <c r="R479" s="41"/>
      <c r="S479" s="39"/>
      <c r="T479" s="41" t="s">
        <v>629</v>
      </c>
      <c r="U479" s="39"/>
      <c r="V479" s="41"/>
      <c r="W479" s="43" t="s">
        <v>711</v>
      </c>
      <c r="X479" s="33"/>
      <c r="Y479" s="27"/>
      <c r="Z479" s="29"/>
    </row>
    <row r="480" spans="2:26" ht="21" customHeight="1" x14ac:dyDescent="0.35">
      <c r="B480" s="114"/>
      <c r="C480" s="117" t="s">
        <v>1184</v>
      </c>
      <c r="D480" s="96" t="s">
        <v>705</v>
      </c>
      <c r="E480" s="27" t="s">
        <v>44</v>
      </c>
      <c r="F480" s="37" t="s">
        <v>45</v>
      </c>
      <c r="G480" s="33" t="s">
        <v>206</v>
      </c>
      <c r="H480" s="27" t="s">
        <v>523</v>
      </c>
      <c r="I480" s="27" t="s">
        <v>206</v>
      </c>
      <c r="J480" s="37" t="s">
        <v>523</v>
      </c>
      <c r="K480" s="39" t="s">
        <v>184</v>
      </c>
      <c r="L480" s="28" t="s">
        <v>651</v>
      </c>
      <c r="M480" s="28" t="s">
        <v>48</v>
      </c>
      <c r="N480" s="41" t="s">
        <v>628</v>
      </c>
      <c r="O480" s="39"/>
      <c r="P480" s="28"/>
      <c r="Q480" s="28"/>
      <c r="R480" s="41"/>
      <c r="S480" s="39"/>
      <c r="T480" s="41" t="s">
        <v>629</v>
      </c>
      <c r="U480" s="39"/>
      <c r="V480" s="41"/>
      <c r="W480" s="43" t="s">
        <v>711</v>
      </c>
      <c r="X480" s="33"/>
      <c r="Y480" s="27"/>
      <c r="Z480" s="29"/>
    </row>
    <row r="481" spans="2:26" ht="21" customHeight="1" x14ac:dyDescent="0.35">
      <c r="B481" s="114"/>
      <c r="C481" s="117" t="s">
        <v>1185</v>
      </c>
      <c r="D481" s="96" t="s">
        <v>706</v>
      </c>
      <c r="E481" s="27" t="s">
        <v>44</v>
      </c>
      <c r="F481" s="37" t="s">
        <v>45</v>
      </c>
      <c r="G481" s="33" t="s">
        <v>206</v>
      </c>
      <c r="H481" s="27" t="s">
        <v>523</v>
      </c>
      <c r="I481" s="27" t="s">
        <v>206</v>
      </c>
      <c r="J481" s="37" t="s">
        <v>523</v>
      </c>
      <c r="K481" s="39" t="s">
        <v>184</v>
      </c>
      <c r="L481" s="28" t="s">
        <v>653</v>
      </c>
      <c r="M481" s="28" t="s">
        <v>48</v>
      </c>
      <c r="N481" s="41" t="s">
        <v>628</v>
      </c>
      <c r="O481" s="39"/>
      <c r="P481" s="28"/>
      <c r="Q481" s="28"/>
      <c r="R481" s="41"/>
      <c r="S481" s="39"/>
      <c r="T481" s="41" t="s">
        <v>629</v>
      </c>
      <c r="U481" s="39"/>
      <c r="V481" s="41"/>
      <c r="W481" s="43" t="s">
        <v>711</v>
      </c>
      <c r="X481" s="33"/>
      <c r="Y481" s="27"/>
      <c r="Z481" s="29"/>
    </row>
    <row r="482" spans="2:26" ht="21" customHeight="1" x14ac:dyDescent="0.35">
      <c r="B482" s="114"/>
      <c r="C482" s="117" t="s">
        <v>1186</v>
      </c>
      <c r="D482" s="96" t="s">
        <v>707</v>
      </c>
      <c r="E482" s="27" t="s">
        <v>44</v>
      </c>
      <c r="F482" s="37" t="s">
        <v>45</v>
      </c>
      <c r="G482" s="33" t="s">
        <v>206</v>
      </c>
      <c r="H482" s="27" t="s">
        <v>523</v>
      </c>
      <c r="I482" s="27" t="s">
        <v>206</v>
      </c>
      <c r="J482" s="37" t="s">
        <v>523</v>
      </c>
      <c r="K482" s="39" t="s">
        <v>184</v>
      </c>
      <c r="L482" s="28" t="s">
        <v>655</v>
      </c>
      <c r="M482" s="28" t="s">
        <v>48</v>
      </c>
      <c r="N482" s="41" t="s">
        <v>628</v>
      </c>
      <c r="O482" s="39"/>
      <c r="P482" s="28"/>
      <c r="Q482" s="28"/>
      <c r="R482" s="41"/>
      <c r="S482" s="39"/>
      <c r="T482" s="41" t="s">
        <v>629</v>
      </c>
      <c r="U482" s="39"/>
      <c r="V482" s="41"/>
      <c r="W482" s="43" t="s">
        <v>711</v>
      </c>
      <c r="X482" s="33"/>
      <c r="Y482" s="27"/>
      <c r="Z482" s="29"/>
    </row>
    <row r="483" spans="2:26" ht="21" customHeight="1" x14ac:dyDescent="0.35">
      <c r="B483" s="114"/>
      <c r="C483" s="117" t="s">
        <v>1187</v>
      </c>
      <c r="D483" s="96" t="s">
        <v>708</v>
      </c>
      <c r="E483" s="27" t="s">
        <v>44</v>
      </c>
      <c r="F483" s="37" t="s">
        <v>45</v>
      </c>
      <c r="G483" s="33" t="s">
        <v>206</v>
      </c>
      <c r="H483" s="27" t="s">
        <v>523</v>
      </c>
      <c r="I483" s="27" t="s">
        <v>206</v>
      </c>
      <c r="J483" s="37" t="s">
        <v>523</v>
      </c>
      <c r="K483" s="39" t="s">
        <v>184</v>
      </c>
      <c r="L483" s="28" t="s">
        <v>657</v>
      </c>
      <c r="M483" s="28" t="s">
        <v>48</v>
      </c>
      <c r="N483" s="41" t="s">
        <v>628</v>
      </c>
      <c r="O483" s="39"/>
      <c r="P483" s="28"/>
      <c r="Q483" s="28"/>
      <c r="R483" s="41"/>
      <c r="S483" s="39"/>
      <c r="T483" s="41" t="s">
        <v>629</v>
      </c>
      <c r="U483" s="39"/>
      <c r="V483" s="41"/>
      <c r="W483" s="43" t="s">
        <v>711</v>
      </c>
      <c r="X483" s="33"/>
      <c r="Y483" s="27"/>
      <c r="Z483" s="29"/>
    </row>
    <row r="484" spans="2:26" ht="21" customHeight="1" x14ac:dyDescent="0.35">
      <c r="B484" s="114"/>
      <c r="C484" s="117" t="s">
        <v>1188</v>
      </c>
      <c r="D484" s="96" t="s">
        <v>709</v>
      </c>
      <c r="E484" s="27" t="s">
        <v>44</v>
      </c>
      <c r="F484" s="37" t="s">
        <v>45</v>
      </c>
      <c r="G484" s="33" t="s">
        <v>206</v>
      </c>
      <c r="H484" s="27" t="s">
        <v>523</v>
      </c>
      <c r="I484" s="27" t="s">
        <v>206</v>
      </c>
      <c r="J484" s="37" t="s">
        <v>523</v>
      </c>
      <c r="K484" s="39" t="s">
        <v>659</v>
      </c>
      <c r="L484" s="28" t="s">
        <v>660</v>
      </c>
      <c r="M484" s="28" t="s">
        <v>48</v>
      </c>
      <c r="N484" s="41" t="s">
        <v>628</v>
      </c>
      <c r="O484" s="39"/>
      <c r="P484" s="28"/>
      <c r="Q484" s="28"/>
      <c r="R484" s="41"/>
      <c r="S484" s="39"/>
      <c r="T484" s="41" t="s">
        <v>629</v>
      </c>
      <c r="U484" s="39"/>
      <c r="V484" s="41"/>
      <c r="W484" s="43" t="s">
        <v>711</v>
      </c>
      <c r="X484" s="33"/>
      <c r="Y484" s="27"/>
      <c r="Z484" s="29"/>
    </row>
    <row r="485" spans="2:26" ht="21" customHeight="1" x14ac:dyDescent="0.35">
      <c r="B485" s="114"/>
      <c r="C485" s="117" t="s">
        <v>1189</v>
      </c>
      <c r="D485" s="96" t="s">
        <v>710</v>
      </c>
      <c r="E485" s="27" t="s">
        <v>44</v>
      </c>
      <c r="F485" s="37" t="s">
        <v>45</v>
      </c>
      <c r="G485" s="33" t="s">
        <v>206</v>
      </c>
      <c r="H485" s="27" t="s">
        <v>523</v>
      </c>
      <c r="I485" s="27" t="s">
        <v>206</v>
      </c>
      <c r="J485" s="37" t="s">
        <v>523</v>
      </c>
      <c r="K485" s="39" t="s">
        <v>159</v>
      </c>
      <c r="L485" s="28" t="s">
        <v>662</v>
      </c>
      <c r="M485" s="28" t="s">
        <v>48</v>
      </c>
      <c r="N485" s="41" t="s">
        <v>628</v>
      </c>
      <c r="O485" s="39"/>
      <c r="P485" s="28"/>
      <c r="Q485" s="28"/>
      <c r="R485" s="41"/>
      <c r="S485" s="39"/>
      <c r="T485" s="41" t="s">
        <v>629</v>
      </c>
      <c r="U485" s="39"/>
      <c r="V485" s="41"/>
      <c r="W485" s="43" t="s">
        <v>711</v>
      </c>
      <c r="X485" s="33"/>
      <c r="Y485" s="27"/>
      <c r="Z485" s="29"/>
    </row>
    <row r="486" spans="2:26" ht="21" customHeight="1" x14ac:dyDescent="0.35">
      <c r="B486" s="114"/>
      <c r="C486" s="117"/>
      <c r="D486" s="33"/>
      <c r="E486" s="27"/>
      <c r="F486" s="37"/>
      <c r="G486" s="33"/>
      <c r="H486" s="27"/>
      <c r="I486" s="27"/>
      <c r="J486" s="37"/>
      <c r="K486" s="39"/>
      <c r="L486" s="28"/>
      <c r="M486" s="28"/>
      <c r="N486" s="41"/>
      <c r="O486" s="39"/>
      <c r="P486" s="28"/>
      <c r="Q486" s="28"/>
      <c r="R486" s="41"/>
      <c r="S486" s="39"/>
      <c r="T486" s="41"/>
      <c r="U486" s="39"/>
      <c r="V486" s="41"/>
      <c r="W486" s="43"/>
      <c r="X486" s="33"/>
      <c r="Y486" s="27"/>
      <c r="Z486" s="29"/>
    </row>
    <row r="487" spans="2:26" ht="21" customHeight="1" x14ac:dyDescent="0.35">
      <c r="B487" s="114"/>
      <c r="C487" s="117"/>
      <c r="D487" s="33"/>
      <c r="E487" s="27"/>
      <c r="F487" s="37"/>
      <c r="G487" s="33"/>
      <c r="H487" s="27"/>
      <c r="I487" s="27"/>
      <c r="J487" s="37"/>
      <c r="K487" s="39"/>
      <c r="L487" s="28"/>
      <c r="M487" s="28"/>
      <c r="N487" s="41"/>
      <c r="O487" s="39"/>
      <c r="P487" s="28"/>
      <c r="Q487" s="28"/>
      <c r="R487" s="41"/>
      <c r="S487" s="39"/>
      <c r="T487" s="41"/>
      <c r="U487" s="39"/>
      <c r="V487" s="41"/>
      <c r="W487" s="43"/>
      <c r="X487" s="33"/>
      <c r="Y487" s="27"/>
      <c r="Z487" s="29"/>
    </row>
    <row r="488" spans="2:26" ht="21" customHeight="1" x14ac:dyDescent="0.35">
      <c r="B488" s="114"/>
      <c r="C488" s="117"/>
      <c r="D488" s="33"/>
      <c r="E488" s="27"/>
      <c r="F488" s="37"/>
      <c r="G488" s="33"/>
      <c r="H488" s="27"/>
      <c r="I488" s="27"/>
      <c r="J488" s="37"/>
      <c r="K488" s="39"/>
      <c r="L488" s="28"/>
      <c r="M488" s="28"/>
      <c r="N488" s="41"/>
      <c r="O488" s="39"/>
      <c r="P488" s="28"/>
      <c r="Q488" s="28"/>
      <c r="R488" s="41"/>
      <c r="S488" s="39"/>
      <c r="T488" s="41"/>
      <c r="U488" s="39"/>
      <c r="V488" s="41"/>
      <c r="W488" s="43"/>
      <c r="X488" s="33"/>
      <c r="Y488" s="27"/>
      <c r="Z488" s="29"/>
    </row>
    <row r="489" spans="2:26" ht="21" customHeight="1" x14ac:dyDescent="0.35">
      <c r="B489" s="114"/>
      <c r="C489" s="117"/>
      <c r="D489" s="33"/>
      <c r="E489" s="27"/>
      <c r="F489" s="37"/>
      <c r="G489" s="33"/>
      <c r="H489" s="27"/>
      <c r="I489" s="27"/>
      <c r="J489" s="37"/>
      <c r="K489" s="39"/>
      <c r="L489" s="28"/>
      <c r="M489" s="28"/>
      <c r="N489" s="41"/>
      <c r="O489" s="39"/>
      <c r="P489" s="28"/>
      <c r="Q489" s="28"/>
      <c r="R489" s="41"/>
      <c r="S489" s="39"/>
      <c r="T489" s="41"/>
      <c r="U489" s="39"/>
      <c r="V489" s="41"/>
      <c r="W489" s="43"/>
      <c r="X489" s="33"/>
      <c r="Y489" s="27"/>
      <c r="Z489" s="29"/>
    </row>
    <row r="490" spans="2:26" ht="21" customHeight="1" thickBot="1" x14ac:dyDescent="0.4">
      <c r="B490" s="115"/>
      <c r="C490" s="118"/>
      <c r="D490" s="34"/>
      <c r="E490" s="30"/>
      <c r="F490" s="38"/>
      <c r="G490" s="34"/>
      <c r="H490" s="30"/>
      <c r="I490" s="30"/>
      <c r="J490" s="38"/>
      <c r="K490" s="40"/>
      <c r="L490" s="31"/>
      <c r="M490" s="31"/>
      <c r="N490" s="42"/>
      <c r="O490" s="40"/>
      <c r="P490" s="31"/>
      <c r="Q490" s="31"/>
      <c r="R490" s="42"/>
      <c r="S490" s="40"/>
      <c r="T490" s="42"/>
      <c r="U490" s="40"/>
      <c r="V490" s="42"/>
      <c r="W490" s="44"/>
      <c r="X490" s="34"/>
      <c r="Y490" s="30"/>
      <c r="Z490" s="32"/>
    </row>
  </sheetData>
  <autoFilter ref="D9:Z490" xr:uid="{00000000-0001-0000-0100-000000000000}"/>
  <mergeCells count="4">
    <mergeCell ref="G3:I3"/>
    <mergeCell ref="G4:I4"/>
    <mergeCell ref="G5:I5"/>
    <mergeCell ref="G6:I6"/>
  </mergeCells>
  <phoneticPr fontId="2"/>
  <conditionalFormatting sqref="AC10:AD367">
    <cfRule type="expression" dxfId="3" priority="2">
      <formula>ISERROR(AC10)</formula>
    </cfRule>
  </conditionalFormatting>
  <conditionalFormatting sqref="AE10:AM367">
    <cfRule type="expression" dxfId="2" priority="1">
      <formula>NOT(AE10=O10)</formula>
    </cfRule>
  </conditionalFormatting>
  <dataValidations count="2">
    <dataValidation type="custom" showInputMessage="1" showErrorMessage="1" error="末尾にスラッシュは入力できません。" sqref="G3" xr:uid="{00000000-0002-0000-0100-000000000000}">
      <formula1>RIGHT($G$3,1)&lt;&gt;"/"</formula1>
    </dataValidation>
    <dataValidation type="list" allowBlank="1" showInputMessage="1" showErrorMessage="1" sqref="B10:B490" xr:uid="{CE1A06CC-DB02-4F6C-B2EB-2C37E047F6F7}">
      <formula1>"新規,更新"</formula1>
    </dataValidation>
  </dataValidations>
  <hyperlinks>
    <hyperlink ref="D10" r:id="rId1" display="http://internal-awcp0018-alb00105-616219119.ap-northeast-1.elb.amazonaws.com/NPM_Innovator/?StartItem=z_sm_ParaValue:DA30DFBFE7984B3AB7D64C8E00601144" xr:uid="{BB53E643-C4E6-44B9-B129-3C611A6633BE}"/>
    <hyperlink ref="D11" r:id="rId2" display="http://internal-awcp0018-alb00105-616219119.ap-northeast-1.elb.amazonaws.com/NPM_Innovator/?StartItem=z_sm_ParaValue:E31254FAFE004618961108384C89EEA2" xr:uid="{03D789E2-5414-4D40-B9F7-BC1CA7A09842}"/>
    <hyperlink ref="D12" r:id="rId3" display="http://internal-awcp0018-alb00105-616219119.ap-northeast-1.elb.amazonaws.com/NPM_Innovator/?StartItem=z_sm_ParaValue:6F2E90BEFBD042E3810CF274783D2487" xr:uid="{F0A0D327-B5FA-4FE2-A2ED-053046E31A7C}"/>
    <hyperlink ref="D13" r:id="rId4" display="http://internal-awcp0018-alb00105-616219119.ap-northeast-1.elb.amazonaws.com/NPM_Innovator/?StartItem=z_sm_ParaValue:6F5CD19E6BEE47EBA7995123A05A4E9D" xr:uid="{17D03CEA-C61F-4478-B091-A37584FFDBEA}"/>
    <hyperlink ref="D14" r:id="rId5" display="http://internal-awcp0018-alb00105-616219119.ap-northeast-1.elb.amazonaws.com/NPM_Innovator/?StartItem=z_sm_ParaValue:D36B477ACC3E40F08AA34209DAD96BA6" xr:uid="{761E70D3-7F56-419C-A5BF-A5F412F97C3F}"/>
    <hyperlink ref="D15" r:id="rId6" display="http://internal-awcp0018-alb00105-616219119.ap-northeast-1.elb.amazonaws.com/NPM_Innovator/?StartItem=z_sm_ParaValue:7E02C6E67B154F92A4F0BF78C1B3F555" xr:uid="{D3F82DE3-3CFC-4431-8C33-71871FF66103}"/>
    <hyperlink ref="D16" r:id="rId7" display="http://internal-awcp0018-alb00105-616219119.ap-northeast-1.elb.amazonaws.com/NPM_Innovator/?StartItem=z_sm_ParaValue:7397AA082BE544A9A04A06CDB8FE3004" xr:uid="{B4FD47DE-0931-4871-8129-428D1FA6DB48}"/>
    <hyperlink ref="D17" r:id="rId8" display="http://internal-awcp0018-alb00105-616219119.ap-northeast-1.elb.amazonaws.com/NPM_Innovator/?StartItem=z_sm_ParaValue:9AC61F22BC7A42ED95CBB3AE43591579" xr:uid="{0DE37DF6-7867-4B9E-86FE-2A76607103AB}"/>
    <hyperlink ref="D18" r:id="rId9" display="http://internal-awcp0018-alb00105-616219119.ap-northeast-1.elb.amazonaws.com/NPM_Innovator/?StartItem=z_sm_ParaValue:A182764EDDB94938A0A28B2798381103" xr:uid="{D1797E9E-A404-4874-AFA1-51886B81D119}"/>
    <hyperlink ref="D19" r:id="rId10" display="http://internal-awcp0018-alb00105-616219119.ap-northeast-1.elb.amazonaws.com/NPM_Innovator/?StartItem=z_sm_ParaValue:1629E606059548199A5D5B86DEFD2B56" xr:uid="{598E8600-104B-4DDD-8388-B5EF7668AC23}"/>
    <hyperlink ref="D20" r:id="rId11" display="http://internal-awcp0018-alb00105-616219119.ap-northeast-1.elb.amazonaws.com/NPM_Innovator/?StartItem=z_sm_ParaValue:96C79065D9A344E98B96A1016F6651FA" xr:uid="{ACBE32C5-62EF-49B3-8822-F30982CD6AED}"/>
    <hyperlink ref="D21" r:id="rId12" display="http://internal-awcp0018-alb00105-616219119.ap-northeast-1.elb.amazonaws.com/NPM_Innovator/?StartItem=z_sm_ParaValue:12CE1BFACA4A4A709E4F415516F2BBF0" xr:uid="{A8145750-7D46-4932-8957-D39AB1A44B89}"/>
    <hyperlink ref="D22" r:id="rId13" display="http://internal-awcp0018-alb00105-616219119.ap-northeast-1.elb.amazonaws.com/NPM_Innovator/?StartItem=z_sm_ParaValue:639CBBB9082249F3B732EB1CCE7824EA" xr:uid="{0DDE904F-5657-4BDB-B75C-92249F27877A}"/>
    <hyperlink ref="D23" r:id="rId14" display="http://internal-awcp0018-alb00105-616219119.ap-northeast-1.elb.amazonaws.com/NPM_Innovator/?StartItem=z_sm_ParaValue:7439DCDB1B09493F8281868AE044962A" xr:uid="{2F0CD3EF-8EF2-4125-8AE9-743CD3A2A30B}"/>
    <hyperlink ref="D24" r:id="rId15" display="http://internal-awcp0018-alb00105-616219119.ap-northeast-1.elb.amazonaws.com/NPM_Innovator/?StartItem=z_sm_ParaValue:1C2563B656D14FBCA06E91B7560C2466" xr:uid="{33687996-AC05-4793-8E93-3B502935EC88}"/>
    <hyperlink ref="D25" r:id="rId16" display="http://internal-awcp0018-alb00105-616219119.ap-northeast-1.elb.amazonaws.com/NPM_Innovator/?StartItem=z_sm_ParaValue:98D3D4E964E84E5A9B4AAA3A39B0C852" xr:uid="{364103DF-BB9A-4C69-A949-A07B4D21D230}"/>
    <hyperlink ref="D26" r:id="rId17" display="http://internal-awcp0018-alb00105-616219119.ap-northeast-1.elb.amazonaws.com/NPM_Innovator/?StartItem=z_sm_ParaValue:649A821DE5E74AC29AACE1106038D2E6" xr:uid="{3147A07F-2963-4498-AF02-D44399B344B7}"/>
    <hyperlink ref="D27" r:id="rId18" display="http://internal-awcp0018-alb00105-616219119.ap-northeast-1.elb.amazonaws.com/NPM_Innovator/?StartItem=z_sm_ParaValue:54E0D74C1CA746D78419BA0D8182BD69" xr:uid="{84A2750D-051F-46B9-99FA-98A193541AAF}"/>
    <hyperlink ref="D28" r:id="rId19" display="http://internal-awcp0018-alb00105-616219119.ap-northeast-1.elb.amazonaws.com/NPM_Innovator/?StartItem=z_sm_ParaValue:055366E06684480FA9B42211F83383B6" xr:uid="{C4CDB8F1-09BC-4BD7-803F-D43F16B8309C}"/>
    <hyperlink ref="D29" r:id="rId20" display="http://internal-awcp0018-alb00105-616219119.ap-northeast-1.elb.amazonaws.com/NPM_Innovator/?StartItem=z_sm_ParaValue:A7CE4B0F5901444DB0673575E8064937" xr:uid="{BDEBE889-7FBC-4C91-91DF-C1B26485FFB5}"/>
    <hyperlink ref="D30" r:id="rId21" display="http://internal-awcp0018-alb00105-616219119.ap-northeast-1.elb.amazonaws.com/NPM_Innovator/?StartItem=z_sm_ParaValue:A0E457FCD36C4DFF93EE5374B18BCF1A" xr:uid="{F71252D2-13FA-4689-BA36-061746131C82}"/>
    <hyperlink ref="D31" r:id="rId22" display="http://internal-awcp0018-alb00105-616219119.ap-northeast-1.elb.amazonaws.com/NPM_Innovator/?StartItem=z_sm_ParaValue:AFA98495527041B797AE53806D1DA4B1" xr:uid="{A1343BB7-F8EE-4D2B-8D36-D35962F90691}"/>
    <hyperlink ref="D32" r:id="rId23" display="http://internal-awcp0018-alb00105-616219119.ap-northeast-1.elb.amazonaws.com/NPM_Innovator/?StartItem=z_sm_ParaValue:A68C79ADC7C649FF8B1128AB7CBC4C67" xr:uid="{93E29C5A-2885-46AC-85DE-F3A20952A97B}"/>
    <hyperlink ref="D33" r:id="rId24" display="http://internal-awcp0018-alb00105-616219119.ap-northeast-1.elb.amazonaws.com/NPM_Innovator/?StartItem=z_sm_ParaValue:80EFAF747E58405FBBFEB415D8A784F7" xr:uid="{ACC52063-DFFF-4AF4-8A7C-F7F2BAB1C667}"/>
    <hyperlink ref="D34" r:id="rId25" display="http://internal-awcp0018-alb00105-616219119.ap-northeast-1.elb.amazonaws.com/NPM_Innovator/?StartItem=z_sm_ParaValue:5D128958A3C8490DADAEA4726984A605" xr:uid="{99C53056-6EFF-4BE4-98E7-91C8178C9246}"/>
    <hyperlink ref="D35" r:id="rId26" display="http://internal-awcp0018-alb00105-616219119.ap-northeast-1.elb.amazonaws.com/NPM_Innovator/?StartItem=z_sm_ParaValue:3D4E6CEFB9964A178C10B68CFEA62060" xr:uid="{08E6E92C-80CA-4E86-ACF2-F8C21A2E1BE5}"/>
    <hyperlink ref="D36" r:id="rId27" display="http://internal-awcp0018-alb00105-616219119.ap-northeast-1.elb.amazonaws.com/NPM_Innovator/?StartItem=z_sm_ParaValue:550B6C02C8ED4F799EE757B2440E80DF" xr:uid="{88FDED12-0E37-48EB-957E-302CCC632765}"/>
    <hyperlink ref="D37" r:id="rId28" display="http://internal-awcp0018-alb00105-616219119.ap-northeast-1.elb.amazonaws.com/NPM_Innovator/?StartItem=z_sm_ParaValue:7CA870C2635942B3BEBDE9B5A8C91570" xr:uid="{7FA1A13B-A9F3-43E5-B25B-A0E30404291F}"/>
    <hyperlink ref="D38" r:id="rId29" display="http://internal-awcp0018-alb00105-616219119.ap-northeast-1.elb.amazonaws.com/NPM_Innovator/?StartItem=z_sm_ParaValue:3EEAA60850EC436B800031588DF650D6" xr:uid="{6363B6CF-927C-4A3E-94B2-91C1A1062711}"/>
    <hyperlink ref="D39" r:id="rId30" display="http://internal-awcp0018-alb00105-616219119.ap-northeast-1.elb.amazonaws.com/NPM_Innovator/?StartItem=z_sm_ParaValue:2610C839659944A78A2F8A6D6E0AB161" xr:uid="{259DBACD-406D-4E32-8465-4F6DF6CCA520}"/>
    <hyperlink ref="D40" r:id="rId31" display="http://internal-awcp0018-alb00105-616219119.ap-northeast-1.elb.amazonaws.com/NPM_Innovator/?StartItem=z_sm_ParaValue:9D60214B107542C5AC38E6425BAF9E21" xr:uid="{CFCA1B17-64C6-4F9F-8EE1-4138EFB85062}"/>
    <hyperlink ref="D41" r:id="rId32" display="http://internal-awcp0018-alb00105-616219119.ap-northeast-1.elb.amazonaws.com/NPM_Innovator/?StartItem=z_sm_ParaValue:3177B95CCE7F488596DDE7746F54AC90" xr:uid="{236B0991-A3EC-4333-A406-09ECCB0E8C3D}"/>
    <hyperlink ref="D42" r:id="rId33" display="http://internal-awcp0018-alb00105-616219119.ap-northeast-1.elb.amazonaws.com/NPM_Innovator/?StartItem=z_sm_ParaValue:D62DE64D52004DCB8C1F6900E4E6ECCA" xr:uid="{25C3FD2B-5EF6-47DA-9752-DABF7F5E974B}"/>
    <hyperlink ref="D43" r:id="rId34" display="http://internal-awcp0018-alb00105-616219119.ap-northeast-1.elb.amazonaws.com/NPM_Innovator/?StartItem=z_sm_ParaValue:C1A719B245BB4A1CBBCC6CE5834AB4E7" xr:uid="{EC88A9FC-881A-43ED-B511-8BE87CA74385}"/>
    <hyperlink ref="D44" r:id="rId35" display="http://internal-awcp0018-alb00105-616219119.ap-northeast-1.elb.amazonaws.com/NPM_Innovator/?StartItem=z_sm_ParaValue:83774A1CDA9747F18C7E611A4B2E0D46" xr:uid="{A8471C1A-85DD-48E1-932C-448489660D68}"/>
    <hyperlink ref="D45" r:id="rId36" display="http://internal-awcp0018-alb00105-616219119.ap-northeast-1.elb.amazonaws.com/NPM_Innovator/?StartItem=z_sm_ParaValue:9BA66B4C22954894A7B62AAFD48245D0" xr:uid="{C9E54D4D-BBA6-4E2E-BC7B-72DA452ED5AF}"/>
    <hyperlink ref="D46" r:id="rId37" display="http://internal-awcp0018-alb00105-616219119.ap-northeast-1.elb.amazonaws.com/NPM_Innovator/?StartItem=z_sm_ParaValue:A3662D0EFBAF49E79322CA58B2B5B3CA" xr:uid="{C4E2860A-947A-4E36-A818-4892EF88F2C0}"/>
    <hyperlink ref="D47" r:id="rId38" display="http://internal-awcp0018-alb00105-616219119.ap-northeast-1.elb.amazonaws.com/NPM_Innovator/?StartItem=z_sm_ParaValue:6E98B179E3C847E19467E51F679074D3" xr:uid="{D4D98B1D-6033-4C4E-BC73-96B77D33B0B6}"/>
    <hyperlink ref="D48" r:id="rId39" display="http://internal-awcp0018-alb00105-616219119.ap-northeast-1.elb.amazonaws.com/NPM_Innovator/?StartItem=z_sm_ParaValue:817CD89CC00A4244934D3BA54CB0C94C" xr:uid="{128D3741-5AFB-4D19-8026-03E7B159D0EE}"/>
    <hyperlink ref="D49" r:id="rId40" display="http://internal-awcp0018-alb00105-616219119.ap-northeast-1.elb.amazonaws.com/NPM_Innovator/?StartItem=z_sm_ParaValue:D604A7817B1F4B27A9F6884D27751A31" xr:uid="{50507AE7-DE3D-48EC-AF92-91BA665B9ACB}"/>
    <hyperlink ref="D50" r:id="rId41" display="http://internal-awcp0018-alb00105-616219119.ap-northeast-1.elb.amazonaws.com/NPM_Innovator/?StartItem=z_sm_ParaValue:E97523E91D5548EEA99C6BE9D7641DF9" xr:uid="{D3A2B379-8FAE-47CC-A810-CA735E00F2DE}"/>
    <hyperlink ref="D51" r:id="rId42" display="http://internal-awcp0018-alb00105-616219119.ap-northeast-1.elb.amazonaws.com/NPM_Innovator/?StartItem=z_sm_ParaValue:147E3D795BD048419DC7160E7F502869" xr:uid="{BEF5BF1B-1A4B-40ED-BCC7-496FC4ECB368}"/>
    <hyperlink ref="D52" r:id="rId43" display="http://internal-awcp0018-alb00105-616219119.ap-northeast-1.elb.amazonaws.com/NPM_Innovator/?StartItem=z_sm_ParaValue:8C12D0715F5E445F960475D0F00CD623" xr:uid="{2B1AC2A2-6A1B-4F7D-B102-FA5FEE8182C2}"/>
    <hyperlink ref="D53" r:id="rId44" display="http://internal-awcp0018-alb00105-616219119.ap-northeast-1.elb.amazonaws.com/NPM_Innovator/?StartItem=z_sm_ParaValue:1F114F0EAAB14D3CBF0DEC060AB60ACE" xr:uid="{A9CE0F12-4BC9-4345-BD60-BE5943AD3902}"/>
    <hyperlink ref="D54" r:id="rId45" display="http://internal-awcp0018-alb00105-616219119.ap-northeast-1.elb.amazonaws.com/NPM_Innovator/?StartItem=z_sm_ParaValue:D7F681865F744FA28DBD1743D76300E4" xr:uid="{CDF529C1-44CE-4F39-840C-608F0C523935}"/>
    <hyperlink ref="D55" r:id="rId46" display="http://internal-awcp0018-alb00105-616219119.ap-northeast-1.elb.amazonaws.com/NPM_Innovator/?StartItem=z_sm_ParaValue:00A4C0CFDB204B909EAA5397AC47CA82" xr:uid="{25A93EB3-DB07-46BD-ACD8-6163B2914380}"/>
    <hyperlink ref="D56" r:id="rId47" display="http://internal-awcp0018-alb00105-616219119.ap-northeast-1.elb.amazonaws.com/NPM_Innovator/?StartItem=z_sm_ParaValue:973CACB336804E86A604AFBF45323CAD" xr:uid="{18C1245E-05D0-4EE8-A89C-1A7295A7CA8C}"/>
    <hyperlink ref="D57" r:id="rId48" display="http://internal-awcp0018-alb00105-616219119.ap-northeast-1.elb.amazonaws.com/NPM_Innovator/?StartItem=z_sm_ParaValue:79B4E5DE6C77414389DDDA3456BA217F" xr:uid="{76FBA428-6A43-4A9D-A84C-C7E67CE89F4B}"/>
    <hyperlink ref="D58" r:id="rId49" display="http://internal-awcp0018-alb00105-616219119.ap-northeast-1.elb.amazonaws.com/NPM_Innovator/?StartItem=z_sm_ParaValue:F512D98E0FE845F6AFE7C391B7E470BD" xr:uid="{967FE59C-6FA0-465D-8389-D4A5C1B382B6}"/>
    <hyperlink ref="D59" r:id="rId50" display="http://internal-awcp0018-alb00105-616219119.ap-northeast-1.elb.amazonaws.com/NPM_Innovator/?StartItem=z_sm_ParaValue:D837F145AEC347D0BFDE2EFAD1A537C2" xr:uid="{766D242F-A714-45D6-A381-594D22528808}"/>
    <hyperlink ref="D60" r:id="rId51" display="http://internal-awcp0018-alb00105-616219119.ap-northeast-1.elb.amazonaws.com/NPM_Innovator/?StartItem=z_sm_ParaValue:963B776FADC141A780285FEF44DC86DA" xr:uid="{E87D4513-66F9-44C3-BEAB-3DFFAA454462}"/>
    <hyperlink ref="D61" r:id="rId52" display="http://internal-awcp0018-alb00105-616219119.ap-northeast-1.elb.amazonaws.com/NPM_Innovator/?StartItem=z_sm_ParaValue:71CE007C65DB4A56836932CAEC8C68F6" xr:uid="{A9258623-44BE-49CB-92BC-EA61793F088D}"/>
    <hyperlink ref="D62" r:id="rId53" display="http://internal-awcp0018-alb00105-616219119.ap-northeast-1.elb.amazonaws.com/NPM_Innovator/?StartItem=z_sm_ParaValue:B062B5A949C845FE8D92B66B3E86E9D1" xr:uid="{6B2EEDD5-10B9-4473-B65B-65172DBDBD36}"/>
    <hyperlink ref="D63" r:id="rId54" display="http://internal-awcp0018-alb00105-616219119.ap-northeast-1.elb.amazonaws.com/NPM_Innovator/?StartItem=z_sm_ParaValue:19596108C6C547C6AAE356363569FECE" xr:uid="{DC72E5E6-9A23-4B99-B355-D7B025EB0AE5}"/>
    <hyperlink ref="D64" r:id="rId55" display="http://internal-awcp0018-alb00105-616219119.ap-northeast-1.elb.amazonaws.com/NPM_Innovator/?StartItem=z_sm_ParaValue:0EAF06F46DB046F8838D671076971D26" xr:uid="{41604734-0CCF-406F-9368-2AE80DFA83BB}"/>
    <hyperlink ref="D65" r:id="rId56" display="http://internal-awcp0018-alb00105-616219119.ap-northeast-1.elb.amazonaws.com/NPM_Innovator/?StartItem=z_sm_ParaValue:06076357F3AD4A1F8D05AB0016054FCF" xr:uid="{779418E9-F063-47D6-A596-DA92DE639258}"/>
    <hyperlink ref="D66" r:id="rId57" display="http://internal-awcp0018-alb00105-616219119.ap-northeast-1.elb.amazonaws.com/NPM_Innovator/?StartItem=z_sm_ParaValue:61E0FB398123407FAC2E8BB82683BC3A" xr:uid="{DAD9E41A-108F-446C-8E13-02B7403303FE}"/>
    <hyperlink ref="D67" r:id="rId58" display="http://internal-awcp0018-alb00105-616219119.ap-northeast-1.elb.amazonaws.com/NPM_Innovator/?StartItem=z_sm_ParaValue:C8ABEDB5239C4B89B657623123CF13BD" xr:uid="{412B0392-F52C-4AAF-B1D4-C8F7513A3F8C}"/>
    <hyperlink ref="D68" r:id="rId59" display="http://internal-awcp0018-alb00105-616219119.ap-northeast-1.elb.amazonaws.com/NPM_Innovator/?StartItem=z_sm_ParaValue:35E891A1293C477FBB056A196332867F" xr:uid="{DAFB7C3D-CAD5-4D3A-B82B-0B72CFF13D84}"/>
    <hyperlink ref="D69" r:id="rId60" display="http://internal-awcp0018-alb00105-616219119.ap-northeast-1.elb.amazonaws.com/NPM_Innovator/?StartItem=z_sm_ParaValue:E76F51FE39E24DF7A993A60EA179EAE1" xr:uid="{E8DEF73B-3953-4319-A02C-1A8D1A55FA5D}"/>
    <hyperlink ref="D70" r:id="rId61" display="http://internal-awcp0018-alb00105-616219119.ap-northeast-1.elb.amazonaws.com/NPM_Innovator/?StartItem=z_sm_ParaValue:4C27BE351F43497BAAFB63D4FE8D0DD9" xr:uid="{F1812097-FACE-4094-8AC3-A644ED8B9F42}"/>
    <hyperlink ref="D71" r:id="rId62" display="http://internal-awcp0018-alb00105-616219119.ap-northeast-1.elb.amazonaws.com/NPM_Innovator/?StartItem=z_sm_ParaValue:F999E783354749848609C0A58B28EC00" xr:uid="{09D6D1F2-E99E-42FD-9B49-21BD397E1CB9}"/>
    <hyperlink ref="D72" r:id="rId63" display="http://internal-awcp0018-alb00105-616219119.ap-northeast-1.elb.amazonaws.com/NPM_Innovator/?StartItem=z_sm_ParaValue:81395B00C2734A3A9640FC0D442F0893" xr:uid="{82FEB82E-870D-4B42-8B40-0F47A0DAB985}"/>
    <hyperlink ref="D73" r:id="rId64" display="http://internal-awcp0018-alb00105-616219119.ap-northeast-1.elb.amazonaws.com/NPM_Innovator/?StartItem=z_sm_ParaValue:EFFE7B049F7F41FEA0E57E2716E4D3C2" xr:uid="{07EB7947-3F24-40FC-8658-7C0CDE25EEDE}"/>
    <hyperlink ref="D74" r:id="rId65" display="http://internal-awcp0018-alb00105-616219119.ap-northeast-1.elb.amazonaws.com/NPM_Innovator/?StartItem=z_sm_ParaValue:A82C06623C854B9BB9C7EB1DF7494847" xr:uid="{EBA8B0F5-78CA-4B30-B1A5-06A92C25F6B9}"/>
    <hyperlink ref="D75" r:id="rId66" display="http://internal-awcp0018-alb00105-616219119.ap-northeast-1.elb.amazonaws.com/NPM_Innovator/?StartItem=z_sm_ParaValue:65BDE7BA193649798EBA7F3F4B723810" xr:uid="{D095D88B-E4E8-4167-9BEE-57EBA8E23158}"/>
    <hyperlink ref="D76" r:id="rId67" display="http://internal-awcp0018-alb00105-616219119.ap-northeast-1.elb.amazonaws.com/NPM_Innovator/?StartItem=z_sm_ParaValue:11828573B1CB4A2092460FDB5DBA3F43" xr:uid="{1CF38AA6-4338-4A8D-A4ED-FC77E095F77B}"/>
    <hyperlink ref="D77" r:id="rId68" display="http://internal-awcp0018-alb00105-616219119.ap-northeast-1.elb.amazonaws.com/NPM_Innovator/?StartItem=z_sm_ParaValue:60A2A9E235114E85BF9F33DF1D8A1F2C" xr:uid="{89F66CF8-6AF0-465D-A0A1-2E55165E9ADA}"/>
    <hyperlink ref="D78" r:id="rId69" display="http://internal-awcp0018-alb00105-616219119.ap-northeast-1.elb.amazonaws.com/NPM_Innovator/?StartItem=z_sm_ParaValue:A6AD3A6E929843DE8FF2130E3FEC8484" xr:uid="{2FED8730-7254-4316-992E-580E2E60640A}"/>
    <hyperlink ref="D79" r:id="rId70" display="http://internal-awcp0018-alb00105-616219119.ap-northeast-1.elb.amazonaws.com/NPM_Innovator/?StartItem=z_sm_ParaValue:04274D05AAB8483690D0DE6571C7F8FE" xr:uid="{2344956B-4C39-4DEE-95E4-B4C03F71080C}"/>
    <hyperlink ref="D80" r:id="rId71" display="http://internal-awcp0018-alb00105-616219119.ap-northeast-1.elb.amazonaws.com/NPM_Innovator/?StartItem=z_sm_ParaValue:939C38074886456BA51F7298C128A396" xr:uid="{1E61337E-72A2-4546-BD14-6ECA61B616FB}"/>
    <hyperlink ref="D81" r:id="rId72" display="http://internal-awcp0018-alb00105-616219119.ap-northeast-1.elb.amazonaws.com/NPM_Innovator/?StartItem=z_sm_ParaValue:9C540C30CD5D44EFA8A68F53B49E9162" xr:uid="{3FA660CC-2D8B-40C4-A8BB-7F8738CCBC41}"/>
    <hyperlink ref="D82" r:id="rId73" display="http://internal-awcp0018-alb00105-616219119.ap-northeast-1.elb.amazonaws.com/NPM_Innovator/?StartItem=z_sm_ParaValue:4D58A04CB53D4D23A05C3BAEAC67F707" xr:uid="{24F416A6-EE19-4459-A8AA-FC8E90DB4592}"/>
    <hyperlink ref="D83" r:id="rId74" display="http://internal-awcp0018-alb00105-616219119.ap-northeast-1.elb.amazonaws.com/NPM_Innovator/?StartItem=z_sm_ParaValue:5143C8225DFC42CD8991A5FDE0E208C7" xr:uid="{61C24C4B-A98B-4FCE-BA6C-7EC552723DC1}"/>
    <hyperlink ref="D84" r:id="rId75" display="http://internal-awcp0018-alb00105-616219119.ap-northeast-1.elb.amazonaws.com/NPM_Innovator/?StartItem=z_sm_ParaValue:A5CA64F5205F4AEA8E1466484D7989C0" xr:uid="{693EF8E2-A27F-47D0-903C-8100F96EBBC0}"/>
    <hyperlink ref="D85" r:id="rId76" display="http://internal-awcp0018-alb00105-616219119.ap-northeast-1.elb.amazonaws.com/NPM_Innovator/?StartItem=z_sm_ParaValue:032D82A5953140369E60A3368FA64DF7" xr:uid="{1FD3EF19-38F4-4E7E-9036-1F950527DC1B}"/>
    <hyperlink ref="D86" r:id="rId77" display="http://internal-awcp0018-alb00105-616219119.ap-northeast-1.elb.amazonaws.com/NPM_Innovator/?StartItem=z_sm_ParaValue:2E81EB7A746047F88DCB6A699604A7A1" xr:uid="{522E9C9E-3E1A-4B2F-A94D-DA2204755F01}"/>
    <hyperlink ref="D87" r:id="rId78" display="http://internal-awcp0018-alb00105-616219119.ap-northeast-1.elb.amazonaws.com/NPM_Innovator/?StartItem=z_sm_ParaValue:4A70495F66394A968F295C0AFCD542B2" xr:uid="{A515E87C-84E0-4247-89C9-1080B277E8EF}"/>
    <hyperlink ref="D88" r:id="rId79" display="http://internal-awcp0018-alb00105-616219119.ap-northeast-1.elb.amazonaws.com/NPM_Innovator/?StartItem=z_sm_ParaValue:90B783298E924E479BFB5F787BC1923C" xr:uid="{DACCDD1E-6FAA-40AB-BF8E-158F0CF8AC15}"/>
    <hyperlink ref="D89" r:id="rId80" display="http://internal-awcp0018-alb00105-616219119.ap-northeast-1.elb.amazonaws.com/NPM_Innovator/?StartItem=z_sm_ParaValue:ADF28C4D6EB54AEABD33E1689EE1B9A2" xr:uid="{47071933-4849-483A-BB61-1D219A9B7EF4}"/>
    <hyperlink ref="D90" r:id="rId81" display="http://internal-awcp0018-alb00105-616219119.ap-northeast-1.elb.amazonaws.com/NPM_Innovator/?StartItem=z_sm_ParaValue:219C1348256B4B9188FB3346DEC2B845" xr:uid="{B60C6EE9-53D3-4882-8D09-80BE829D1343}"/>
    <hyperlink ref="D91" r:id="rId82" display="http://internal-awcp0018-alb00105-616219119.ap-northeast-1.elb.amazonaws.com/NPM_Innovator/?StartItem=z_sm_ParaValue:066ED88056304EA0B5267CD935884FEF" xr:uid="{7D52FED5-46AE-4A1C-B1D8-2ADB01149961}"/>
    <hyperlink ref="D92" r:id="rId83" display="http://internal-awcp0018-alb00105-616219119.ap-northeast-1.elb.amazonaws.com/NPM_Innovator/?StartItem=z_sm_ParaValue:ABD31597DCA545FD8C67F882CFD79EFC" xr:uid="{B8A49A76-5520-41AE-8DB0-443978EF65D6}"/>
    <hyperlink ref="D93" r:id="rId84" display="http://internal-awcp0018-alb00105-616219119.ap-northeast-1.elb.amazonaws.com/NPM_Innovator/?StartItem=z_sm_ParaValue:1562E4442C1B4D03AB169043161CF474" xr:uid="{C04893B6-4B2A-48C1-9646-B40A38FF65B9}"/>
    <hyperlink ref="D94" r:id="rId85" display="http://internal-awcp0018-alb00105-616219119.ap-northeast-1.elb.amazonaws.com/NPM_Innovator/?StartItem=z_sm_ParaValue:B66E51B229CC49F48F1C996EDA02B355" xr:uid="{8043C32A-5B83-4C41-8606-B3F8EF10879B}"/>
    <hyperlink ref="D95" r:id="rId86" display="http://internal-awcp0018-alb00105-616219119.ap-northeast-1.elb.amazonaws.com/NPM_Innovator/?StartItem=z_sm_ParaValue:F70B85DAE2814A938452A7347C7068E4" xr:uid="{3D7F3F64-18A4-427B-A067-3B7A8A794394}"/>
    <hyperlink ref="D96" r:id="rId87" display="http://internal-awcp0018-alb00105-616219119.ap-northeast-1.elb.amazonaws.com/NPM_Innovator/?StartItem=z_sm_ParaValue:36AC8C5DBE014B229697D315B00AA658" xr:uid="{9E5F05A8-C5CA-4220-98CB-F327A61FF4CE}"/>
    <hyperlink ref="D97" r:id="rId88" display="http://internal-awcp0018-alb00105-616219119.ap-northeast-1.elb.amazonaws.com/NPM_Innovator/?StartItem=z_sm_ParaValue:16A94DF31635445AB93524F9AA91CE62" xr:uid="{7B1C3DF5-8753-496D-B532-9E512905DE47}"/>
    <hyperlink ref="D98" r:id="rId89" display="http://internal-awcp0018-alb00105-616219119.ap-northeast-1.elb.amazonaws.com/NPM_Innovator/?StartItem=z_sm_ParaValue:13D3772415CD4BE6B654E467E3A4AC0B" xr:uid="{BEB22882-45D6-4A0C-BE64-C67BB1FF458E}"/>
    <hyperlink ref="D99" r:id="rId90" display="http://internal-awcp0018-alb00105-616219119.ap-northeast-1.elb.amazonaws.com/NPM_Innovator/?StartItem=z_sm_ParaValue:E004CD8291B74036AD884DBA709ED6E8" xr:uid="{B0061066-0D93-4745-B959-976BE95BABBC}"/>
    <hyperlink ref="D100" r:id="rId91" display="http://internal-awcp0018-alb00105-616219119.ap-northeast-1.elb.amazonaws.com/NPM_Innovator/?StartItem=z_sm_ParaValue:6CDC2F0A1CB841B199C6547A5A3DB194" xr:uid="{062DFC99-7B82-4970-8EBC-88241CFCE39F}"/>
    <hyperlink ref="D101" r:id="rId92" display="http://internal-awcp0018-alb00105-616219119.ap-northeast-1.elb.amazonaws.com/NPM_Innovator/?StartItem=z_sm_ParaValue:706D4FF534E548478D96CD7ED9AD2038" xr:uid="{CB1F4BEB-D562-42FC-B1F1-2689B9AAC9EA}"/>
    <hyperlink ref="D102" r:id="rId93" display="http://internal-awcp0018-alb00105-616219119.ap-northeast-1.elb.amazonaws.com/NPM_Innovator/?StartItem=z_sm_ParaValue:59BE5346F6784C4C86C93F98DA1CA56B" xr:uid="{0AF8FFB1-71D3-4366-AA2B-EE43FD456A47}"/>
    <hyperlink ref="D103" r:id="rId94" display="http://internal-awcp0018-alb00105-616219119.ap-northeast-1.elb.amazonaws.com/NPM_Innovator/?StartItem=z_sm_ParaValue:0A1B036B6968471994A5691B51B8C418" xr:uid="{D565FA2B-4D81-4066-AE42-2F0C083E7BF7}"/>
    <hyperlink ref="D104" r:id="rId95" display="http://internal-awcp0018-alb00105-616219119.ap-northeast-1.elb.amazonaws.com/NPM_Innovator/?StartItem=z_sm_ParaValue:C7B82C1103B945A38BFD4ECFE87330F3" xr:uid="{E3B6FD32-3930-4AF1-8032-D7F219009894}"/>
    <hyperlink ref="D105" r:id="rId96" display="http://internal-awcp0018-alb00105-616219119.ap-northeast-1.elb.amazonaws.com/NPM_Innovator/?StartItem=z_sm_ParaValue:53CB44590B43464FBE8466BF0936998E" xr:uid="{53F66AE6-BB6D-4833-9D2D-280A01F8DC48}"/>
    <hyperlink ref="D106" r:id="rId97" display="http://internal-awcp0018-alb00105-616219119.ap-northeast-1.elb.amazonaws.com/NPM_Innovator/?StartItem=z_sm_ParaValue:4261DA4A0882422B94E32294D432DC6E" xr:uid="{220A370D-4770-4310-8821-A8931F56290F}"/>
    <hyperlink ref="D107" r:id="rId98" display="http://internal-awcp0018-alb00105-616219119.ap-northeast-1.elb.amazonaws.com/NPM_Innovator/?StartItem=z_sm_ParaValue:7D570B135E244DE78FDBCFA1BC4A3B14" xr:uid="{E37B7816-A687-48C1-B00B-9F2D4B4139AD}"/>
    <hyperlink ref="D108" r:id="rId99" display="http://internal-awcp0018-alb00105-616219119.ap-northeast-1.elb.amazonaws.com/NPM_Innovator/?StartItem=z_sm_ParaValue:AEF5F35C583147AE844DAEC5D4C9D8D1" xr:uid="{6586F2A0-178E-4D89-983C-37779285C37F}"/>
    <hyperlink ref="D109" r:id="rId100" display="http://internal-awcp0018-alb00105-616219119.ap-northeast-1.elb.amazonaws.com/NPM_Innovator/?StartItem=z_sm_ParaValue:9F2E81C103A547E7BE00C567E704EF66" xr:uid="{EDFCE73B-547C-40D0-9BC1-55D20C09DC72}"/>
    <hyperlink ref="D110" r:id="rId101" display="http://internal-awcp0018-alb00105-616219119.ap-northeast-1.elb.amazonaws.com/NPM_Innovator/?StartItem=z_sm_ParaValue:D4215BADF5514F96AC25AF443FD6B978" xr:uid="{CE78A1BC-AD06-4081-A3E9-46A5E4F43121}"/>
    <hyperlink ref="D111" r:id="rId102" display="http://internal-awcp0018-alb00105-616219119.ap-northeast-1.elb.amazonaws.com/NPM_Innovator/?StartItem=z_sm_ParaValue:5938B319467241ADB5602D642C6E2A7D" xr:uid="{FF99E788-E21E-460F-AFFE-0AF2969EA0BD}"/>
    <hyperlink ref="D112" r:id="rId103" display="http://internal-awcp0018-alb00105-616219119.ap-northeast-1.elb.amazonaws.com/NPM_Innovator/?StartItem=z_sm_ParaValue:4861631E5C5D4F4B9DC2374406B7E4A0" xr:uid="{20FCB55F-7A2B-42A2-9302-2356BCB584F1}"/>
    <hyperlink ref="D113" r:id="rId104" display="http://internal-awcp0018-alb00105-616219119.ap-northeast-1.elb.amazonaws.com/NPM_Innovator/?StartItem=z_sm_ParaValue:D70B319F3C6F4204987BB5F1949A2A3E" xr:uid="{767116E2-DB82-40E5-9631-906E509DDB7C}"/>
    <hyperlink ref="D114" r:id="rId105" display="http://internal-awcp0018-alb00105-616219119.ap-northeast-1.elb.amazonaws.com/NPM_Innovator/?StartItem=z_sm_ParaValue:06C5384639DD4946896383EABF308798" xr:uid="{711F5414-0B93-4B6C-9CD8-FB5FDAD9B6D1}"/>
    <hyperlink ref="D115" r:id="rId106" display="http://internal-awcp0018-alb00105-616219119.ap-northeast-1.elb.amazonaws.com/NPM_Innovator/?StartItem=z_sm_ParaValue:9E8761B5E3E84F6997262C6C943A586A" xr:uid="{42935DE8-1912-4FAE-A165-1CF8069E4AA4}"/>
    <hyperlink ref="D116" r:id="rId107" display="http://internal-awcp0018-alb00105-616219119.ap-northeast-1.elb.amazonaws.com/NPM_Innovator/?StartItem=z_sm_ParaValue:9C437C2835124D7E963BD901D171D55D" xr:uid="{EE5B7CD3-918A-43BF-8556-D174D1B9DE25}"/>
    <hyperlink ref="D117" r:id="rId108" display="http://internal-awcp0018-alb00105-616219119.ap-northeast-1.elb.amazonaws.com/NPM_Innovator/?StartItem=z_sm_ParaValue:6A9B3EF1EF5843A181F037B010469903" xr:uid="{0A1BBC80-B89B-40FA-8D2C-4E5ACB9EC46E}"/>
    <hyperlink ref="D118" r:id="rId109" display="http://internal-awcp0018-alb00105-616219119.ap-northeast-1.elb.amazonaws.com/NPM_Innovator/?StartItem=z_sm_ParaValue:F3A29C57879A49039AB954D3F896D490" xr:uid="{B08B1609-33AB-4D3C-B99E-A49357EE5F17}"/>
    <hyperlink ref="D119" r:id="rId110" display="http://internal-awcp0018-alb00105-616219119.ap-northeast-1.elb.amazonaws.com/NPM_Innovator/?StartItem=z_sm_ParaValue:3761FE2D58BD40FBB82914643669DCDC" xr:uid="{AFA2ED82-FB16-45BB-9359-451D2F3F0FA4}"/>
    <hyperlink ref="D120" r:id="rId111" display="http://internal-awcp0018-alb00105-616219119.ap-northeast-1.elb.amazonaws.com/NPM_Innovator/?StartItem=z_sm_ParaValue:B50479B0E9144CCD8BAC153A619812C5" xr:uid="{75658BAC-5661-4C02-8FB3-CE89B24894A0}"/>
    <hyperlink ref="D121" r:id="rId112" display="http://internal-awcp0018-alb00105-616219119.ap-northeast-1.elb.amazonaws.com/NPM_Innovator/?StartItem=z_sm_ParaValue:45D30C340C3441D49F1B3E68992F8A64" xr:uid="{ECBF484B-7C81-4BA6-9028-005317D60D01}"/>
    <hyperlink ref="D122" r:id="rId113" display="http://internal-awcp0018-alb00105-616219119.ap-northeast-1.elb.amazonaws.com/NPM_Innovator/?StartItem=z_sm_ParaValue:0EFC99946331432DA7F8F7D752B88C43" xr:uid="{9A00B784-57BB-455A-B38B-134BA111E44C}"/>
    <hyperlink ref="D123" r:id="rId114" display="http://internal-awcp0018-alb00105-616219119.ap-northeast-1.elb.amazonaws.com/NPM_Innovator/?StartItem=z_sm_ParaValue:02E966EDF6444167B8D99F065F1A51E3" xr:uid="{A7820239-1ED7-495B-8941-F7058FE2F152}"/>
    <hyperlink ref="D124" r:id="rId115" display="http://internal-awcp0018-alb00105-616219119.ap-northeast-1.elb.amazonaws.com/NPM_Innovator/?StartItem=z_sm_ParaValue:994F8BFCABEE4798A4D4657C90AC2823" xr:uid="{025357C9-6F9A-4AD6-B639-18421F3AA9C4}"/>
    <hyperlink ref="D125" r:id="rId116" display="http://internal-awcp0018-alb00105-616219119.ap-northeast-1.elb.amazonaws.com/NPM_Innovator/?StartItem=z_sm_ParaValue:5BC10CF643DC46A6829FDF6150C3B83E" xr:uid="{9368AE69-85E8-48B5-A644-B57839F2901C}"/>
    <hyperlink ref="D126" r:id="rId117" display="http://internal-awcp0018-alb00105-616219119.ap-northeast-1.elb.amazonaws.com/NPM_Innovator/?StartItem=z_sm_ParaValue:7A3E1FE3311E4A2B8A4BCC1089C26CC4" xr:uid="{5A7E721C-6FD5-4EBD-9FCA-C010F82ABA4C}"/>
    <hyperlink ref="D127" r:id="rId118" display="http://internal-awcp0018-alb00105-616219119.ap-northeast-1.elb.amazonaws.com/NPM_Innovator/?StartItem=z_sm_ParaValue:935A8ACD4D654C1C99C9632E6D19D497" xr:uid="{BFB88FC8-A179-4591-8E0E-C2D56E768558}"/>
    <hyperlink ref="D128" r:id="rId119" display="http://internal-awcp0018-alb00105-616219119.ap-northeast-1.elb.amazonaws.com/NPM_Innovator/?StartItem=z_sm_ParaValue:81ACD10267E24BA1B64C60E3A1E23FDF" xr:uid="{625D2DA1-C3D6-48EB-AF6B-DCFB3100D189}"/>
    <hyperlink ref="D129" r:id="rId120" display="http://internal-awcp0018-alb00105-616219119.ap-northeast-1.elb.amazonaws.com/NPM_Innovator/?StartItem=z_sm_ParaValue:2CDC808F87A641428BC6E682702A9BDE" xr:uid="{7BCCD60B-D1A6-49E6-B14B-6373EEB7508D}"/>
    <hyperlink ref="D130" r:id="rId121" display="http://internal-awcp0018-alb00105-616219119.ap-northeast-1.elb.amazonaws.com/NPM_Innovator/?StartItem=z_sm_ParaValue:D8F75A95D9E94C3E9ACC049AA8C858B7" xr:uid="{E53B2A6F-8959-4CFB-BFFC-0EBBF6BC03D0}"/>
    <hyperlink ref="D131" r:id="rId122" display="http://internal-awcp0018-alb00105-616219119.ap-northeast-1.elb.amazonaws.com/NPM_Innovator/?StartItem=z_sm_ParaValue:2D0C2544E4394BB1B6D498E471089883" xr:uid="{C3DC1910-8212-4C87-B72D-4EBC6846ADF5}"/>
    <hyperlink ref="D132" r:id="rId123" display="http://internal-awcp0018-alb00105-616219119.ap-northeast-1.elb.amazonaws.com/NPM_Innovator/?StartItem=z_sm_ParaValue:81BD53A2C2304F20A96A5583ED148079" xr:uid="{97EB7B32-365E-4D5F-B0E3-CD4C139C2AF1}"/>
    <hyperlink ref="D133" r:id="rId124" display="http://internal-awcp0018-alb00105-616219119.ap-northeast-1.elb.amazonaws.com/NPM_Innovator/?StartItem=z_sm_ParaValue:F2FB51720DD74853B55E28B87035394F" xr:uid="{F1A472A8-D699-43CD-ADEE-D3BF009E0738}"/>
    <hyperlink ref="D134" r:id="rId125" display="http://internal-awcp0018-alb00105-616219119.ap-northeast-1.elb.amazonaws.com/NPM_Innovator/?StartItem=z_sm_ParaValue:E626439B5E674977972CE19F1668A2CA" xr:uid="{3A4CCA85-59AD-4D25-9DF2-E1BBF1B45DC5}"/>
    <hyperlink ref="D135" r:id="rId126" display="http://internal-awcp0018-alb00105-616219119.ap-northeast-1.elb.amazonaws.com/NPM_Innovator/?StartItem=z_sm_ParaValue:EA001811D57747FC8FB1B809570C9F04" xr:uid="{A837487B-85F4-47C0-A0C2-0D2763F64395}"/>
    <hyperlink ref="D136" r:id="rId127" display="http://internal-awcp0018-alb00105-616219119.ap-northeast-1.elb.amazonaws.com/NPM_Innovator/?StartItem=z_sm_ParaValue:D4CF7CBB593B47B6AA3BE100A7CC12E0" xr:uid="{4BA48263-06DC-4561-9B66-2DC2441BCE59}"/>
    <hyperlink ref="D137" r:id="rId128" display="http://internal-awcp0018-alb00105-616219119.ap-northeast-1.elb.amazonaws.com/NPM_Innovator/?StartItem=z_sm_ParaValue:98792B381CA048E79536AFC66F476853" xr:uid="{64B8F9E8-233C-4E2B-A110-1F2738608897}"/>
    <hyperlink ref="D138" r:id="rId129" display="http://internal-awcp0018-alb00105-616219119.ap-northeast-1.elb.amazonaws.com/NPM_Innovator/?StartItem=z_sm_ParaValue:FA0EF7679E0642658F4EABD7545807A3" xr:uid="{4CD265A4-47B9-4BD1-B914-988F9E67E67A}"/>
    <hyperlink ref="D139" r:id="rId130" display="http://internal-awcp0018-alb00105-616219119.ap-northeast-1.elb.amazonaws.com/NPM_Innovator/?StartItem=z_sm_ParaValue:7B2DB088AF9D4DB0A52609588289CD2F" xr:uid="{FCED58EB-F54E-4662-8A59-76224BB1E036}"/>
    <hyperlink ref="D140" r:id="rId131" display="http://internal-awcp0018-alb00105-616219119.ap-northeast-1.elb.amazonaws.com/NPM_Innovator/?StartItem=z_sm_ParaValue:10B6753ECB524CABA7420B78AEF1A1E6" xr:uid="{A1673DE7-C08F-48C6-852E-D86EE26DE77E}"/>
    <hyperlink ref="D141" r:id="rId132" display="http://internal-awcp0018-alb00105-616219119.ap-northeast-1.elb.amazonaws.com/NPM_Innovator/?StartItem=z_sm_ParaValue:73FD4D35CBCA4ACEBBFBAF241CD9DACD" xr:uid="{3A1126C2-E32A-436F-B00D-69535125EB15}"/>
    <hyperlink ref="D142" r:id="rId133" display="http://internal-awcp0018-alb00105-616219119.ap-northeast-1.elb.amazonaws.com/NPM_Innovator/?StartItem=z_sm_ParaValue:2034A382770E4CA0852F4FB192A15D72" xr:uid="{71173C1D-434C-40F4-AF08-6D8A1E2ED66A}"/>
    <hyperlink ref="D143" r:id="rId134" display="http://internal-awcp0018-alb00105-616219119.ap-northeast-1.elb.amazonaws.com/NPM_Innovator/?StartItem=z_sm_ParaValue:E4B9782F50DA4AFA838E8D1BB1D88A85" xr:uid="{A978EEF4-051D-4AF4-930F-15FAD85764C3}"/>
    <hyperlink ref="D144" r:id="rId135" display="http://internal-awcp0018-alb00105-616219119.ap-northeast-1.elb.amazonaws.com/NPM_Innovator/?StartItem=z_sm_ParaValue:C669C87148DA4D75B3F1516664FA4295" xr:uid="{ED766D54-E989-4D5E-A499-188C25D9B167}"/>
    <hyperlink ref="D145" r:id="rId136" display="http://internal-awcp0018-alb00105-616219119.ap-northeast-1.elb.amazonaws.com/NPM_Innovator/?StartItem=z_sm_ParaValue:36E694F0C1D04EF9AFEA31A7843AC05E" xr:uid="{82230E30-27FC-4C1F-8D5C-4FB6E0EB16F2}"/>
    <hyperlink ref="D146" r:id="rId137" display="http://internal-awcp0018-alb00105-616219119.ap-northeast-1.elb.amazonaws.com/NPM_Innovator/?StartItem=z_sm_ParaValue:C98D9A3EB98344BB8C34E7576E9D83FB" xr:uid="{693DACD0-F8C3-4F5C-95A6-38525239FE5B}"/>
    <hyperlink ref="D147" r:id="rId138" display="http://internal-awcp0018-alb00105-616219119.ap-northeast-1.elb.amazonaws.com/NPM_Innovator/?StartItem=z_sm_ParaValue:73A5D175D11C40898EE67442E23FA61D" xr:uid="{00C09093-1337-44EB-9D7B-C18F0AE18077}"/>
    <hyperlink ref="D148" r:id="rId139" display="http://internal-awcp0018-alb00105-616219119.ap-northeast-1.elb.amazonaws.com/NPM_Innovator/?StartItem=z_sm_ParaValue:5F710BCB97B84B8EAB7C4E1EC50D85B2" xr:uid="{C053D9FB-8B6B-47A5-BDA0-5B6CD4A5A1B7}"/>
    <hyperlink ref="D149" r:id="rId140" display="http://internal-awcp0018-alb00105-616219119.ap-northeast-1.elb.amazonaws.com/NPM_Innovator/?StartItem=z_sm_ParaValue:CF44695D51144C9EA336FF254ADAF467" xr:uid="{DAF11D97-4AC6-40F7-AAAB-D257D186B784}"/>
    <hyperlink ref="D150" r:id="rId141" display="http://internal-awcp0018-alb00105-616219119.ap-northeast-1.elb.amazonaws.com/NPM_Innovator/?StartItem=z_sm_ParaValue:7CDAD996F46B4C62BC38ECCFBD0CD587" xr:uid="{D03C8E0C-D021-4488-9CC1-BFB21CC238C0}"/>
    <hyperlink ref="D151" r:id="rId142" display="http://internal-awcp0018-alb00105-616219119.ap-northeast-1.elb.amazonaws.com/NPM_Innovator/?StartItem=z_sm_ParaValue:52FEBC84288C402DB72D43ACCA4A3430" xr:uid="{4DA806DF-C80F-4D32-B3BF-538A8BC3099C}"/>
    <hyperlink ref="D152" r:id="rId143" display="http://internal-awcp0018-alb00105-616219119.ap-northeast-1.elb.amazonaws.com/NPM_Innovator/?StartItem=z_sm_ParaValue:2B2C70492F7A4C9581E4206CF1187118" xr:uid="{D1DEDB4F-43FF-4F1F-A0C6-95F22D7BA6D1}"/>
    <hyperlink ref="D153" r:id="rId144" display="http://internal-awcp0018-alb00105-616219119.ap-northeast-1.elb.amazonaws.com/NPM_Innovator/?StartItem=z_sm_ParaValue:897621E3921E43F8B11E914764AC5B3F" xr:uid="{AF90F09B-3C10-4359-909E-1F978F8C9063}"/>
    <hyperlink ref="D154" r:id="rId145" display="http://internal-awcp0018-alb00105-616219119.ap-northeast-1.elb.amazonaws.com/NPM_Innovator/?StartItem=z_sm_ParaValue:E2EDE90526D242C0A83D4B5BECD6AC63" xr:uid="{679659B9-AD9E-45D8-9E28-96F096E22797}"/>
    <hyperlink ref="D155" r:id="rId146" display="http://internal-awcp0018-alb00105-616219119.ap-northeast-1.elb.amazonaws.com/NPM_Innovator/?StartItem=z_sm_ParaValue:D9CC34100AEB479EB80B0BA12A7804D8" xr:uid="{E0D38510-ACBD-4711-8CB4-5E177E143CB0}"/>
    <hyperlink ref="D156" r:id="rId147" display="http://internal-awcp0018-alb00105-616219119.ap-northeast-1.elb.amazonaws.com/NPM_Innovator/?StartItem=z_sm_ParaValue:D19014DD085C406F87FD17312E13E6A9" xr:uid="{93D1AC30-4A84-43E0-8ECF-14B92B96A054}"/>
    <hyperlink ref="D157" r:id="rId148" display="http://internal-awcp0018-alb00105-616219119.ap-northeast-1.elb.amazonaws.com/NPM_Innovator/?StartItem=z_sm_ParaValue:21A96F360A114D938921A1F7DFB329FD" xr:uid="{6DB5A1B4-25AD-4E69-A262-0662B27D1C58}"/>
    <hyperlink ref="D158" r:id="rId149" display="http://internal-awcp0018-alb00105-616219119.ap-northeast-1.elb.amazonaws.com/NPM_Innovator/?StartItem=z_sm_ParaValue:A5100D66D23D4E40B332A73786F5BE3B" xr:uid="{15FF7F1B-61BB-47FF-B4BF-D11DAD74AC0C}"/>
    <hyperlink ref="D159" r:id="rId150" display="http://internal-awcp0018-alb00105-616219119.ap-northeast-1.elb.amazonaws.com/NPM_Innovator/?StartItem=z_sm_ParaValue:E25BEBA5DFD34A518E860E1FC2EA3F24" xr:uid="{641ACB67-B65F-4ABC-A148-65FC9A6439A3}"/>
    <hyperlink ref="D160" r:id="rId151" display="http://internal-awcp0018-alb00105-616219119.ap-northeast-1.elb.amazonaws.com/NPM_Innovator/?StartItem=z_sm_ParaValue:ECECEA8A9C674FF795963C1D644D4E12" xr:uid="{8D1A1B96-7A02-4D01-BCD2-61FA5A49A9BA}"/>
    <hyperlink ref="D161" r:id="rId152" display="http://internal-awcp0018-alb00105-616219119.ap-northeast-1.elb.amazonaws.com/NPM_Innovator/?StartItem=z_sm_ParaValue:DD84DF8012234366BFECF5BA0320632A" xr:uid="{E56FD702-F8C8-478B-AF6D-7B56E745E369}"/>
    <hyperlink ref="D162" r:id="rId153" display="http://internal-awcp0018-alb00105-616219119.ap-northeast-1.elb.amazonaws.com/NPM_Innovator/?StartItem=z_sm_ParaValue:44589027FD4841EF8DB99A3503904F16" xr:uid="{4227319E-5949-409A-B7A2-71561F6525E0}"/>
    <hyperlink ref="D163" r:id="rId154" display="http://internal-awcp0018-alb00105-616219119.ap-northeast-1.elb.amazonaws.com/NPM_Innovator/?StartItem=z_sm_ParaValue:6A172D861F524BEABC248992C09BD9A6" xr:uid="{EB332989-4AE0-43FC-A577-BBD1D8FD4554}"/>
    <hyperlink ref="D164" r:id="rId155" display="http://internal-awcp0018-alb00105-616219119.ap-northeast-1.elb.amazonaws.com/NPM_Innovator/?StartItem=z_sm_ParaValue:562D7DC4773C4BEDA487A895B3E8B647" xr:uid="{EEFDA582-F9AA-4021-9454-4C4F56BC64B8}"/>
    <hyperlink ref="D165" r:id="rId156" display="http://internal-awcp0018-alb00105-616219119.ap-northeast-1.elb.amazonaws.com/NPM_Innovator/?StartItem=z_sm_ParaValue:1D3D7CB44D2B4FDA911CED351C4471D6" xr:uid="{E931305E-5097-42AC-94C3-74C4616EE10C}"/>
    <hyperlink ref="D166" r:id="rId157" display="http://internal-awcp0018-alb00105-616219119.ap-northeast-1.elb.amazonaws.com/NPM_Innovator/?StartItem=z_sm_ParaValue:19A0FF5FC9AC485E88A7CF4C4DC9B8E8" xr:uid="{64587550-2595-4DC2-96CF-7D2641B494D3}"/>
    <hyperlink ref="D167" r:id="rId158" display="http://internal-awcp0018-alb00105-616219119.ap-northeast-1.elb.amazonaws.com/NPM_Innovator/?StartItem=z_sm_ParaValue:9770FC31D1254BBBA1892777651D1772" xr:uid="{6413FE31-D06B-4CAE-8931-77723E972059}"/>
    <hyperlink ref="D168" r:id="rId159" display="http://internal-awcp0018-alb00105-616219119.ap-northeast-1.elb.amazonaws.com/NPM_Innovator/?StartItem=z_sm_ParaValue:5E6F1EDA6B9C4B368C14395CD3BBD4AD" xr:uid="{EA305AB2-9369-4C87-BEBC-BB9E17EA5686}"/>
    <hyperlink ref="D169" r:id="rId160" display="http://internal-awcp0018-alb00105-616219119.ap-northeast-1.elb.amazonaws.com/NPM_Innovator/?StartItem=z_sm_ParaValue:79C17058C20247FE97552998D340EE35" xr:uid="{DDC45BE7-6E1E-41EF-BB8D-03CB47CD1CAD}"/>
    <hyperlink ref="D170" r:id="rId161" display="http://internal-awcp0018-alb00105-616219119.ap-northeast-1.elb.amazonaws.com/NPM_Innovator/?StartItem=z_sm_ParaValue:DA02C9F96D0A4806BF0DAF3DBCD7F7F6" xr:uid="{F1FDB2BF-650D-4903-BF2B-1C158B6092E7}"/>
    <hyperlink ref="D171" r:id="rId162" display="http://internal-awcp0018-alb00105-616219119.ap-northeast-1.elb.amazonaws.com/NPM_Innovator/?StartItem=z_sm_ParaValue:805ADCCD5F684AEDBBE8A5ABD4A50524" xr:uid="{65078F0B-A767-4A42-A5A2-9173A7E4AE2D}"/>
    <hyperlink ref="D172" r:id="rId163" display="http://internal-awcp0018-alb00105-616219119.ap-northeast-1.elb.amazonaws.com/NPM_Innovator/?StartItem=z_sm_ParaValue:871786CDA16A4F75A9B54DEB2D957A18" xr:uid="{DD66DA98-2705-4E9A-80BD-641CFCEDC09E}"/>
    <hyperlink ref="D173" r:id="rId164" display="http://internal-awcp0018-alb00105-616219119.ap-northeast-1.elb.amazonaws.com/NPM_Innovator/?StartItem=z_sm_ParaValue:11C79E324EA344A6A653BA699152D94E" xr:uid="{57903736-D3B6-4527-95BF-DFFF5E0A3169}"/>
    <hyperlink ref="D174" r:id="rId165" display="http://internal-awcp0018-alb00105-616219119.ap-northeast-1.elb.amazonaws.com/NPM_Innovator/?StartItem=z_sm_ParaValue:9AAAAEF9F65D42079E9AA69B5AEAF8D2" xr:uid="{66A25A52-00C6-44F7-8FC4-28817E4DB7F9}"/>
    <hyperlink ref="D175" r:id="rId166" display="http://internal-awcp0018-alb00105-616219119.ap-northeast-1.elb.amazonaws.com/NPM_Innovator/?StartItem=z_sm_ParaValue:19FB57AA8BA149019540D28AFF5D3C43" xr:uid="{3FC34E6E-09E5-4216-B46A-7953D6690445}"/>
    <hyperlink ref="D176" r:id="rId167" display="http://internal-awcp0018-alb00105-616219119.ap-northeast-1.elb.amazonaws.com/NPM_Innovator/?StartItem=z_sm_ParaValue:58D819CEF2F54D01B8C5C6EBF62F60B2" xr:uid="{B1F37B90-A486-4C09-8FB9-7680E133DE83}"/>
    <hyperlink ref="D177" r:id="rId168" display="http://internal-awcp0018-alb00105-616219119.ap-northeast-1.elb.amazonaws.com/NPM_Innovator/?StartItem=z_sm_ParaValue:B4BC7A698359482E8913EBA4D8C755B1" xr:uid="{F259FC25-99B3-4D16-B255-C9DCD6568A61}"/>
    <hyperlink ref="D178" r:id="rId169" display="http://internal-awcp0018-alb00105-616219119.ap-northeast-1.elb.amazonaws.com/NPM_Innovator/?StartItem=z_sm_ParaValue:D35CCE54FE45421095FCF78BCEAD7257" xr:uid="{EADF9997-117D-4126-AA67-5F982D4800A5}"/>
    <hyperlink ref="D179" r:id="rId170" display="http://internal-awcp0018-alb00105-616219119.ap-northeast-1.elb.amazonaws.com/NPM_Innovator/?StartItem=z_sm_ParaValue:163B5AC350B647A8AB725C62FD654C08" xr:uid="{9EE0AB24-0AE7-4747-A6C6-181572252FE8}"/>
    <hyperlink ref="D180" r:id="rId171" display="http://internal-awcp0018-alb00105-616219119.ap-northeast-1.elb.amazonaws.com/NPM_Innovator/?StartItem=z_sm_ParaValue:F1C0CE09DCB54DA39AE5A8510D85A6A9" xr:uid="{DE217B04-584D-41F0-8F7A-74B449373BC4}"/>
    <hyperlink ref="D181" r:id="rId172" display="http://internal-awcp0018-alb00105-616219119.ap-northeast-1.elb.amazonaws.com/NPM_Innovator/?StartItem=z_sm_ParaValue:0C80ACD8EB064F4AB90B249141B73919" xr:uid="{2BE752B9-20FE-461B-A2FD-736913C9476A}"/>
    <hyperlink ref="D182" r:id="rId173" display="http://internal-awcp0018-alb00105-616219119.ap-northeast-1.elb.amazonaws.com/NPM_Innovator/?StartItem=z_sm_ParaValue:575CB8953D9342AFA433E87B8DD02BC8" xr:uid="{43B538F2-DD25-49CB-9B4C-3E72512B6C98}"/>
    <hyperlink ref="D183" r:id="rId174" display="http://internal-awcp0018-alb00105-616219119.ap-northeast-1.elb.amazonaws.com/NPM_Innovator/?StartItem=z_sm_ParaValue:C82B14D8594847AABE289AA8A556C067" xr:uid="{C6285A27-C412-4ED3-AA5E-7A79C7D7A146}"/>
    <hyperlink ref="D184" r:id="rId175" display="http://internal-awcp0018-alb00105-616219119.ap-northeast-1.elb.amazonaws.com/NPM_Innovator/?StartItem=z_sm_ParaValue:13D9B1636D2245E48E1926B476B33AE3" xr:uid="{5E8A7CA7-DA9C-484C-AB9D-78189F34B35A}"/>
    <hyperlink ref="D185" r:id="rId176" display="http://internal-awcp0018-alb00105-616219119.ap-northeast-1.elb.amazonaws.com/NPM_Innovator/?StartItem=z_sm_ParaValue:C90CA205D30E4552B239ADFEBD05E8B0" xr:uid="{003DD42A-1FBB-4166-AEC0-2222E1DB2206}"/>
    <hyperlink ref="D186" r:id="rId177" display="http://internal-awcp0018-alb00105-616219119.ap-northeast-1.elb.amazonaws.com/NPM_Innovator/?StartItem=z_sm_ParaValue:A9DC1F879A29450CB3E4BE618C4A4D77" xr:uid="{ADCEABA5-0F75-4E3D-83A0-E9ECD1FD912E}"/>
    <hyperlink ref="D187" r:id="rId178" display="http://internal-awcp0018-alb00105-616219119.ap-northeast-1.elb.amazonaws.com/NPM_Innovator/?StartItem=z_sm_ParaValue:E7CDB8989CD94261BF39319FA97254B5" xr:uid="{8105E5FF-E957-4F70-8CDD-2E40C4AC7B7B}"/>
    <hyperlink ref="D188" r:id="rId179" display="http://internal-awcp0018-alb00105-616219119.ap-northeast-1.elb.amazonaws.com/NPM_Innovator/?StartItem=z_sm_ParaValue:42255E964A9B488BB1053980D45B454D" xr:uid="{317B664C-FEE2-4D3A-87AA-B485E2C595BA}"/>
    <hyperlink ref="D189" r:id="rId180" display="http://internal-awcp0018-alb00105-616219119.ap-northeast-1.elb.amazonaws.com/NPM_Innovator/?StartItem=z_sm_ParaValue:6AC7914E107A46D0885104CA05F064D2" xr:uid="{DFE9A9F7-39C5-4E0E-A4D4-0D82E08784A2}"/>
    <hyperlink ref="D190" r:id="rId181" display="http://internal-awcp0018-alb00105-616219119.ap-northeast-1.elb.amazonaws.com/NPM_Innovator/?StartItem=z_sm_ParaValue:4FBF1AACC5904D0CA873C695A8B52A2B" xr:uid="{356DEAA2-0D0D-40A3-8104-E2082A7FF7AC}"/>
    <hyperlink ref="D191" r:id="rId182" display="http://internal-awcp0018-alb00105-616219119.ap-northeast-1.elb.amazonaws.com/NPM_Innovator/?StartItem=z_sm_ParaValue:0CDE54C76AB643C69CDD0D43366410E6" xr:uid="{F06403B5-37D2-4498-BD80-322F7A43F0AB}"/>
    <hyperlink ref="D192" r:id="rId183" display="http://internal-awcp0018-alb00105-616219119.ap-northeast-1.elb.amazonaws.com/NPM_Innovator/?StartItem=z_sm_ParaValue:A202B5970D2B4317BACB5F36FCA68BD9" xr:uid="{36BB1C60-196B-4EB6-A10F-742DA1E03B40}"/>
    <hyperlink ref="D193" r:id="rId184" display="http://internal-awcp0018-alb00105-616219119.ap-northeast-1.elb.amazonaws.com/NPM_Innovator/?StartItem=z_sm_ParaValue:C4C28ABD02EB4BE1A8ECFE0C8086664D" xr:uid="{BE03D88F-2F6A-4AB6-984D-66C95A86F905}"/>
    <hyperlink ref="D194" r:id="rId185" display="http://internal-awcp0018-alb00105-616219119.ap-northeast-1.elb.amazonaws.com/NPM_Innovator/?StartItem=z_sm_ParaValue:D03896F79CF64B59BB16777CB33E72BF" xr:uid="{5FD93A84-3992-4C18-8784-5EDC6E53B55A}"/>
    <hyperlink ref="D195" r:id="rId186" display="http://internal-awcp0018-alb00105-616219119.ap-northeast-1.elb.amazonaws.com/NPM_Innovator/?StartItem=z_sm_ParaValue:1CD03CAEF3D548A890821276DE60CA8A" xr:uid="{70522C96-7BD7-4B0D-9510-F39A91404643}"/>
    <hyperlink ref="D196" r:id="rId187" display="http://internal-awcp0018-alb00105-616219119.ap-northeast-1.elb.amazonaws.com/NPM_Innovator/?StartItem=z_sm_ParaValue:C39BC57FA0164954A969FBD975BEE365" xr:uid="{653FC46E-A7A6-4B16-98AE-8E856442C9A3}"/>
    <hyperlink ref="D197" r:id="rId188" display="http://internal-awcp0018-alb00105-616219119.ap-northeast-1.elb.amazonaws.com/NPM_Innovator/?StartItem=z_sm_ParaValue:B7046AA882154BDE807324EF0F454037" xr:uid="{CDB02760-B27C-4FE5-B7FE-BF5A170D9981}"/>
    <hyperlink ref="D198" r:id="rId189" display="http://internal-awcp0018-alb00105-616219119.ap-northeast-1.elb.amazonaws.com/NPM_Innovator/?StartItem=z_sm_ParaValue:78FDCF3E5C6F441ABBE87757FF07F4E8" xr:uid="{197859F4-AA30-46D7-BCA6-33AC48AC3EE8}"/>
    <hyperlink ref="D199" r:id="rId190" display="http://internal-awcp0018-alb00105-616219119.ap-northeast-1.elb.amazonaws.com/NPM_Innovator/?StartItem=z_sm_ParaValue:24267AD31A3040578991C23FEAAE860B" xr:uid="{B249996E-57AE-44FC-A556-8D16D33CF405}"/>
    <hyperlink ref="D200" r:id="rId191" display="http://internal-awcp0018-alb00105-616219119.ap-northeast-1.elb.amazonaws.com/NPM_Innovator/?StartItem=z_sm_ParaValue:9C8C74324D77400CA78F0ECA06138FB0" xr:uid="{DC467141-E96F-434E-AA24-416C08A3A99B}"/>
    <hyperlink ref="D201" r:id="rId192" display="http://internal-awcp0018-alb00105-616219119.ap-northeast-1.elb.amazonaws.com/NPM_Innovator/?StartItem=z_sm_ParaValue:EC55A518B306406C83073FA1BC50DE90" xr:uid="{12AC8A8E-9994-4CA7-A148-72077E041DD3}"/>
    <hyperlink ref="D202" r:id="rId193" display="http://internal-awcp0018-alb00105-616219119.ap-northeast-1.elb.amazonaws.com/NPM_Innovator/?StartItem=z_sm_ParaValue:6A6C2B698E1249578426F25F684EEAA5" xr:uid="{09908B9F-66C7-48A0-B586-BE3DFF157C91}"/>
    <hyperlink ref="D203" r:id="rId194" display="http://internal-awcp0018-alb00105-616219119.ap-northeast-1.elb.amazonaws.com/NPM_Innovator/?StartItem=z_sm_ParaValue:8D42BEE297B04577BEB714251B8DE518" xr:uid="{11DEEAD3-CC98-4224-B0DC-CA2A5E3EA36F}"/>
    <hyperlink ref="D204" r:id="rId195" display="http://internal-awcp0018-alb00105-616219119.ap-northeast-1.elb.amazonaws.com/NPM_Innovator/?StartItem=z_sm_ParaValue:00D6B85877C04CAFA5F131A8663A7724" xr:uid="{EFA8670C-DF70-4309-ACF2-2E13E5C028F0}"/>
    <hyperlink ref="D205" r:id="rId196" display="http://internal-awcp0018-alb00105-616219119.ap-northeast-1.elb.amazonaws.com/NPM_Innovator/?StartItem=z_sm_ParaValue:0B6A56BB31704F2A93F6EB46A566BA04" xr:uid="{9A535FA6-B7C6-4FBB-8144-0E8B57F04068}"/>
    <hyperlink ref="D206" r:id="rId197" display="http://internal-awcp0018-alb00105-616219119.ap-northeast-1.elb.amazonaws.com/NPM_Innovator/?StartItem=z_sm_ParaValue:68790E50CC76488FA2946535BFF7A7BA" xr:uid="{6D56F989-013E-4745-85DE-A4F3C625C645}"/>
    <hyperlink ref="D207" r:id="rId198" display="http://internal-awcp0018-alb00105-616219119.ap-northeast-1.elb.amazonaws.com/NPM_Innovator/?StartItem=z_sm_ParaValue:642A6A00453A4846A5EABB92BB528DC6" xr:uid="{907699E1-F044-4EF9-AAA6-4552E3C65038}"/>
    <hyperlink ref="D208" r:id="rId199" display="http://internal-awcp0018-alb00105-616219119.ap-northeast-1.elb.amazonaws.com/NPM_Innovator/?StartItem=z_sm_ParaValue:3B565B5012794869A6031D83F391C8BB" xr:uid="{19753285-71E7-42D7-8ABE-A27BC3C9905B}"/>
    <hyperlink ref="D209" r:id="rId200" display="http://internal-awcp0018-alb00105-616219119.ap-northeast-1.elb.amazonaws.com/NPM_Innovator/?StartItem=z_sm_ParaValue:34538A63AC204666B73A271049C891BE" xr:uid="{3998CDC7-88C4-45A8-A0DF-CDC15C29CDBE}"/>
    <hyperlink ref="D210" r:id="rId201" display="http://internal-awcp0018-alb00105-616219119.ap-northeast-1.elb.amazonaws.com/NPM_Innovator/?StartItem=z_sm_ParaValue:CC1AE742D9074B889742D5E56F664CE2" xr:uid="{150A3E3B-6669-4D74-945B-941DBF83146A}"/>
    <hyperlink ref="D211" r:id="rId202" display="http://internal-awcp0018-alb00105-616219119.ap-northeast-1.elb.amazonaws.com/NPM_Innovator/?StartItem=z_sm_ParaValue:F4C0B45CD1C645C5AD63C4A4FC784544" xr:uid="{5AFAEAD5-2597-4AF8-B3FE-BE507B1F151F}"/>
    <hyperlink ref="D212" r:id="rId203" display="http://internal-awcp0018-alb00105-616219119.ap-northeast-1.elb.amazonaws.com/NPM_Innovator/?StartItem=z_sm_ParaValue:0E8205EB80994CCCB7675DF67FE18FA6" xr:uid="{AD568C87-2CCE-41F5-8592-C8036069C1DC}"/>
    <hyperlink ref="D213" r:id="rId204" display="http://internal-awcp0018-alb00105-616219119.ap-northeast-1.elb.amazonaws.com/NPM_Innovator/?StartItem=z_sm_ParaValue:18492801768E41C59A816C0426EE0124" xr:uid="{22C2E599-DA75-4163-92DA-5006D256FFA0}"/>
    <hyperlink ref="D214" r:id="rId205" display="http://internal-awcp0018-alb00105-616219119.ap-northeast-1.elb.amazonaws.com/NPM_Innovator/?StartItem=z_sm_ParaValue:EFE713A4A04D49D7AF229147C60A4BB4" xr:uid="{B65D8F9D-C632-4D9E-94A5-6865BB608C9A}"/>
    <hyperlink ref="D215" r:id="rId206" display="http://internal-awcp0018-alb00105-616219119.ap-northeast-1.elb.amazonaws.com/NPM_Innovator/?StartItem=z_sm_ParaValue:C0F33EC202CE499DAC8E17B8311D288D" xr:uid="{F95132C7-F27F-425E-8182-33B46A6F3F0B}"/>
    <hyperlink ref="D216" r:id="rId207" display="http://internal-awcp0018-alb00105-616219119.ap-northeast-1.elb.amazonaws.com/NPM_Innovator/?StartItem=z_sm_ParaValue:FC9A2CC214C44CA4A52C2AA0523DA4B6" xr:uid="{C564FF12-EE3E-4289-AAE4-C7AEDE1FA661}"/>
    <hyperlink ref="D217" r:id="rId208" display="http://internal-awcp0018-alb00105-616219119.ap-northeast-1.elb.amazonaws.com/NPM_Innovator/?StartItem=z_sm_ParaValue:5B2B3C8855C64A64B35CEE59E4758DA7" xr:uid="{DC26B00B-CFB3-4FF2-8405-1B1992C0E5DE}"/>
    <hyperlink ref="D218" r:id="rId209" display="http://internal-awcp0018-alb00105-616219119.ap-northeast-1.elb.amazonaws.com/NPM_Innovator/?StartItem=z_sm_ParaValue:503AF1F7298B49C6858B1C4CA785DBBB" xr:uid="{70C71CA1-F186-4674-9876-F8BBB29352BF}"/>
    <hyperlink ref="D219" r:id="rId210" display="http://internal-awcp0018-alb00105-616219119.ap-northeast-1.elb.amazonaws.com/NPM_Innovator/?StartItem=z_sm_ParaValue:5FE48D87BAF74A72AF9BF27A105B5E33" xr:uid="{1F3CA646-02AD-4DCD-BD6B-121269B88AAE}"/>
    <hyperlink ref="D220" r:id="rId211" display="http://internal-awcp0018-alb00105-616219119.ap-northeast-1.elb.amazonaws.com/NPM_Innovator/?StartItem=z_sm_ParaValue:ADAEBA3382BD4167A0143DEEA1D4CE8D" xr:uid="{BA29831B-C439-4BEA-A6DD-F345581EE674}"/>
    <hyperlink ref="D221" r:id="rId212" display="http://internal-awcp0018-alb00105-616219119.ap-northeast-1.elb.amazonaws.com/NPM_Innovator/?StartItem=z_sm_ParaValue:A6EED9CA630049E1A6756118C769ED1A" xr:uid="{FB1833B3-A92D-4DEB-AD58-3D731D5ADBC1}"/>
    <hyperlink ref="D222" r:id="rId213" display="http://internal-awcp0018-alb00105-616219119.ap-northeast-1.elb.amazonaws.com/NPM_Innovator/?StartItem=z_sm_ParaValue:CD8AFDCD80AB404DAFB5C86BAB704719" xr:uid="{A3151AA0-DC90-4512-90A7-6BA210773896}"/>
    <hyperlink ref="D223" r:id="rId214" display="http://internal-awcp0018-alb00105-616219119.ap-northeast-1.elb.amazonaws.com/NPM_Innovator/?StartItem=z_sm_ParaValue:712F4DC4E3FE4F9382EF904E8BA86068" xr:uid="{DBB6F8E8-1937-48D2-BAC6-CAF62035AD77}"/>
    <hyperlink ref="D224" r:id="rId215" display="http://internal-awcp0018-alb00105-616219119.ap-northeast-1.elb.amazonaws.com/NPM_Innovator/?StartItem=z_sm_ParaValue:0190E3A94C50495482AC108FF42FB0B7" xr:uid="{FBFB17D7-9BDF-46A4-9475-728F63E86C91}"/>
    <hyperlink ref="D225" r:id="rId216" display="http://internal-awcp0018-alb00105-616219119.ap-northeast-1.elb.amazonaws.com/NPM_Innovator/?StartItem=z_sm_ParaValue:F2B326DB13AE4D8EB1217E7993868E87" xr:uid="{F09FD68D-1335-4E5F-B8C0-8B196CA591C6}"/>
    <hyperlink ref="D226" r:id="rId217" display="http://internal-awcp0018-alb00105-616219119.ap-northeast-1.elb.amazonaws.com/NPM_Innovator/?StartItem=z_sm_ParaValue:E0E011FC308E4F5DAE0A04BA096DF4DE" xr:uid="{1F89FF6A-FC54-4447-A758-7A9879B2E76C}"/>
    <hyperlink ref="D227" r:id="rId218" display="http://internal-awcp0018-alb00105-616219119.ap-northeast-1.elb.amazonaws.com/NPM_Innovator/?StartItem=z_sm_ParaValue:78ECFA545EBF4B3AB59C574022DA3CE8" xr:uid="{39D28021-58ED-4EB1-891B-A41F342C0E68}"/>
    <hyperlink ref="D228" r:id="rId219" display="http://internal-awcp0018-alb00105-616219119.ap-northeast-1.elb.amazonaws.com/NPM_Innovator/?StartItem=z_sm_ParaValue:07C8A7D723234373A6A371BFF25FA9E2" xr:uid="{D5933046-9B8B-4B19-B32C-AF703FD68430}"/>
    <hyperlink ref="D229" r:id="rId220" display="http://internal-awcp0018-alb00105-616219119.ap-northeast-1.elb.amazonaws.com/NPM_Innovator/?StartItem=z_sm_ParaValue:29C9398C68554E5A901214C585CC5495" xr:uid="{986C1C71-023D-4BBE-A838-FB14933C09D9}"/>
    <hyperlink ref="D230" r:id="rId221" display="http://internal-awcp0018-alb00105-616219119.ap-northeast-1.elb.amazonaws.com/NPM_Innovator/?StartItem=z_sm_ParaValue:5862C5F8CFA4409B80C2EB094271F8E8" xr:uid="{66904E99-78D2-427A-A8AE-9272698BF2B2}"/>
    <hyperlink ref="D231" r:id="rId222" display="http://internal-awcp0018-alb00105-616219119.ap-northeast-1.elb.amazonaws.com/NPM_Innovator/?StartItem=z_sm_ParaValue:E82B498FB6524344BBE50CD084C85149" xr:uid="{091D190D-D1D9-4B66-9501-40A2E6CC6E2D}"/>
    <hyperlink ref="D232" r:id="rId223" display="http://internal-awcp0018-alb00105-616219119.ap-northeast-1.elb.amazonaws.com/NPM_Innovator/?StartItem=z_sm_ParaValue:2D7C588993E14E61AF083C749FC75B1D" xr:uid="{7EE470A1-F336-445E-B94D-1431CF7BA95F}"/>
    <hyperlink ref="D233" r:id="rId224" display="http://internal-awcp0018-alb00105-616219119.ap-northeast-1.elb.amazonaws.com/NPM_Innovator/?StartItem=z_sm_ParaValue:32C8A07AF2F9471899FBA605C728BACB" xr:uid="{3FC207BA-85AE-41D2-8C27-ED20D4AE50EB}"/>
    <hyperlink ref="D234" r:id="rId225" display="http://internal-awcp0018-alb00105-616219119.ap-northeast-1.elb.amazonaws.com/NPM_Innovator/?StartItem=z_sm_ParaValue:6C8C038002E84F1FAEA49B0EDD2447A4" xr:uid="{2FAAFC7F-08F9-4E63-B719-D4A4C1B8319F}"/>
    <hyperlink ref="D235" r:id="rId226" display="http://internal-awcp0018-alb00105-616219119.ap-northeast-1.elb.amazonaws.com/NPM_Innovator/?StartItem=z_sm_ParaValue:88C7277F78314AB98040B9D1FC430951" xr:uid="{509BDBE5-A0BB-4486-9AD2-DCA5664DE811}"/>
    <hyperlink ref="D236" r:id="rId227" display="http://internal-awcp0018-alb00105-616219119.ap-northeast-1.elb.amazonaws.com/NPM_Innovator/?StartItem=z_sm_ParaValue:DEF5E8A7BBEA467887006FE56B4E4925" xr:uid="{39B3E5F1-CE7B-4FDF-BE44-CE9D9D06287E}"/>
    <hyperlink ref="D237" r:id="rId228" display="http://internal-awcp0018-alb00105-616219119.ap-northeast-1.elb.amazonaws.com/NPM_Innovator/?StartItem=z_sm_ParaValue:895D94AC7CE2460CACEC728D188874A8" xr:uid="{D0630E9E-6B1E-4114-B082-AB315FADA890}"/>
    <hyperlink ref="D238" r:id="rId229" display="http://internal-awcp0018-alb00105-616219119.ap-northeast-1.elb.amazonaws.com/NPM_Innovator/?StartItem=z_sm_ParaValue:163D2788CC4E47DBA9433E48F7E3C568" xr:uid="{4D566B12-D53C-4723-8E0B-E32D6D48F65F}"/>
    <hyperlink ref="D239" r:id="rId230" display="http://internal-awcp0018-alb00105-616219119.ap-northeast-1.elb.amazonaws.com/NPM_Innovator/?StartItem=z_sm_ParaValue:7BECFABAF340465AA8F3D451678CA1EA" xr:uid="{92DC6513-61DF-42EE-905F-2070F7DA08B7}"/>
    <hyperlink ref="D240" r:id="rId231" display="http://internal-awcp0018-alb00105-616219119.ap-northeast-1.elb.amazonaws.com/NPM_Innovator/?StartItem=z_sm_ParaValue:2BEB1CFC42734C6981BF60E5408D3777" xr:uid="{9AAC5DA3-F324-420C-986B-DB2657F3433C}"/>
    <hyperlink ref="D241" r:id="rId232" display="http://internal-awcp0018-alb00105-616219119.ap-northeast-1.elb.amazonaws.com/NPM_Innovator/?StartItem=z_sm_ParaValue:FA996CD5101E43E18DAFE95B78225131" xr:uid="{5A9385DB-E4D4-4FC7-ADBF-506E097F109C}"/>
    <hyperlink ref="D242" r:id="rId233" display="http://internal-awcp0018-alb00105-616219119.ap-northeast-1.elb.amazonaws.com/NPM_Innovator/?StartItem=z_sm_ParaValue:D47CEA4C16674E42A599C980DAF1D8E6" xr:uid="{7EC2C40A-FB38-449C-A829-E8146FBF9570}"/>
    <hyperlink ref="D243" r:id="rId234" display="http://internal-awcp0018-alb00105-616219119.ap-northeast-1.elb.amazonaws.com/NPM_Innovator/?StartItem=z_sm_ParaValue:FE95B1E48AEF4CCDB7D2D106AC541A05" xr:uid="{4DD88EE5-D774-40A1-BEE1-6E6A9A02D74B}"/>
    <hyperlink ref="D244" r:id="rId235" display="http://internal-awcp0018-alb00105-616219119.ap-northeast-1.elb.amazonaws.com/NPM_Innovator/?StartItem=z_sm_ParaValue:558F48680DD34302A7C79CE6D57EFD49" xr:uid="{766B1426-CDB4-443D-A157-624983CBA62C}"/>
    <hyperlink ref="D245" r:id="rId236" display="http://internal-awcp0018-alb00105-616219119.ap-northeast-1.elb.amazonaws.com/NPM_Innovator/?StartItem=z_sm_ParaValue:19B7DE4503E64C7FA596818E971E6E02" xr:uid="{BAAA3B56-17B1-47D3-8AB8-81A37436965D}"/>
    <hyperlink ref="D246" r:id="rId237" display="http://internal-awcp0018-alb00105-616219119.ap-northeast-1.elb.amazonaws.com/NPM_Innovator/?StartItem=z_sm_ParaValue:EF9E18EF084248FF8E890EF8B180BE40" xr:uid="{3749C70D-875D-421E-9EA2-5959C68A8A6D}"/>
    <hyperlink ref="D247" r:id="rId238" display="http://internal-awcp0018-alb00105-616219119.ap-northeast-1.elb.amazonaws.com/NPM_Innovator/?StartItem=z_sm_ParaValue:DD8DE686C1E44ACDBBA49D59A024347D" xr:uid="{EE257135-72E5-49C2-9E88-B70FA2C1E3AE}"/>
    <hyperlink ref="D248" r:id="rId239" display="http://internal-awcp0018-alb00105-616219119.ap-northeast-1.elb.amazonaws.com/NPM_Innovator/?StartItem=z_sm_ParaValue:C2F6D79448644156AB8ACBD97648A5C8" xr:uid="{3AA9BC50-418C-46AC-A76C-7ED6DAE3DDD7}"/>
    <hyperlink ref="D249" r:id="rId240" display="http://internal-awcp0018-alb00105-616219119.ap-northeast-1.elb.amazonaws.com/NPM_Innovator/?StartItem=z_sm_ParaValue:294F5A1E20464C73BF1DE90EC698274B" xr:uid="{5F232E5E-4556-4993-BAF7-0825BAEC4A83}"/>
    <hyperlink ref="D250" r:id="rId241" display="http://internal-awcp0018-alb00105-616219119.ap-northeast-1.elb.amazonaws.com/NPM_Innovator/?StartItem=z_sm_ParaValue:50FD42380B944946A63C5938BE16B967" xr:uid="{7D16AF3E-E7AF-4FB0-9265-EFC20C8C60E0}"/>
    <hyperlink ref="D251" r:id="rId242" display="http://internal-awcp0018-alb00105-616219119.ap-northeast-1.elb.amazonaws.com/NPM_Innovator/?StartItem=z_sm_ParaValue:2377942BD4D3486CA621734812272AC6" xr:uid="{652C8495-847E-448C-8586-A6934C98CF57}"/>
    <hyperlink ref="D252" r:id="rId243" display="http://internal-awcp0018-alb00105-616219119.ap-northeast-1.elb.amazonaws.com/NPM_Innovator/?StartItem=z_sm_ParaValue:751CB0B346544A3DB7DB5DCD547F699E" xr:uid="{82E7AC7C-CF5A-481C-99D0-408CE984F2D1}"/>
    <hyperlink ref="D253" r:id="rId244" display="http://internal-awcp0018-alb00105-616219119.ap-northeast-1.elb.amazonaws.com/NPM_Innovator/?StartItem=z_sm_ParaValue:CCE2EF502BD94EE383EFF613F3CFE825" xr:uid="{376F8AD1-B485-4903-A4CB-6FEA665CF897}"/>
    <hyperlink ref="D254" r:id="rId245" display="http://internal-awcp0018-alb00105-616219119.ap-northeast-1.elb.amazonaws.com/NPM_Innovator/?StartItem=z_sm_ParaValue:8D97D689A300485EB905652003A3B7E4" xr:uid="{6EDFE284-922C-4685-AA5E-BF7A84A7567F}"/>
    <hyperlink ref="D255" r:id="rId246" display="http://internal-awcp0018-alb00105-616219119.ap-northeast-1.elb.amazonaws.com/NPM_Innovator/?StartItem=z_sm_ParaValue:1E385ECF5CDE4D5B978CDC3E5A74A596" xr:uid="{2A741218-89E7-44CF-B047-A41134C406C0}"/>
    <hyperlink ref="D256" r:id="rId247" display="http://internal-awcp0018-alb00105-616219119.ap-northeast-1.elb.amazonaws.com/NPM_Innovator/?StartItem=z_sm_ParaValue:2B40939C136B4030A21EDCD849E93AC1" xr:uid="{56CC4EC2-FB04-464A-B35E-F7E2FCE5ECD5}"/>
    <hyperlink ref="D257" r:id="rId248" display="http://internal-awcp0018-alb00105-616219119.ap-northeast-1.elb.amazonaws.com/NPM_Innovator/?StartItem=z_sm_ParaValue:A15EDBDAD8424D1B8D25E9581BA50E1E" xr:uid="{B0538F04-DD97-4930-8F1B-4B33808A7AC1}"/>
    <hyperlink ref="D258" r:id="rId249" display="http://internal-awcp0018-alb00105-616219119.ap-northeast-1.elb.amazonaws.com/NPM_Innovator/?StartItem=z_sm_ParaValue:E6434EFAAF4443AD8862207AE287C661" xr:uid="{5951DB2C-C5CA-489A-8A5D-0D69AF729A38}"/>
    <hyperlink ref="D259" r:id="rId250" display="http://internal-awcp0018-alb00105-616219119.ap-northeast-1.elb.amazonaws.com/NPM_Innovator/?StartItem=z_sm_ParaValue:3FCBDD5069A54351B46DB71E7DC48EC8" xr:uid="{23F3BF50-1CCE-4CFA-B691-F4404DE48230}"/>
    <hyperlink ref="D260" r:id="rId251" display="http://internal-awcp0018-alb00105-616219119.ap-northeast-1.elb.amazonaws.com/NPM_Innovator/?StartItem=z_sm_ParaValue:3E35418791DA4AA486E1DBF7154D56CF" xr:uid="{BCB8715D-934A-4136-B454-FD6E29DC2A01}"/>
    <hyperlink ref="D261" r:id="rId252" display="http://internal-awcp0018-alb00105-616219119.ap-northeast-1.elb.amazonaws.com/NPM_Innovator/?StartItem=z_sm_ParaValue:6BBA23C8B04647F3A96ED87CA1A6FD0B" xr:uid="{9C9788DE-678B-4A4C-94C8-30A7017B8243}"/>
    <hyperlink ref="D262" r:id="rId253" display="http://internal-awcp0018-alb00105-616219119.ap-northeast-1.elb.amazonaws.com/NPM_Innovator/?StartItem=z_sm_ParaValue:BC95C7B73A714A3886164270E7CF45F7" xr:uid="{79A35CD6-A9FE-40FE-959D-D33640D321F9}"/>
    <hyperlink ref="D263" r:id="rId254" display="http://internal-awcp0018-alb00105-616219119.ap-northeast-1.elb.amazonaws.com/NPM_Innovator/?StartItem=z_sm_ParaValue:9CC545800E6A46DDB4D8DA3C749768AA" xr:uid="{CD55841D-752C-40D4-A6C0-D9AB85096F44}"/>
    <hyperlink ref="D264" r:id="rId255" display="http://internal-awcp0018-alb00105-616219119.ap-northeast-1.elb.amazonaws.com/NPM_Innovator/?StartItem=z_sm_ParaValue:8433F0D5FF494217BB83AA2E6468C51F" xr:uid="{E5E8D72F-0083-40DA-9DB6-8995873D4F79}"/>
    <hyperlink ref="D265" r:id="rId256" display="http://internal-awcp0018-alb00105-616219119.ap-northeast-1.elb.amazonaws.com/NPM_Innovator/?StartItem=z_sm_ParaValue:6E834260DBE041018E7643FBCE6A7DDE" xr:uid="{39AA1287-2927-4D79-96A7-9E3B4C027FAE}"/>
    <hyperlink ref="D266" r:id="rId257" display="http://internal-awcp0018-alb00105-616219119.ap-northeast-1.elb.amazonaws.com/NPM_Innovator/?StartItem=z_sm_ParaValue:13D0A8B672B14B1D96A04195D6AC4B2B" xr:uid="{784E4B3B-3939-4E32-80B8-0A8A1B2D1F57}"/>
    <hyperlink ref="D267" r:id="rId258" display="http://internal-awcp0018-alb00105-616219119.ap-northeast-1.elb.amazonaws.com/NPM_Innovator/?StartItem=z_sm_ParaValue:5E0631F2405E413E9AD88453E1AFE67F" xr:uid="{561A2726-1058-4734-A431-9514F53C4D11}"/>
    <hyperlink ref="D268" r:id="rId259" display="http://internal-awcp0018-alb00105-616219119.ap-northeast-1.elb.amazonaws.com/NPM_Innovator/?StartItem=z_sm_ParaValue:5B63741A72B34B51B84A9C2519710DB7" xr:uid="{30F02C5D-8A12-4310-8B14-60A2AC521D3A}"/>
    <hyperlink ref="D269" r:id="rId260" display="http://internal-awcp0018-alb00105-616219119.ap-northeast-1.elb.amazonaws.com/NPM_Innovator/?StartItem=z_sm_ParaValue:C7666B909FDD4131BA6865BE827C08ED" xr:uid="{09513A65-3651-4AE3-B8C1-09F82CF5CA6E}"/>
    <hyperlink ref="D270" r:id="rId261" display="http://internal-awcp0018-alb00105-616219119.ap-northeast-1.elb.amazonaws.com/NPM_Innovator/?StartItem=z_sm_ParaValue:282D923051E64A81885A39F824AAFE72" xr:uid="{3ECFF4CF-94F4-4537-88F2-F076FDECB002}"/>
    <hyperlink ref="D271" r:id="rId262" display="http://internal-awcp0018-alb00105-616219119.ap-northeast-1.elb.amazonaws.com/NPM_Innovator/?StartItem=z_sm_ParaValue:DD6F781F91034C3884BC6ACC9C3303BD" xr:uid="{81EF753F-0027-48BC-A208-EAB2CB186F61}"/>
    <hyperlink ref="D272" r:id="rId263" display="http://internal-awcp0018-alb00105-616219119.ap-northeast-1.elb.amazonaws.com/NPM_Innovator/?StartItem=z_sm_ParaValue:B2A9EDEB7E0744B08408E2C0249F544F" xr:uid="{7AAA44BA-8740-413D-9C7C-F01AFD61E637}"/>
    <hyperlink ref="D273" r:id="rId264" display="http://internal-awcp0018-alb00105-616219119.ap-northeast-1.elb.amazonaws.com/NPM_Innovator/?StartItem=z_sm_ParaValue:F4E74D17C24041F0A972F42C307F979D" xr:uid="{C6D0576C-1D89-43BE-BF01-FCF5E1534A0E}"/>
    <hyperlink ref="D274" r:id="rId265" display="http://internal-awcp0018-alb00105-616219119.ap-northeast-1.elb.amazonaws.com/NPM_Innovator/?StartItem=z_sm_ParaValue:94C57FA84D6D4AA780218CA5C1648F44" xr:uid="{0DB5ABC3-19C3-4615-8C92-A5A271855581}"/>
    <hyperlink ref="D275" r:id="rId266" display="http://internal-awcp0018-alb00105-616219119.ap-northeast-1.elb.amazonaws.com/NPM_Innovator/?StartItem=z_sm_ParaValue:32086DE1ADFD41A8A2812987138EB495" xr:uid="{B3014526-1228-48F9-B3F2-B37391BFCAE8}"/>
    <hyperlink ref="D276" r:id="rId267" display="http://internal-awcp0018-alb00105-616219119.ap-northeast-1.elb.amazonaws.com/NPM_Innovator/?StartItem=z_sm_ParaValue:7980346A76D645A191FCD8A307392572" xr:uid="{55E3AA89-E767-42B4-A522-84310C9F97B8}"/>
    <hyperlink ref="D277" r:id="rId268" display="http://internal-awcp0018-alb00105-616219119.ap-northeast-1.elb.amazonaws.com/NPM_Innovator/?StartItem=z_sm_ParaValue:D74A35B0C1184D71AB09B527713E1ACD" xr:uid="{C182D9D3-30F0-47E5-8C31-9B87FE2E3323}"/>
    <hyperlink ref="D278" r:id="rId269" display="http://internal-awcp0018-alb00105-616219119.ap-northeast-1.elb.amazonaws.com/NPM_Innovator/?StartItem=z_sm_ParaValue:E5801898878E445E92F91D795F691B72" xr:uid="{D19F60A7-C283-4A4C-BDCE-2F576A7FEF3C}"/>
    <hyperlink ref="D279" r:id="rId270" display="http://internal-awcp0018-alb00105-616219119.ap-northeast-1.elb.amazonaws.com/NPM_Innovator/?StartItem=z_sm_ParaValue:720B9BB4830D430C9EAA3412493E403A" xr:uid="{E7C634EA-14F7-4D55-AA14-9D556458BE72}"/>
    <hyperlink ref="D280" r:id="rId271" display="http://internal-awcp0018-alb00105-616219119.ap-northeast-1.elb.amazonaws.com/NPM_Innovator/?StartItem=z_sm_ParaValue:958CF5181D93405BB967DFA58F4D856F" xr:uid="{95E954A0-FF25-474E-A3C2-808A3DE0EC56}"/>
    <hyperlink ref="D281" r:id="rId272" display="http://internal-awcp0018-alb00105-616219119.ap-northeast-1.elb.amazonaws.com/NPM_Innovator/?StartItem=z_sm_ParaValue:B1A4EE9055E64971BEE2DE424C664CC2" xr:uid="{C0D052C8-8C4E-4918-8766-B61259F42FBB}"/>
    <hyperlink ref="D282" r:id="rId273" display="http://internal-awcp0018-alb00105-616219119.ap-northeast-1.elb.amazonaws.com/NPM_Innovator/?StartItem=z_sm_ParaValue:8EBE7E4E11AE42B3BF2E28220E5A37ED" xr:uid="{2C36DCD8-0E0B-4512-8A1A-0DCA19D9C063}"/>
    <hyperlink ref="D283" r:id="rId274" display="http://internal-awcp0018-alb00105-616219119.ap-northeast-1.elb.amazonaws.com/NPM_Innovator/?StartItem=z_sm_ParaValue:2CA7C0E86B324B3AB61B0E0BADF6AF14" xr:uid="{75224058-D59E-4801-A428-CD8277389728}"/>
    <hyperlink ref="D284" r:id="rId275" display="http://internal-awcp0018-alb00105-616219119.ap-northeast-1.elb.amazonaws.com/NPM_Innovator/?StartItem=z_sm_ParaValue:D47D62FD740D4EE2B64FA1E0214E6BB1" xr:uid="{8F4EC4CC-7F34-46B3-BF1D-CB8F0843EFA3}"/>
    <hyperlink ref="D285" r:id="rId276" display="http://internal-awcp0018-alb00105-616219119.ap-northeast-1.elb.amazonaws.com/NPM_Innovator/?StartItem=z_sm_ParaValue:F1759A83C7404A2E8EA49586C02E9E15" xr:uid="{EDD5EC19-7D63-46FD-B71F-5AAC064A2D16}"/>
    <hyperlink ref="D286" r:id="rId277" display="http://internal-awcp0018-alb00105-616219119.ap-northeast-1.elb.amazonaws.com/NPM_Innovator/?StartItem=z_sm_ParaValue:6F17E6B8C930402F92AF82898D1679D5" xr:uid="{496A3BCC-981A-4EB1-A9FF-DFB1EFCA1374}"/>
    <hyperlink ref="D287" r:id="rId278" display="http://internal-awcp0018-alb00105-616219119.ap-northeast-1.elb.amazonaws.com/NPM_Innovator/?StartItem=z_sm_ParaValue:F1B628B83858476AAD5B28AF999E5EBA" xr:uid="{70B54A3F-E6F1-448F-8F52-E699CF8B970D}"/>
    <hyperlink ref="D288" r:id="rId279" display="http://internal-awcp0018-alb00105-616219119.ap-northeast-1.elb.amazonaws.com/NPM_Innovator/?StartItem=z_sm_ParaValue:7E34ED8C347C4E3D82692D1494E64924" xr:uid="{78FAF401-4B51-400B-8FC9-2A8CC1AD76A3}"/>
    <hyperlink ref="D289" r:id="rId280" display="http://internal-awcp0018-alb00105-616219119.ap-northeast-1.elb.amazonaws.com/NPM_Innovator/?StartItem=z_sm_ParaValue:CE2D7D21519642E8A7DF7EFEB6E56E5A" xr:uid="{B1629700-42AF-46A2-88D7-E21C510CF489}"/>
    <hyperlink ref="D290" r:id="rId281" display="http://internal-awcp0018-alb00105-616219119.ap-northeast-1.elb.amazonaws.com/NPM_Innovator/?StartItem=z_sm_ParaValue:96E0DDD830FD4A0B81B6765D56EB8AC3" xr:uid="{96BDD269-614E-4D3F-A6A0-F8AD5533A26A}"/>
    <hyperlink ref="D291" r:id="rId282" display="http://internal-awcp0018-alb00105-616219119.ap-northeast-1.elb.amazonaws.com/NPM_Innovator/?StartItem=z_sm_ParaValue:E3DD0322F9774CD48B235E4452E07B91" xr:uid="{82348412-1EF4-474C-A110-F68E59E53336}"/>
    <hyperlink ref="D292" r:id="rId283" display="http://internal-awcp0018-alb00105-616219119.ap-northeast-1.elb.amazonaws.com/NPM_Innovator/?StartItem=z_sm_ParaValue:E3A38B6537D5486EAD17C6CA0ED56B1C" xr:uid="{C8E90187-5A01-4D0A-8837-E90FFF0F2F3D}"/>
    <hyperlink ref="D293" r:id="rId284" display="http://internal-awcp0018-alb00105-616219119.ap-northeast-1.elb.amazonaws.com/NPM_Innovator/?StartItem=z_sm_ParaValue:D4B5624C9C164E4186A20E8BF326D0C9" xr:uid="{24CF6488-E0C5-4F22-9C08-70E882D80E08}"/>
    <hyperlink ref="D294" r:id="rId285" display="http://internal-awcp0018-alb00105-616219119.ap-northeast-1.elb.amazonaws.com/NPM_Innovator/?StartItem=z_sm_ParaValue:A3814086495C46D18C53F39B8F193A23" xr:uid="{39CDB6C3-D28E-4B60-9053-DAA131114837}"/>
    <hyperlink ref="D295" r:id="rId286" display="http://internal-awcp0018-alb00105-616219119.ap-northeast-1.elb.amazonaws.com/NPM_Innovator/?StartItem=z_sm_ParaValue:3AD9A6FE1B5F4E80B5907BF37489CA71" xr:uid="{4C1973FC-5A8F-43D1-BF68-FA4A44416181}"/>
    <hyperlink ref="D296" r:id="rId287" display="http://internal-awcp0018-alb00105-616219119.ap-northeast-1.elb.amazonaws.com/NPM_Innovator/?StartItem=z_sm_ParaValue:8280FA02BBE9486FAF6547DCB5E51620" xr:uid="{2E7FC592-946E-4CE0-8D5E-255157E37E76}"/>
    <hyperlink ref="D297" r:id="rId288" display="http://internal-awcp0018-alb00105-616219119.ap-northeast-1.elb.amazonaws.com/NPM_Innovator/?StartItem=z_sm_ParaValue:CB5C858EC0414FC7882216C42B97ADA3" xr:uid="{7A49E4DA-FB6F-4A63-9CFC-A7183F8E6665}"/>
    <hyperlink ref="D298" r:id="rId289" display="http://internal-awcp0018-alb00105-616219119.ap-northeast-1.elb.amazonaws.com/NPM_Innovator/?StartItem=z_sm_ParaValue:794CDD6B56F74BDBBF4081D57692303E" xr:uid="{2CFD486A-881E-405C-8A65-B3D5819A4972}"/>
    <hyperlink ref="D299" r:id="rId290" display="http://internal-awcp0018-alb00105-616219119.ap-northeast-1.elb.amazonaws.com/NPM_Innovator/?StartItem=z_sm_ParaValue:E70654EA354D4BBDB26569042D41D38B" xr:uid="{B157261C-7E45-49D4-91D9-51C1369F1BF6}"/>
    <hyperlink ref="D300" r:id="rId291" display="http://internal-awcp0018-alb00105-616219119.ap-northeast-1.elb.amazonaws.com/NPM_Innovator/?StartItem=z_sm_ParaValue:011251CAEB3242D89F15D8BE44B7E6C0" xr:uid="{48BD76EA-A80B-4867-AA6A-B5A00495CB39}"/>
    <hyperlink ref="D301" r:id="rId292" display="http://internal-awcp0018-alb00105-616219119.ap-northeast-1.elb.amazonaws.com/NPM_Innovator/?StartItem=z_sm_ParaValue:5A2025F591134D0BB004321F48554A8B" xr:uid="{5A1B11F6-0684-461E-BBEB-504FC3D59BA3}"/>
    <hyperlink ref="D302" r:id="rId293" display="http://internal-awcp0018-alb00105-616219119.ap-northeast-1.elb.amazonaws.com/NPM_Innovator/?StartItem=z_sm_ParaValue:D7743BAF786D4194B868E6B315A852C6" xr:uid="{5708A637-832A-4AEE-B120-D61E9BD0F509}"/>
    <hyperlink ref="D303" r:id="rId294" display="http://internal-awcp0018-alb00105-616219119.ap-northeast-1.elb.amazonaws.com/NPM_Innovator/?StartItem=z_sm_ParaValue:769EEC021B2041318AF3A2CB954B256A" xr:uid="{DCF97BA1-F65D-4037-9B2E-CD0440BE2EFF}"/>
    <hyperlink ref="D304" r:id="rId295" display="http://internal-awcp0018-alb00105-616219119.ap-northeast-1.elb.amazonaws.com/NPM_Innovator/?StartItem=z_sm_ParaValue:250CB85421AE47478D5F4CF1355FB767" xr:uid="{351BD145-D6C1-40E3-B3CE-AC78C30110BA}"/>
    <hyperlink ref="D305" r:id="rId296" display="http://internal-awcp0018-alb00105-616219119.ap-northeast-1.elb.amazonaws.com/NPM_Innovator/?StartItem=z_sm_ParaValue:698C65C2618940169D974A9774AF9D96" xr:uid="{CDF2990C-212B-47C9-9E3F-F108C7978EB9}"/>
    <hyperlink ref="D306" r:id="rId297" display="http://internal-awcp0018-alb00105-616219119.ap-northeast-1.elb.amazonaws.com/NPM_Innovator/?StartItem=z_sm_ParaValue:B5934A84132042EDB85130DD07213D8D" xr:uid="{A35BBCAB-C92B-4E10-A324-F2036B2C1279}"/>
    <hyperlink ref="D307" r:id="rId298" display="http://internal-awcp0018-alb00105-616219119.ap-northeast-1.elb.amazonaws.com/NPM_Innovator/?StartItem=z_sm_ParaValue:8A0C4418C71347649506607622D028D0" xr:uid="{CC2C0BD6-218B-49A2-BA23-EB182F91957E}"/>
    <hyperlink ref="D308" r:id="rId299" display="http://internal-awcp0018-alb00105-616219119.ap-northeast-1.elb.amazonaws.com/NPM_Innovator/?StartItem=z_sm_ParaValue:6E6B30E0DA0B46D58CA936F81A8D11CC" xr:uid="{1F0B172D-10C2-4235-9468-B18E4BC75DB7}"/>
    <hyperlink ref="D309" r:id="rId300" display="http://internal-awcp0018-alb00105-616219119.ap-northeast-1.elb.amazonaws.com/NPM_Innovator/?StartItem=z_sm_ParaValue:84540CF513A04AD5902F0C2423F0C990" xr:uid="{E2FC07B9-88D2-4242-9A68-B898809B118F}"/>
    <hyperlink ref="D310" r:id="rId301" display="http://internal-awcp0018-alb00105-616219119.ap-northeast-1.elb.amazonaws.com/NPM_Innovator/?StartItem=z_sm_ParaValue:8ECC024C5A544D5ABF42BB49B722F9C9" xr:uid="{F559984C-2E34-422E-880F-041A75F2AFF2}"/>
    <hyperlink ref="D311" r:id="rId302" display="http://internal-awcp0018-alb00105-616219119.ap-northeast-1.elb.amazonaws.com/NPM_Innovator/?StartItem=z_sm_ParaValue:5E91AA0493614AC9A9CB326F6255883B" xr:uid="{826D59C5-435A-480E-858E-73B2D4068CF7}"/>
    <hyperlink ref="D312" r:id="rId303" display="http://internal-awcp0018-alb00105-616219119.ap-northeast-1.elb.amazonaws.com/NPM_Innovator/?StartItem=z_sm_ParaValue:6F006F9F2D0742B99111A689E86C6FF9" xr:uid="{9B1096CB-493B-43B5-91CE-9E6A88D79576}"/>
    <hyperlink ref="D313" r:id="rId304" display="http://internal-awcp0018-alb00105-616219119.ap-northeast-1.elb.amazonaws.com/NPM_Innovator/?StartItem=z_sm_ParaValue:F7FC9F8001714B289239B804F890D154" xr:uid="{649DC777-3EE3-426C-AD29-6756B7A269F2}"/>
    <hyperlink ref="D314" r:id="rId305" display="http://internal-awcp0018-alb00105-616219119.ap-northeast-1.elb.amazonaws.com/NPM_Innovator/?StartItem=z_sm_ParaValue:F689BAC80B6E470D9821F27431E95B5D" xr:uid="{673C5A05-560F-4553-8D4C-E89C6E0C9CC0}"/>
    <hyperlink ref="D315" r:id="rId306" display="http://internal-awcp0018-alb00105-616219119.ap-northeast-1.elb.amazonaws.com/NPM_Innovator/?StartItem=z_sm_ParaValue:BCBD55EBADCE40C993C2C40FB3C64FEE" xr:uid="{F4D0E3ED-8DFF-46C3-9D6A-5E05189007A8}"/>
    <hyperlink ref="D316" r:id="rId307" display="http://internal-awcp0018-alb00105-616219119.ap-northeast-1.elb.amazonaws.com/NPM_Innovator/?StartItem=z_sm_ParaValue:28639ACEF21B4155A26CA3587E39BDF3" xr:uid="{323E7217-B592-4B50-8DB9-004C1D7C5F4B}"/>
    <hyperlink ref="D317" r:id="rId308" display="http://internal-awcp0018-alb00105-616219119.ap-northeast-1.elb.amazonaws.com/NPM_Innovator/?StartItem=z_sm_ParaValue:6C6AA90B7BD94B90A642E871EBBEDCAA" xr:uid="{34310E7B-C814-4E0E-ADF0-91A904584841}"/>
    <hyperlink ref="D318" r:id="rId309" display="http://internal-awcp0018-alb00105-616219119.ap-northeast-1.elb.amazonaws.com/NPM_Innovator/?StartItem=z_sm_ParaValue:30847EDA56D7444090462E1D5CCF7D1D" xr:uid="{DD766F43-FE42-477E-8FD5-001F95C37E8B}"/>
    <hyperlink ref="D319" r:id="rId310" display="http://internal-awcp0018-alb00105-616219119.ap-northeast-1.elb.amazonaws.com/NPM_Innovator/?StartItem=z_sm_ParaValue:115D802416944DB5B2A93D2C030A3258" xr:uid="{269627D3-926F-4FEF-9D38-259CE5B8AC6D}"/>
    <hyperlink ref="D320" r:id="rId311" display="http://internal-awcp0018-alb00105-616219119.ap-northeast-1.elb.amazonaws.com/NPM_Innovator/?StartItem=z_sm_ParaValue:53AE0831033D480EB14336CF8429118E" xr:uid="{8393E5A0-6CD6-4BCD-B25C-994587441624}"/>
    <hyperlink ref="D321" r:id="rId312" display="http://internal-awcp0018-alb00105-616219119.ap-northeast-1.elb.amazonaws.com/NPM_Innovator/?StartItem=z_sm_ParaValue:FCB34C1ED4A64292B2E6E0CC3E331A2B" xr:uid="{A1F7663B-C2B5-466C-8C98-BAD242654A52}"/>
    <hyperlink ref="D322" r:id="rId313" display="http://internal-awcp0018-alb00105-616219119.ap-northeast-1.elb.amazonaws.com/NPM_Innovator/?StartItem=z_sm_ParaValue:709AD92C8C7B46B69A5377DC5BD097E4" xr:uid="{C6B1E70F-D9B3-4559-B665-6D5449889939}"/>
    <hyperlink ref="D323" r:id="rId314" display="http://internal-awcp0018-alb00105-616219119.ap-northeast-1.elb.amazonaws.com/NPM_Innovator/?StartItem=z_sm_ParaValue:56B52697EE41446E8851E76DFC920918" xr:uid="{C1FCEB63-ED54-4E81-A670-E4643D827144}"/>
    <hyperlink ref="D324" r:id="rId315" display="http://internal-awcp0018-alb00105-616219119.ap-northeast-1.elb.amazonaws.com/NPM_Innovator/?StartItem=z_sm_ParaValue:60AE9BEA5E1E41E8BB4CD366B6546E1E" xr:uid="{D6D1F7DA-65B4-4710-B4A5-7DFFDD966BA1}"/>
    <hyperlink ref="D325" r:id="rId316" display="http://internal-awcp0018-alb00105-616219119.ap-northeast-1.elb.amazonaws.com/NPM_Innovator/?StartItem=z_sm_ParaValue:B04A74A5B8034FC69EA1EBCFC8221878" xr:uid="{98525DB3-0641-47D3-B14A-88C745AE9832}"/>
    <hyperlink ref="D326" r:id="rId317" display="http://internal-awcp0018-alb00105-616219119.ap-northeast-1.elb.amazonaws.com/NPM_Innovator/?StartItem=z_sm_ParaValue:B08EBDA124604D6B9B60249EC3C0E3C8" xr:uid="{DFE5DE26-B8A2-46C4-BB09-B83B5A510B00}"/>
    <hyperlink ref="D327" r:id="rId318" display="http://internal-awcp0018-alb00105-616219119.ap-northeast-1.elb.amazonaws.com/NPM_Innovator/?StartItem=z_sm_ParaValue:19875DD81C4F4BA4BD38DF02C82E0AF7" xr:uid="{8FD07908-E2EC-401B-965A-B4AF9D071B12}"/>
    <hyperlink ref="D328" r:id="rId319" display="http://internal-awcp0018-alb00105-616219119.ap-northeast-1.elb.amazonaws.com/NPM_Innovator/?StartItem=z_sm_ParaValue:7092980C1DEA46FCBB0421ACA4128F58" xr:uid="{105ABC70-B9F6-4485-A771-645D46180667}"/>
    <hyperlink ref="D329" r:id="rId320" display="http://internal-awcp0018-alb00105-616219119.ap-northeast-1.elb.amazonaws.com/NPM_Innovator/?StartItem=z_sm_ParaValue:761FCD1CC5AE4FEEB783CD8617EA2CC8" xr:uid="{79B94214-089B-4969-9273-0B6196985805}"/>
    <hyperlink ref="D330" r:id="rId321" display="http://internal-awcp0018-alb00105-616219119.ap-northeast-1.elb.amazonaws.com/NPM_Innovator/?StartItem=z_sm_ParaValue:D22F0738E1B2415EA06830951C4AC769" xr:uid="{36EC54A4-3A00-49BB-814C-8C0386816EC3}"/>
    <hyperlink ref="D331" r:id="rId322" display="http://internal-awcp0018-alb00105-616219119.ap-northeast-1.elb.amazonaws.com/NPM_Innovator/?StartItem=z_sm_ParaValue:05F91998625A4E43BE4629307F0DE7C5" xr:uid="{9D3EE2F1-0E5F-4863-A6E8-15B72EAB5016}"/>
    <hyperlink ref="D332" r:id="rId323" display="http://internal-awcp0018-alb00105-616219119.ap-northeast-1.elb.amazonaws.com/NPM_Innovator/?StartItem=z_sm_ParaValue:04D40C83F542417CA943C106FC332D77" xr:uid="{5A559F1A-0575-4449-B7C2-85E58D1843DE}"/>
    <hyperlink ref="D333" r:id="rId324" display="http://internal-awcp0018-alb00105-616219119.ap-northeast-1.elb.amazonaws.com/NPM_Innovator/?StartItem=z_sm_ParaValue:C456F247A86B40D79D13731B75C1E441" xr:uid="{072A428F-5934-43B7-BFA0-B3F8459B5019}"/>
    <hyperlink ref="D334" r:id="rId325" display="http://internal-awcp0018-alb00105-616219119.ap-northeast-1.elb.amazonaws.com/NPM_Innovator/?StartItem=z_sm_ParaValue:EF6ED2F1CEA54266AD2973F0F9E33E93" xr:uid="{0DD495F7-80EF-4FCC-86F8-221927D69ACF}"/>
    <hyperlink ref="D335" r:id="rId326" display="http://internal-awcp0018-alb00105-616219119.ap-northeast-1.elb.amazonaws.com/NPM_Innovator/?StartItem=z_sm_ParaValue:E302A088F8224D2C8132C7D1B3E3A223" xr:uid="{AB74B7CF-743D-4B58-BEB7-27E50CF36A59}"/>
    <hyperlink ref="D336" r:id="rId327" display="http://internal-awcp0018-alb00105-616219119.ap-northeast-1.elb.amazonaws.com/NPM_Innovator/?StartItem=z_sm_ParaValue:53FF8B313C354D0588F437C032242F3A" xr:uid="{8BB372B5-106F-4C64-B674-8FFDA0FB25FC}"/>
    <hyperlink ref="D337" r:id="rId328" display="http://internal-awcp0018-alb00105-616219119.ap-northeast-1.elb.amazonaws.com/NPM_Innovator/?StartItem=z_sm_ParaValue:A92F3FA92411432192D37293769EAEFD" xr:uid="{2EBC7167-BE1D-47CC-A922-7687577780E8}"/>
    <hyperlink ref="D338" r:id="rId329" display="http://internal-awcp0018-alb00105-616219119.ap-northeast-1.elb.amazonaws.com/NPM_Innovator/?StartItem=z_sm_ParaValue:CD1CA668714C4B78992B278831B76331" xr:uid="{66720D71-6CF5-417E-9EDD-05DB2CB43A79}"/>
    <hyperlink ref="D339" r:id="rId330" display="http://internal-awcp0018-alb00105-616219119.ap-northeast-1.elb.amazonaws.com/NPM_Innovator/?StartItem=z_sm_ParaValue:8CFC4605143C47D3AF51E5C5CB45328C" xr:uid="{9BFBEEDD-5FE9-46CE-AAF1-01F333F5B8FC}"/>
    <hyperlink ref="D340" r:id="rId331" display="http://internal-awcp0018-alb00105-616219119.ap-northeast-1.elb.amazonaws.com/NPM_Innovator/?StartItem=z_sm_ParaValue:634B9CD5DB0B49EEAE7B7245FE23908F" xr:uid="{14CE1A7A-6A6C-4DC4-9613-25404B77BC0F}"/>
    <hyperlink ref="D341" r:id="rId332" display="http://internal-awcp0018-alb00105-616219119.ap-northeast-1.elb.amazonaws.com/NPM_Innovator/?StartItem=z_sm_ParaValue:A3A585DAC440431183897EC407797504" xr:uid="{463C940C-51AD-4793-8740-2E86D841E925}"/>
    <hyperlink ref="D342" r:id="rId333" display="http://internal-awcp0018-alb00105-616219119.ap-northeast-1.elb.amazonaws.com/NPM_Innovator/?StartItem=z_sm_ParaValue:1C1E7B40A47C49469779A6FC89C7C54D" xr:uid="{544C6D62-FDC8-4F35-BB8D-CEE14CCF3E04}"/>
    <hyperlink ref="D343" r:id="rId334" display="http://internal-awcp0018-alb00105-616219119.ap-northeast-1.elb.amazonaws.com/NPM_Innovator/?StartItem=z_sm_ParaValue:0F2CABA8B98748C4B2CDEB8D81D0A503" xr:uid="{C3BCFCEB-BFA8-40C8-AF02-7F609AC5BA4D}"/>
    <hyperlink ref="D344" r:id="rId335" display="http://internal-awcp0018-alb00105-616219119.ap-northeast-1.elb.amazonaws.com/NPM_Innovator/?StartItem=z_sm_ParaValue:1D3DE4EA666046E1B912A906991BF3E1" xr:uid="{9A7095FD-7AFE-4BE8-AE3E-B995AD58FD5E}"/>
    <hyperlink ref="D345" r:id="rId336" display="http://internal-awcp0018-alb00105-616219119.ap-northeast-1.elb.amazonaws.com/NPM_Innovator/?StartItem=z_sm_ParaValue:18066A0FBAB442A3BEBD7D8E26FDC3C0" xr:uid="{165011EE-CC3B-4767-A1EB-E9CA103EA2EE}"/>
    <hyperlink ref="D346" r:id="rId337" display="http://internal-awcp0018-alb00105-616219119.ap-northeast-1.elb.amazonaws.com/NPM_Innovator/?StartItem=z_sm_ParaValue:6950616694384C7FBD70052D985C2BB5" xr:uid="{CE0B6439-BDE9-4A9B-B9CB-89CDBE8ACC60}"/>
    <hyperlink ref="D347" r:id="rId338" display="http://internal-awcp0018-alb00105-616219119.ap-northeast-1.elb.amazonaws.com/NPM_Innovator/?StartItem=z_sm_ParaValue:CDDF1857855B4938BE52E6F07B8E1FCC" xr:uid="{32768589-7852-4B21-AA8B-997DF3BDF39F}"/>
    <hyperlink ref="D348" r:id="rId339" display="http://internal-awcp0018-alb00105-616219119.ap-northeast-1.elb.amazonaws.com/NPM_Innovator/?StartItem=z_sm_ParaValue:83EF26D46D45459F800D60070FBBC12A" xr:uid="{A5426A9C-EF9D-4C56-A2B8-585435D16123}"/>
    <hyperlink ref="D349" r:id="rId340" display="http://internal-awcp0018-alb00105-616219119.ap-northeast-1.elb.amazonaws.com/NPM_Innovator/?StartItem=z_sm_ParaValue:D6CBDF8EF5F44D77819D63C42E31C678" xr:uid="{0EC4F661-7F80-474D-9B9E-11C0D374AE32}"/>
    <hyperlink ref="D350" r:id="rId341" display="http://internal-awcp0018-alb00105-616219119.ap-northeast-1.elb.amazonaws.com/NPM_Innovator/?StartItem=z_sm_ParaValue:E9329025BE0A4E358DA8210FCC4A0267" xr:uid="{561DBA77-D3DB-4170-8445-154908B57151}"/>
    <hyperlink ref="D351" r:id="rId342" display="http://internal-awcp0018-alb00105-616219119.ap-northeast-1.elb.amazonaws.com/NPM_Innovator/?StartItem=z_sm_ParaValue:9717765585D64164BEB173AAD46910C5" xr:uid="{1CC9FB1E-0568-41A8-856B-14CEEDD8EDDC}"/>
    <hyperlink ref="D352" r:id="rId343" display="http://internal-awcp0018-alb00105-616219119.ap-northeast-1.elb.amazonaws.com/NPM_Innovator/?StartItem=z_sm_ParaValue:9B3699D599624E9AB59F988B88F3D446" xr:uid="{6BC366D0-5D64-480F-92E9-8AD15AEABA5D}"/>
    <hyperlink ref="D353" r:id="rId344" display="http://internal-awcp0018-alb00105-616219119.ap-northeast-1.elb.amazonaws.com/NPM_Innovator/?StartItem=z_sm_ParaValue:FC77850FC65A42D09C2D31CE1B87157F" xr:uid="{327DE3CC-6E53-48EF-87E1-9777FCCC20E5}"/>
    <hyperlink ref="D354" r:id="rId345" display="http://internal-awcp0018-alb00105-616219119.ap-northeast-1.elb.amazonaws.com/NPM_Innovator/?StartItem=z_sm_ParaValue:411BEA2A016442B39AEBC75DC1B699A6" xr:uid="{BA4542DE-7B59-473E-BE2F-5F82B0966D3C}"/>
    <hyperlink ref="D355" r:id="rId346" display="http://internal-awcp0018-alb00105-616219119.ap-northeast-1.elb.amazonaws.com/NPM_Innovator/?StartItem=z_sm_ParaValue:A0FD0B637EC64F5F932C888D748FB205" xr:uid="{3FB1843F-4287-43D9-8557-D885E3E80598}"/>
    <hyperlink ref="D356" r:id="rId347" display="http://internal-awcp0018-alb00105-616219119.ap-northeast-1.elb.amazonaws.com/NPM_Innovator/?StartItem=z_sm_ParaValue:966E005EA49B4DBCB58F26ADF1588A0D" xr:uid="{71B57143-A484-4E01-A08F-3A31A3A7FCA0}"/>
    <hyperlink ref="D357" r:id="rId348" display="http://internal-awcp0018-alb00105-616219119.ap-northeast-1.elb.amazonaws.com/NPM_Innovator/?StartItem=z_sm_ParaValue:D10495CFCB014FFBB76773EF076099AE" xr:uid="{8DCF4BEF-47C3-4856-80AC-B37962F087DC}"/>
    <hyperlink ref="D358" r:id="rId349" display="http://internal-awcp0018-alb00105-616219119.ap-northeast-1.elb.amazonaws.com/NPM_Innovator/?StartItem=z_sm_ParaValue:1D5135BFED294AD793EE43351F32B7D6" xr:uid="{344128F7-F8E5-4A8B-89B3-EC80A5EFCE26}"/>
    <hyperlink ref="D359" r:id="rId350" display="http://internal-awcp0018-alb00105-616219119.ap-northeast-1.elb.amazonaws.com/NPM_Innovator/?StartItem=z_sm_ParaValue:94F388DFDD11406D9CC551425D680249" xr:uid="{3192A6D6-7CB2-4919-B12F-9161363E397A}"/>
    <hyperlink ref="D360" r:id="rId351" display="http://internal-awcp0018-alb00105-616219119.ap-northeast-1.elb.amazonaws.com/NPM_Innovator/?StartItem=z_sm_ParaValue:D36E78921B634F768ADC8CD385D88361" xr:uid="{EAF0FFF2-D272-448D-AB7A-87C250ECBCE8}"/>
    <hyperlink ref="D361" r:id="rId352" display="http://internal-awcp0018-alb00105-616219119.ap-northeast-1.elb.amazonaws.com/NPM_Innovator/?StartItem=z_sm_ParaValue:FBBDE9FD4EED468CACB16E6134DC33F5" xr:uid="{155432ED-184F-4842-8145-5DBE2503EE10}"/>
    <hyperlink ref="D362" r:id="rId353" display="http://internal-awcp0018-alb00105-616219119.ap-northeast-1.elb.amazonaws.com/NPM_Innovator/?StartItem=z_sm_ParaValue:BF927EE8C5074FB58CD7299525FCABF3" xr:uid="{97451A94-AE81-4CEB-9346-500CF528FE70}"/>
    <hyperlink ref="D363" r:id="rId354" display="http://internal-awcp0018-alb00105-616219119.ap-northeast-1.elb.amazonaws.com/NPM_Innovator/?StartItem=z_sm_ParaValue:5EEAD3E4C95440CA832AD2B1D4CDBE82" xr:uid="{F75F6F67-D35A-4E20-9E42-4BEAFF89A737}"/>
    <hyperlink ref="D364" r:id="rId355" display="http://internal-awcp0018-alb00105-616219119.ap-northeast-1.elb.amazonaws.com/NPM_Innovator/?StartItem=z_sm_ParaValue:4CADEF40FAF848B88FEBF3243FD8812F" xr:uid="{B98DB47A-A41B-49DC-A173-88029A594357}"/>
    <hyperlink ref="D365" r:id="rId356" display="http://internal-awcp0018-alb00105-616219119.ap-northeast-1.elb.amazonaws.com/NPM_Innovator/?StartItem=z_sm_ParaValue:7398B39DC24048269BCBEB9B93ED47A1" xr:uid="{863FECC5-D7E7-44B2-BBDB-1B7E6478753F}"/>
    <hyperlink ref="D366" r:id="rId357" display="http://internal-awcp0018-alb00105-616219119.ap-northeast-1.elb.amazonaws.com/NPM_Innovator/?StartItem=z_sm_ParaValue:6ED26E885DAC486CA76DE32068CDFB3F" xr:uid="{82A3FD9A-D5B8-48D4-A591-1C9851A794CC}"/>
    <hyperlink ref="D367" r:id="rId358" display="http://internal-awcp0018-alb00105-616219119.ap-northeast-1.elb.amazonaws.com/NPM_Innovator/?StartItem=z_sm_ParaValue:BFEA5EA3310E4C268CB49235764E9064" xr:uid="{EFF89C06-8667-4BAA-9A2D-2D36B1197381}"/>
    <hyperlink ref="D368" r:id="rId359" display="http://internal-awcp0018-alb00105-616219119.ap-northeast-1.elb.amazonaws.com/NPM_Innovator/?StartItem=z_sm_ParaValue:20BEBB9F85A44EAEA1B3F22ABC3B599B" xr:uid="{A9BF44F6-CE6E-480F-B714-C006D7D4190C}"/>
    <hyperlink ref="D369" r:id="rId360" display="http://internal-awcp0018-alb00105-616219119.ap-northeast-1.elb.amazonaws.com/NPM_Innovator/?StartItem=z_sm_ParaValue:B27C2DC0D9AF499E8F5C454ED1D3BADC" xr:uid="{2D28D6AC-A507-4069-93E2-E112DD9C91B5}"/>
    <hyperlink ref="D370" r:id="rId361" display="http://internal-awcp0018-alb00105-616219119.ap-northeast-1.elb.amazonaws.com/NPM_Innovator/?StartItem=z_sm_ParaValue:9A519CF42EF74B908E29EF5045841C1D" xr:uid="{2F5EC9CC-AC93-463E-B2A4-247A327E4AA8}"/>
    <hyperlink ref="D371" r:id="rId362" display="http://internal-awcp0018-alb00105-616219119.ap-northeast-1.elb.amazonaws.com/NPM_Innovator/?StartItem=z_sm_ParaValue:127B641170534912B4F70681EA77BE03" xr:uid="{59BA5E2B-7A36-4802-BA49-E85BB1963E4B}"/>
    <hyperlink ref="D372" r:id="rId363" display="http://internal-awcp0018-alb00105-616219119.ap-northeast-1.elb.amazonaws.com/NPM_Innovator/?StartItem=z_sm_ParaValue:D9419518FB7D4A639D1D0CC9C7579820" xr:uid="{6721C858-85CD-4B9F-ABDC-AE48F742F9A4}"/>
    <hyperlink ref="D373" r:id="rId364" display="http://internal-awcp0018-alb00105-616219119.ap-northeast-1.elb.amazonaws.com/NPM_Innovator/?StartItem=z_sm_ParaValue:6B6769A74D2E48B28F01FE35B1D28736" xr:uid="{6FAC72CF-2CAE-4207-ACC6-A40AA7309060}"/>
    <hyperlink ref="D374" r:id="rId365" display="http://internal-awcp0018-alb00105-616219119.ap-northeast-1.elb.amazonaws.com/NPM_Innovator/?StartItem=z_sm_ParaValue:57DBC3E43FBA4328A93DFEB390807051" xr:uid="{A200EDD9-364A-4E3F-977B-B38DE71C8ED4}"/>
    <hyperlink ref="D375" r:id="rId366" display="http://internal-awcp0018-alb00105-616219119.ap-northeast-1.elb.amazonaws.com/NPM_Innovator/?StartItem=z_sm_ParaValue:5C8A6ECEBF494E26BD0C261A9BFC0023" xr:uid="{36811E39-3015-48B9-8733-0215066F08E6}"/>
    <hyperlink ref="D376" r:id="rId367" display="http://internal-awcp0018-alb00105-616219119.ap-northeast-1.elb.amazonaws.com/NPM_Innovator/?StartItem=z_sm_ParaValue:80E05CD4B36646F480069AF88DA2EC70" xr:uid="{97636CBF-650E-443D-AD8E-705B6AA0B610}"/>
    <hyperlink ref="D377" r:id="rId368" display="http://internal-awcp0018-alb00105-616219119.ap-northeast-1.elb.amazonaws.com/NPM_Innovator/?StartItem=z_sm_ParaValue:B1EA2E46D04F45CFB8332AA317B26B80" xr:uid="{BDA96328-F3A4-4010-B71C-35C893B4CA9E}"/>
    <hyperlink ref="D378" r:id="rId369" display="http://internal-awcp0018-alb00105-616219119.ap-northeast-1.elb.amazonaws.com/NPM_Innovator/?StartItem=z_sm_ParaValue:37E757FD3EE448579E529293894A3842" xr:uid="{4A2152D0-430D-4B00-A9F6-0CF6A86F35CD}"/>
    <hyperlink ref="D379" r:id="rId370" display="http://internal-awcp0018-alb00105-616219119.ap-northeast-1.elb.amazonaws.com/NPM_Innovator/?StartItem=z_sm_ParaValue:D4267345ADA34E399E9B0D7B8EDC72ED" xr:uid="{0358CE2D-30CC-4E9B-9082-AB97968FB79A}"/>
    <hyperlink ref="D380" r:id="rId371" display="http://internal-awcp0018-alb00105-616219119.ap-northeast-1.elb.amazonaws.com/NPM_Innovator/?StartItem=z_sm_ParaValue:60B5A50A482445F1840F1281AB36593B" xr:uid="{7BFD4017-DA52-4281-8159-13D439B98D10}"/>
    <hyperlink ref="D381" r:id="rId372" display="http://internal-awcp0018-alb00105-616219119.ap-northeast-1.elb.amazonaws.com/NPM_Innovator/?StartItem=z_sm_ParaValue:C9CD01BE3AD34C9AB1CAAF06263E6557" xr:uid="{71C144DC-1DBE-4152-AD8C-6B3A5B1681D0}"/>
    <hyperlink ref="D382" r:id="rId373" display="http://internal-awcp0018-alb00105-616219119.ap-northeast-1.elb.amazonaws.com/NPM_Innovator/?StartItem=z_sm_ParaValue:4ED932ABCB3B4D598BE7C7BD103AF708" xr:uid="{5FE04A8F-3F30-43E3-8A15-51BEB7CA377E}"/>
    <hyperlink ref="D383" r:id="rId374" display="http://internal-awcp0018-alb00105-616219119.ap-northeast-1.elb.amazonaws.com/NPM_Innovator/?StartItem=z_sm_ParaValue:A07ADF0E3BED4CAABCE24380D8637BCD" xr:uid="{7AD6E633-BDA3-4ECE-9818-64B275D86E28}"/>
    <hyperlink ref="D384" r:id="rId375" display="http://internal-awcp0018-alb00105-616219119.ap-northeast-1.elb.amazonaws.com/NPM_Innovator/?StartItem=z_sm_ParaValue:BF36925A07D7413C8882DCAEA910EB12" xr:uid="{924B4BBB-EA6B-4388-8291-BDC35D024C40}"/>
    <hyperlink ref="D385" r:id="rId376" display="http://internal-awcp0018-alb00105-616219119.ap-northeast-1.elb.amazonaws.com/NPM_Innovator/?StartItem=z_sm_ParaValue:FD918EC26C664563A33C9D92C70153F1" xr:uid="{F35CFAD7-A386-4BCA-8F36-0747F9CA12BB}"/>
    <hyperlink ref="D386" r:id="rId377" display="http://internal-awcp0018-alb00105-616219119.ap-northeast-1.elb.amazonaws.com/NPM_Innovator/?StartItem=z_sm_ParaValue:4BDF85967FF54B0E8113117EA038E46A" xr:uid="{15889FA9-1615-4449-97F9-6A0C498BB6EB}"/>
    <hyperlink ref="D387" r:id="rId378" display="http://internal-awcp0018-alb00105-616219119.ap-northeast-1.elb.amazonaws.com/NPM_Innovator/?StartItem=z_sm_ParaValue:077C8C79BDD845D09648FEE894402C26" xr:uid="{C602A02D-98CD-4FFC-9A39-CAB6CD53499D}"/>
    <hyperlink ref="D388" r:id="rId379" display="http://internal-awcp0018-alb00105-616219119.ap-northeast-1.elb.amazonaws.com/NPM_Innovator/?StartItem=z_sm_ParaValue:3C841D8FEAC5437AADF8DD0BEDA9C0B2" xr:uid="{687610C2-3642-4CD5-829C-77876C4BF877}"/>
    <hyperlink ref="D389" r:id="rId380" display="http://internal-awcp0018-alb00105-616219119.ap-northeast-1.elb.amazonaws.com/NPM_Innovator/?StartItem=z_sm_ParaValue:D3DDF7BE7C664EEEBB91DBA4D6AC4006" xr:uid="{945D4218-86E1-4F97-8C0D-D8EAED73F6AC}"/>
    <hyperlink ref="D390" r:id="rId381" display="http://internal-awcp0018-alb00105-616219119.ap-northeast-1.elb.amazonaws.com/NPM_Innovator/?StartItem=z_sm_ParaValue:6E1F65D70EF74DF88CBB41162F1885B9" xr:uid="{AB035EE3-82EA-4F6A-A6B6-98A16E8C4C13}"/>
    <hyperlink ref="D391" r:id="rId382" display="http://internal-awcp0018-alb00105-616219119.ap-northeast-1.elb.amazonaws.com/NPM_Innovator/?StartItem=z_sm_ParaValue:4F1566191C5A4F889A45739F64C22FDA" xr:uid="{204C4699-88D0-4167-8611-A5E106C57613}"/>
    <hyperlink ref="D392" r:id="rId383" display="http://internal-awcp0018-alb00105-616219119.ap-northeast-1.elb.amazonaws.com/NPM_Innovator/?StartItem=z_sm_ParaValue:62D750855A124E8BA9229C1060DB3B9B" xr:uid="{F7854C67-342F-4CFF-9F38-A27BCD02A1CE}"/>
    <hyperlink ref="D393" r:id="rId384" display="http://internal-awcp0018-alb00105-616219119.ap-northeast-1.elb.amazonaws.com/NPM_Innovator/?StartItem=z_sm_ParaValue:5615BE9E281C400BBA34FE99F6424D35" xr:uid="{D0373AC3-EAD5-48A7-84F5-7EAF2F8615C3}"/>
    <hyperlink ref="D394" r:id="rId385" display="http://internal-awcp0018-alb00105-616219119.ap-northeast-1.elb.amazonaws.com/NPM_Innovator/?StartItem=z_sm_ParaValue:88ADEACAA03045AAAB6BE132223FB98D" xr:uid="{2470E48C-EB6A-424E-BA65-6B25E9BD604E}"/>
    <hyperlink ref="D395" r:id="rId386" display="http://internal-awcp0018-alb00105-616219119.ap-northeast-1.elb.amazonaws.com/NPM_Innovator/?StartItem=z_sm_ParaValue:F998B7BAE6F949EC99539DFDB698A6F8" xr:uid="{BF94C68D-402E-464A-B286-F3EC9D8DF366}"/>
    <hyperlink ref="D396" r:id="rId387" display="http://internal-awcp0018-alb00105-616219119.ap-northeast-1.elb.amazonaws.com/NPM_Innovator/?StartItem=z_sm_ParaValue:17BB8D58416A4C88BD84EDAC4E82DD69" xr:uid="{3F13ABEF-E50B-4673-893F-6282F516F424}"/>
    <hyperlink ref="D397" r:id="rId388" display="http://internal-awcp0018-alb00105-616219119.ap-northeast-1.elb.amazonaws.com/NPM_Innovator/?StartItem=z_sm_ParaValue:0E8226DDF30A49F8BD8603E3F988779D" xr:uid="{7AB1D997-F7DE-40FF-A3CF-0FC659ABF649}"/>
    <hyperlink ref="D398" r:id="rId389" display="http://internal-awcp0018-alb00105-616219119.ap-northeast-1.elb.amazonaws.com/NPM_Innovator/?StartItem=z_sm_ParaValue:436545BD1E28400C9405F22528A459EE" xr:uid="{051EA0B8-04C0-4E88-B0B0-3F9B5094D711}"/>
    <hyperlink ref="D399" r:id="rId390" display="http://internal-awcp0018-alb00105-616219119.ap-northeast-1.elb.amazonaws.com/NPM_Innovator/?StartItem=z_sm_ParaValue:6BAEA35112104EEAA4F7D774B7CCB9E7" xr:uid="{A52E88F4-9449-44CC-ABE7-B40DD8C72C40}"/>
    <hyperlink ref="D400" r:id="rId391" display="http://internal-awcp0018-alb00105-616219119.ap-northeast-1.elb.amazonaws.com/NPM_Innovator/?StartItem=z_sm_ParaValue:7EBEA6BA00894E2CAFEE22E35256E05F" xr:uid="{FDB802EA-408E-4D37-9A92-F1474AC6A515}"/>
    <hyperlink ref="D401" r:id="rId392" display="http://internal-awcp0018-alb00105-616219119.ap-northeast-1.elb.amazonaws.com/NPM_Innovator/?StartItem=z_sm_ParaValue:6F458AE39AC6486DBAB2EFAE86DA62A2" xr:uid="{704EF0C6-DDA1-4AA3-BC48-9BF15234A048}"/>
    <hyperlink ref="D402" r:id="rId393" display="http://internal-awcp0018-alb00105-616219119.ap-northeast-1.elb.amazonaws.com/NPM_Innovator/?StartItem=z_sm_ParaValue:07DD43F3671849DE9D1F8281BA6C0BD1" xr:uid="{E9FE317E-9DCA-439B-8963-0730F1413458}"/>
    <hyperlink ref="D403" r:id="rId394" display="http://internal-awcp0018-alb00105-616219119.ap-northeast-1.elb.amazonaws.com/NPM_Innovator/?StartItem=z_sm_ParaValue:12D1D626B23B4634AC4C4AEA98B1FD1A" xr:uid="{B1FFC612-108B-468D-89BA-E35518D58738}"/>
    <hyperlink ref="D404" r:id="rId395" display="http://internal-awcp0018-alb00105-616219119.ap-northeast-1.elb.amazonaws.com/NPM_Innovator/?StartItem=z_sm_ParaValue:96A9F92B66E044DA8B157DF1A0202E56" xr:uid="{97B74A6E-C0D7-4CF2-9610-25712A81FB46}"/>
    <hyperlink ref="D405" r:id="rId396" display="http://internal-awcp0018-alb00105-616219119.ap-northeast-1.elb.amazonaws.com/NPM_Innovator/?StartItem=z_sm_ParaValue:6F799F2D50DA473E9DA30B263FDCF193" xr:uid="{37B981FD-6E71-4A77-9CC8-450C5E447ECD}"/>
    <hyperlink ref="D406" r:id="rId397" display="http://internal-awcp0018-alb00105-616219119.ap-northeast-1.elb.amazonaws.com/NPM_Innovator/?StartItem=z_sm_ParaValue:D1B7596BC00340BE8DDCD10986F39943" xr:uid="{3A4E49F1-9709-4BD1-BF10-1EB2265D220F}"/>
    <hyperlink ref="D407" r:id="rId398" display="http://internal-awcp0018-alb00105-616219119.ap-northeast-1.elb.amazonaws.com/NPM_Innovator/?StartItem=z_sm_ParaValue:1571624A33BC4EFFB56DDE01E0B96E35" xr:uid="{DF04DC9F-D88F-417E-9F49-1B9D4AFA5E8A}"/>
    <hyperlink ref="D408" r:id="rId399" display="http://internal-awcp0018-alb00105-616219119.ap-northeast-1.elb.amazonaws.com/NPM_Innovator/?StartItem=z_sm_ParaValue:889CE22A623F4B70924518F55E15B46E" xr:uid="{9583DF8F-30C3-46F4-81C1-AD6E585AB943}"/>
    <hyperlink ref="D409" r:id="rId400" display="http://internal-awcp0018-alb00105-616219119.ap-northeast-1.elb.amazonaws.com/NPM_Innovator/?StartItem=z_sm_ParaValue:AA0300E42C984B3A9E6BF9F97AB0B6A6" xr:uid="{D4182194-9F2C-4F4C-B3AD-D80B59B9C02A}"/>
    <hyperlink ref="D410" r:id="rId401" display="http://internal-awcp0018-alb00105-616219119.ap-northeast-1.elb.amazonaws.com/NPM_Innovator/?StartItem=z_sm_ParaValue:B4F8D983745145FC841677F5C67CFDA2" xr:uid="{D9765F32-C29C-4C30-9840-CB42FB0FFA97}"/>
    <hyperlink ref="D411" r:id="rId402" display="http://internal-awcp0018-alb00105-616219119.ap-northeast-1.elb.amazonaws.com/NPM_Innovator/?StartItem=z_sm_ParaValue:78E5407665A1449FBAC1E366BD54C7AF" xr:uid="{24F512DF-F8F5-45E4-A52F-F1A5300FC4A2}"/>
    <hyperlink ref="D412" r:id="rId403" display="http://internal-awcp0018-alb00105-616219119.ap-northeast-1.elb.amazonaws.com/NPM_Innovator/?StartItem=z_sm_ParaValue:ED1B808139AA43F4BEB0606D95E7EB43" xr:uid="{6A2ECF15-BBD8-4A03-874E-0C5F1D52893A}"/>
    <hyperlink ref="D413" r:id="rId404" display="http://internal-awcp0018-alb00105-616219119.ap-northeast-1.elb.amazonaws.com/NPM_Innovator/?StartItem=z_sm_ParaValue:BFFC53BC16EE4A4295BE527AC30F5273" xr:uid="{1BA89B48-2471-4010-871E-5037712D15BA}"/>
    <hyperlink ref="D414" r:id="rId405" display="http://internal-awcp0018-alb00105-616219119.ap-northeast-1.elb.amazonaws.com/NPM_Innovator/?StartItem=z_sm_ParaValue:66F4DC2410EF4279A8E5CB4C26BC5647" xr:uid="{45A2FA39-9AE9-4341-839F-409F1075A257}"/>
    <hyperlink ref="D415" r:id="rId406" display="http://internal-awcp0018-alb00105-616219119.ap-northeast-1.elb.amazonaws.com/NPM_Innovator/?StartItem=z_sm_ParaValue:02243DCEEE8547DC99878FE795B738E2" xr:uid="{570AE790-ECBF-4BB9-B699-173FE0C7B3A1}"/>
    <hyperlink ref="D416" r:id="rId407" display="http://internal-awcp0018-alb00105-616219119.ap-northeast-1.elb.amazonaws.com/NPM_Innovator/?StartItem=z_sm_ParaValue:407EDD5FFF414508B21F4537AF406C8A" xr:uid="{45D14C9C-8913-465C-894C-2DD573985578}"/>
    <hyperlink ref="D417" r:id="rId408" display="http://internal-awcp0018-alb00105-616219119.ap-northeast-1.elb.amazonaws.com/NPM_Innovator/?StartItem=z_sm_ParaValue:CED951CFD8B34263B100C2D04982807F" xr:uid="{B412DE35-B723-420D-857E-69964B5F4433}"/>
    <hyperlink ref="D418" r:id="rId409" display="http://internal-awcp0018-alb00105-616219119.ap-northeast-1.elb.amazonaws.com/NPM_Innovator/?StartItem=z_sm_ParaValue:87DAF85C8CA94B7BA462BBF7BE188766" xr:uid="{05C22236-80A5-4059-A861-7626A0BFE486}"/>
    <hyperlink ref="D419" r:id="rId410" display="http://internal-awcp0018-alb00105-616219119.ap-northeast-1.elb.amazonaws.com/NPM_Innovator/?StartItem=z_sm_ParaValue:D7C2458DC91947F3B9BBB27EFBEA69B2" xr:uid="{B2010118-B44A-4A4E-9BE4-89F217F74E2D}"/>
    <hyperlink ref="D420" r:id="rId411" display="http://internal-awcp0018-alb00105-616219119.ap-northeast-1.elb.amazonaws.com/NPM_Innovator/?StartItem=z_sm_ParaValue:CBE215F56D26400FBF617BC309ADE556" xr:uid="{FCB443E3-EE22-4E5A-AA22-F55B82BC50EB}"/>
    <hyperlink ref="D421" r:id="rId412" display="http://internal-awcp0018-alb00105-616219119.ap-northeast-1.elb.amazonaws.com/NPM_Innovator/?StartItem=z_sm_ParaValue:398C6706E6AF4862BA9052930C00C4D4" xr:uid="{10889102-4C70-4D95-A47D-EE1D28D9C85D}"/>
    <hyperlink ref="D422" r:id="rId413" display="http://internal-awcp0018-alb00105-616219119.ap-northeast-1.elb.amazonaws.com/NPM_Innovator/?StartItem=z_sm_ParaValue:2204664375B749DCB6C36633949CBFC7" xr:uid="{91C69131-BB18-43B9-BBFD-9E7E6240169E}"/>
    <hyperlink ref="D423" r:id="rId414" display="http://internal-awcp0018-alb00105-616219119.ap-northeast-1.elb.amazonaws.com/NPM_Innovator/?StartItem=z_sm_ParaValue:826F7BE24F3546EF8C4016EEC3056BF0" xr:uid="{A9C4754F-65AB-45DF-AF2E-711C149C39B7}"/>
    <hyperlink ref="D424" r:id="rId415" display="http://internal-awcp0018-alb00105-616219119.ap-northeast-1.elb.amazonaws.com/NPM_Innovator/?StartItem=z_sm_ParaValue:506670A3331545D48AD36974009FF407" xr:uid="{F543B0A9-7DD3-4F9E-BBC2-7EBD57C34B68}"/>
    <hyperlink ref="D425" r:id="rId416" display="http://internal-awcp0018-alb00105-616219119.ap-northeast-1.elb.amazonaws.com/NPM_Innovator/?StartItem=z_sm_ParaValue:A33041DFFBF74A2EB741FDFF2E74C457" xr:uid="{F2CEAC55-E127-4FCC-84EB-016B718721D0}"/>
    <hyperlink ref="D426" r:id="rId417" display="http://internal-awcp0018-alb00105-616219119.ap-northeast-1.elb.amazonaws.com/NPM_Innovator/?StartItem=z_sm_ParaValue:42D056E7DA6042E18FF96A2E503990E4" xr:uid="{CC031B8D-9F63-4364-8741-088466543CC0}"/>
    <hyperlink ref="D427" r:id="rId418" display="http://internal-awcp0018-alb00105-616219119.ap-northeast-1.elb.amazonaws.com/NPM_Innovator/?StartItem=z_sm_ParaValue:C007BA9073E14221AE48158FCD9C5CFD" xr:uid="{FD283BFE-C9DB-44F4-BFFA-9167700402BB}"/>
    <hyperlink ref="D428" r:id="rId419" display="http://internal-awcp0018-alb00105-616219119.ap-northeast-1.elb.amazonaws.com/NPM_Innovator/?StartItem=z_sm_ParaValue:4D73B72CCD4E4C2090672F1E9CE4AD6C" xr:uid="{4AD029AA-09C3-4262-ADE5-39B763B6CD0A}"/>
    <hyperlink ref="D429" r:id="rId420" display="http://internal-awcp0018-alb00105-616219119.ap-northeast-1.elb.amazonaws.com/NPM_Innovator/?StartItem=z_sm_ParaValue:4EC22BFC01B745BC9700F1283C2BDAF8" xr:uid="{89CC1E7C-5736-4556-A528-1EE3B0DE9C59}"/>
    <hyperlink ref="D430" r:id="rId421" display="http://internal-awcp0018-alb00105-616219119.ap-northeast-1.elb.amazonaws.com/NPM_Innovator/?StartItem=z_sm_ParaValue:122A64066EB24168ACBD1266AA8DC3A2" xr:uid="{5AC0512F-BDE4-48FF-9A69-6B5525F4D8E9}"/>
    <hyperlink ref="D431" r:id="rId422" display="http://internal-awcp0018-alb00105-616219119.ap-northeast-1.elb.amazonaws.com/NPM_Innovator/?StartItem=z_sm_ParaValue:3547008DD78F4301AC0C925CB4ED9DF7" xr:uid="{AF1BAA21-F346-4276-BE49-7B1CE8650CEE}"/>
    <hyperlink ref="D432" r:id="rId423" display="http://internal-awcp0018-alb00105-616219119.ap-northeast-1.elb.amazonaws.com/NPM_Innovator/?StartItem=z_sm_ParaValue:40B10503BB4945658F59D72B637F955E" xr:uid="{144A530C-7F6B-46E6-BA3A-082DBE028A0F}"/>
    <hyperlink ref="D433" r:id="rId424" display="http://internal-awcp0018-alb00105-616219119.ap-northeast-1.elb.amazonaws.com/NPM_Innovator/?StartItem=z_sm_ParaValue:4BAA8A58AFDD42188AF8651E78329345" xr:uid="{1B167860-46BC-4BCF-B553-C8BAEEE2F912}"/>
    <hyperlink ref="D434" r:id="rId425" display="http://internal-awcp0018-alb00105-616219119.ap-northeast-1.elb.amazonaws.com/NPM_Innovator/?StartItem=z_sm_ParaValue:FE0BBFC3B3AD477DBAA18A252FA29E1C" xr:uid="{54BF963E-B05B-42A8-A830-8D97E4F5F372}"/>
    <hyperlink ref="D435" r:id="rId426" display="http://internal-awcp0018-alb00105-616219119.ap-northeast-1.elb.amazonaws.com/NPM_Innovator/?StartItem=z_sm_ParaValue:E3CD9B01B8CD48A0B3605DFEB1AEC8F4" xr:uid="{6319C38B-C0E9-4927-8E09-3E4F0CF31007}"/>
    <hyperlink ref="D436" r:id="rId427" display="http://internal-awcp0018-alb00105-616219119.ap-northeast-1.elb.amazonaws.com/NPM_Innovator/?StartItem=z_sm_ParaValue:DA56B1270BF64E7F9E2ABFDD157C8A68" xr:uid="{6182BFFB-FC97-4FD4-A92E-5EBD17455E21}"/>
    <hyperlink ref="D437" r:id="rId428" display="http://internal-awcp0018-alb00105-616219119.ap-northeast-1.elb.amazonaws.com/NPM_Innovator/?StartItem=z_sm_ParaValue:FF7662670A18404B9E930613C2C690A2" xr:uid="{ED65D002-8322-4D41-955F-2C4F171A6FEA}"/>
    <hyperlink ref="D438" r:id="rId429" display="http://internal-awcp0018-alb00105-616219119.ap-northeast-1.elb.amazonaws.com/NPM_Innovator/?StartItem=z_sm_ParaValue:BFD3E62C67A148EA8DDDBDCCAB31EE5D" xr:uid="{41460F18-B999-42D8-B20E-08EB4A9200D0}"/>
    <hyperlink ref="D439" r:id="rId430" display="http://internal-awcp0018-alb00105-616219119.ap-northeast-1.elb.amazonaws.com/NPM_Innovator/?StartItem=z_sm_ParaValue:AC204B1F64744549B5E91FA944870CB3" xr:uid="{11C427E6-14BE-4E06-BA5E-EF971C75FD51}"/>
    <hyperlink ref="D440" r:id="rId431" display="http://internal-awcp0018-alb00105-616219119.ap-northeast-1.elb.amazonaws.com/NPM_Innovator/?StartItem=z_sm_ParaValue:DDF9E0A0C95040548CFB265048A146C5" xr:uid="{0EC335D0-4FCC-466F-A515-EC6F397F8A30}"/>
    <hyperlink ref="D441" r:id="rId432" display="http://internal-awcp0018-alb00105-616219119.ap-northeast-1.elb.amazonaws.com/NPM_Innovator/?StartItem=z_sm_ParaValue:F3611BDBF95C4D028B3A2A18F5F2091F" xr:uid="{E890846F-117E-40DF-B96B-332DB5799FF6}"/>
    <hyperlink ref="D442" r:id="rId433" display="http://internal-awcp0018-alb00105-616219119.ap-northeast-1.elb.amazonaws.com/NPM_Innovator/?StartItem=z_sm_ParaValue:967209DF2360442084947E9398E8C21E" xr:uid="{814D2D80-E225-4DF9-A93C-DD210C955465}"/>
    <hyperlink ref="D443" r:id="rId434" display="http://internal-awcp0018-alb00105-616219119.ap-northeast-1.elb.amazonaws.com/NPM_Innovator/?StartItem=z_sm_ParaValue:B5CE78AEB3A44BB7872DE142509A57FE" xr:uid="{033F8F03-8470-4CB5-ACC0-BDD8B6004798}"/>
    <hyperlink ref="D444" r:id="rId435" display="http://internal-awcp0018-alb00105-616219119.ap-northeast-1.elb.amazonaws.com/NPM_Innovator/?StartItem=z_sm_ParaValue:1033117A9E37408FB6BD83B59C1180F9" xr:uid="{89AE850D-4F7E-4C25-9BE9-AE92DDADA6E0}"/>
    <hyperlink ref="D445" r:id="rId436" display="http://internal-awcp0018-alb00105-616219119.ap-northeast-1.elb.amazonaws.com/NPM_Innovator/?StartItem=z_sm_ParaValue:AF1618EC9B20422CB0AC1389BD575A9F" xr:uid="{30642E08-AD01-415E-B167-062A5C4D38EF}"/>
    <hyperlink ref="D446" r:id="rId437" display="http://internal-awcp0018-alb00105-616219119.ap-northeast-1.elb.amazonaws.com/NPM_Innovator/?StartItem=z_sm_ParaValue:469AAB32B8C541AFBA6E5785B85C0AB0" xr:uid="{46EB5A93-2AB1-411E-AFC9-0F8E7C319EFD}"/>
    <hyperlink ref="D447" r:id="rId438" display="http://internal-awcp0018-alb00105-616219119.ap-northeast-1.elb.amazonaws.com/NPM_Innovator/?StartItem=z_sm_ParaValue:C2BA23A365714C8ABE9C2B0417986BB5" xr:uid="{53B2470D-D1DC-4432-A3A2-77DC7CD61D96}"/>
    <hyperlink ref="D448" r:id="rId439" display="http://internal-awcp0018-alb00105-616219119.ap-northeast-1.elb.amazonaws.com/NPM_Innovator/?StartItem=z_sm_ParaValue:0B89E5F9727B487FA114ADE0BB60F5D0" xr:uid="{D62C00EB-526C-4A16-B0D8-EE19E39F050A}"/>
    <hyperlink ref="D449" r:id="rId440" display="http://internal-awcp0018-alb00105-616219119.ap-northeast-1.elb.amazonaws.com/NPM_Innovator/?StartItem=z_sm_ParaValue:11A0821A7D084C619609DAD5721341B3" xr:uid="{A1359252-A74F-4DF2-8CE3-04E1959D8633}"/>
    <hyperlink ref="D450" r:id="rId441" display="http://internal-awcp0018-alb00105-616219119.ap-northeast-1.elb.amazonaws.com/NPM_Innovator/?StartItem=z_sm_ParaValue:FAED5334F62241BCBC4258EFE6F8B8B7" xr:uid="{DB2C4B04-C697-4CBF-9D28-35C5C4F6A423}"/>
    <hyperlink ref="D451" r:id="rId442" display="http://internal-awcp0018-alb00105-616219119.ap-northeast-1.elb.amazonaws.com/NPM_Innovator/?StartItem=z_sm_ParaValue:D7DC49866E7A4F42BFB5F2B12E8365B7" xr:uid="{5C44CA32-1D11-472B-8E8B-C672D75DA3CE}"/>
    <hyperlink ref="D452" r:id="rId443" display="http://internal-awcp0018-alb00105-616219119.ap-northeast-1.elb.amazonaws.com/NPM_Innovator/?StartItem=z_sm_ParaValue:C31EF031B35C4214927FC5F0A0901B06" xr:uid="{C69D426E-7960-4A88-904A-DE26791FF7FA}"/>
    <hyperlink ref="D453" r:id="rId444" display="http://internal-awcp0018-alb00105-616219119.ap-northeast-1.elb.amazonaws.com/NPM_Innovator/?StartItem=z_sm_ParaValue:9FC48FF4DAB84B59AD0C1DFBC1A4DA76" xr:uid="{53200E69-1F08-42CA-8090-D31B242FEEC4}"/>
    <hyperlink ref="D454" r:id="rId445" display="http://internal-awcp0018-alb00105-616219119.ap-northeast-1.elb.amazonaws.com/NPM_Innovator/?StartItem=z_sm_ParaValue:953732DC0C364BB0874D61FD7038BA98" xr:uid="{D29BC72A-9371-49B8-A208-F7D63FD52AFB}"/>
    <hyperlink ref="D455" r:id="rId446" display="http://internal-awcp0018-alb00105-616219119.ap-northeast-1.elb.amazonaws.com/NPM_Innovator/?StartItem=z_sm_ParaValue:CA5F67AF83174A3B97A94DBACC513595" xr:uid="{CB961128-A6C0-415F-93D9-90F0D441F516}"/>
    <hyperlink ref="D456" r:id="rId447" display="http://internal-awcp0018-alb00105-616219119.ap-northeast-1.elb.amazonaws.com/NPM_Innovator/?StartItem=z_sm_ParaValue:C0CC49FDF235490C9C8D1EBC1492AE2D" xr:uid="{7B88D7CB-15C8-48F0-A67D-9122D4BDB9B6}"/>
    <hyperlink ref="D457" r:id="rId448" display="http://internal-awcp0018-alb00105-616219119.ap-northeast-1.elb.amazonaws.com/NPM_Innovator/?StartItem=z_sm_ParaValue:BC2A1AE198DF4DCD94EC70907E76AD2F" xr:uid="{8DBFA74A-270E-41EE-8DA2-5F1712AFFD6E}"/>
    <hyperlink ref="D458" r:id="rId449" display="http://internal-awcp0018-alb00105-616219119.ap-northeast-1.elb.amazonaws.com/NPM_Innovator/?StartItem=z_sm_ParaValue:D3161D23FEE4408BA8FAB40AB4D923C0" xr:uid="{A5B2DAA6-9462-41C3-B3DC-531367DB47E2}"/>
    <hyperlink ref="D459" r:id="rId450" display="http://internal-awcp0018-alb00105-616219119.ap-northeast-1.elb.amazonaws.com/NPM_Innovator/?StartItem=z_sm_ParaValue:B61B2F18D6AD482EAA24DF44F3F75977" xr:uid="{F685FD08-6288-44CE-9486-5BD99E0F41D9}"/>
    <hyperlink ref="D460" r:id="rId451" display="http://internal-awcp0018-alb00105-616219119.ap-northeast-1.elb.amazonaws.com/NPM_Innovator/?StartItem=z_sm_ParaValue:BA4CA16BB77244739979277AC584071F" xr:uid="{E5FE4933-A35F-400F-9656-62805E714C8C}"/>
    <hyperlink ref="D461" r:id="rId452" display="http://internal-awcp0018-alb00105-616219119.ap-northeast-1.elb.amazonaws.com/NPM_Innovator/?StartItem=z_sm_ParaValue:29EB35BE516542E791495BE3941D9D8F" xr:uid="{13829C63-1FF3-435A-B5E3-81763E71701C}"/>
    <hyperlink ref="D462" r:id="rId453" display="http://internal-awcp0018-alb00105-616219119.ap-northeast-1.elb.amazonaws.com/NPM_Innovator/?StartItem=z_sm_ParaValue:3015D2A336F2452C90613E0379CFC3E1" xr:uid="{1D9F7E02-C569-4085-912F-87816BFB7E72}"/>
    <hyperlink ref="D463" r:id="rId454" display="http://internal-awcp0018-alb00105-616219119.ap-northeast-1.elb.amazonaws.com/NPM_Innovator/?StartItem=z_sm_ParaValue:C443B599680F46829C936FDB7393D84C" xr:uid="{01D09C01-F856-4737-A815-A009C028859D}"/>
    <hyperlink ref="D464" r:id="rId455" display="http://internal-awcp0018-alb00105-616219119.ap-northeast-1.elb.amazonaws.com/NPM_Innovator/?StartItem=z_sm_ParaValue:7458CBCF523A44FCA27CEE7ECFFA3A2F" xr:uid="{D13AACA6-34C3-4CB6-9D74-E0C51665068D}"/>
    <hyperlink ref="D465" r:id="rId456" display="http://internal-awcp0018-alb00105-616219119.ap-northeast-1.elb.amazonaws.com/NPM_Innovator/?StartItem=z_sm_ParaValue:BA4ED2501762492AB02E3C1AA55FF753" xr:uid="{105AA47C-25AB-44F1-9C9D-0D1E2A56A63D}"/>
    <hyperlink ref="D466" r:id="rId457" display="http://internal-awcp0018-alb00105-616219119.ap-northeast-1.elb.amazonaws.com/NPM_Innovator/?StartItem=z_sm_ParaValue:BD19DF81658247BAB9E2A704DCF87D94" xr:uid="{ADAED529-13CF-41BB-A175-D98B0C1577C4}"/>
    <hyperlink ref="D467" r:id="rId458" display="http://internal-awcp0018-alb00105-616219119.ap-northeast-1.elb.amazonaws.com/NPM_Innovator/?StartItem=z_sm_ParaValue:4FB872B47D74420D877122C057021771" xr:uid="{BC6C889E-EE45-448C-8441-E168800D69B0}"/>
    <hyperlink ref="D468" r:id="rId459" display="http://internal-awcp0018-alb00105-616219119.ap-northeast-1.elb.amazonaws.com/NPM_Innovator/?StartItem=z_sm_ParaValue:9F29E739367D49F6AADC6C5C9A549DDA" xr:uid="{D91314AF-0F2C-44DB-83C0-32C2B26C23B9}"/>
    <hyperlink ref="D469" r:id="rId460" display="http://internal-awcp0018-alb00105-616219119.ap-northeast-1.elb.amazonaws.com/NPM_Innovator/?StartItem=z_sm_ParaValue:85F74CC9367A4758A336D8184BFF799B" xr:uid="{2C57C071-7992-44BE-96C6-2D91B4E7F2C9}"/>
    <hyperlink ref="D470" r:id="rId461" display="http://internal-awcp0018-alb00105-616219119.ap-northeast-1.elb.amazonaws.com/NPM_Innovator/?StartItem=z_sm_ParaValue:DA0A7DF9CBC94854A403AFFAEBFC84CB" xr:uid="{FCAE382E-B11E-4CB5-9B5B-73B5A901C842}"/>
    <hyperlink ref="D471" r:id="rId462" display="http://internal-awcp0018-alb00105-616219119.ap-northeast-1.elb.amazonaws.com/NPM_Innovator/?StartItem=z_sm_ParaValue:7D38BC5E2B2D484DAA307668B9496EAB" xr:uid="{8DCE150A-3BA0-4428-A74C-60D12DA7F27C}"/>
    <hyperlink ref="D472" r:id="rId463" display="http://internal-awcp0018-alb00105-616219119.ap-northeast-1.elb.amazonaws.com/NPM_Innovator/?StartItem=z_sm_ParaValue:FAEB56250F0048A2834A255283580709" xr:uid="{4BBAF4AD-9D83-44A7-BF5B-AF6A76E42780}"/>
    <hyperlink ref="D473" r:id="rId464" display="http://internal-awcp0018-alb00105-616219119.ap-northeast-1.elb.amazonaws.com/NPM_Innovator/?StartItem=z_sm_ParaValue:B44122674C8C412899BC542DE9CF7746" xr:uid="{81B6A20A-9693-488F-8B62-7861BE7FE0E5}"/>
    <hyperlink ref="D474" r:id="rId465" display="http://internal-awcp0018-alb00105-616219119.ap-northeast-1.elb.amazonaws.com/NPM_Innovator/?StartItem=z_sm_ParaValue:375F380DFFB64DD8A47CD7D3FE5B1630" xr:uid="{EA36B267-3DDB-49C3-A3F5-684D75368A62}"/>
    <hyperlink ref="D475" r:id="rId466" display="http://internal-awcp0018-alb00105-616219119.ap-northeast-1.elb.amazonaws.com/NPM_Innovator/?StartItem=z_sm_ParaValue:1CDEEE2061B8478EB00F488845B40630" xr:uid="{6C9009FF-3546-4E71-83B1-00711A46A30F}"/>
    <hyperlink ref="D476" r:id="rId467" display="http://internal-awcp0018-alb00105-616219119.ap-northeast-1.elb.amazonaws.com/NPM_Innovator/?StartItem=z_sm_ParaValue:08F8D9E8BB1E4113A0E65B12D0E153A1" xr:uid="{F0BB8E54-9B4D-4AFF-B830-A5C46B2A9585}"/>
    <hyperlink ref="D477" r:id="rId468" display="http://internal-awcp0018-alb00105-616219119.ap-northeast-1.elb.amazonaws.com/NPM_Innovator/?StartItem=z_sm_ParaValue:CABA2F94FFC9485B81D1C42FEF94E229" xr:uid="{49310280-54C2-4AC6-AE86-C02C069CA0DA}"/>
    <hyperlink ref="D478" r:id="rId469" display="http://internal-awcp0018-alb00105-616219119.ap-northeast-1.elb.amazonaws.com/NPM_Innovator/?StartItem=z_sm_ParaValue:63FD7B62317B4B2FA0C34CCF9897FCAD" xr:uid="{98ABE4FC-3753-446E-BD48-68106503683C}"/>
    <hyperlink ref="D479" r:id="rId470" display="http://internal-awcp0018-alb00105-616219119.ap-northeast-1.elb.amazonaws.com/NPM_Innovator/?StartItem=z_sm_ParaValue:25C4378A831F410E8B52166CAA4D20A2" xr:uid="{F5B07BA5-81FD-4A59-AB92-38685F626898}"/>
    <hyperlink ref="D480" r:id="rId471" display="http://internal-awcp0018-alb00105-616219119.ap-northeast-1.elb.amazonaws.com/NPM_Innovator/?StartItem=z_sm_ParaValue:9607B5F614554E99929813BD59157587" xr:uid="{E1CBD368-C300-4FB0-8910-1BFAC1E1FC8A}"/>
    <hyperlink ref="D481" r:id="rId472" display="http://internal-awcp0018-alb00105-616219119.ap-northeast-1.elb.amazonaws.com/NPM_Innovator/?StartItem=z_sm_ParaValue:149D663851A24DFCB3055CD5B74D745D" xr:uid="{05659571-EE0A-490B-8F0A-E10F32230D61}"/>
    <hyperlink ref="D482" r:id="rId473" display="http://internal-awcp0018-alb00105-616219119.ap-northeast-1.elb.amazonaws.com/NPM_Innovator/?StartItem=z_sm_ParaValue:501678AEC54D49EBBAB8CDA5AB5DC666" xr:uid="{24640D89-1CC0-4941-856F-1A94B1D71F17}"/>
    <hyperlink ref="D483" r:id="rId474" display="http://internal-awcp0018-alb00105-616219119.ap-northeast-1.elb.amazonaws.com/NPM_Innovator/?StartItem=z_sm_ParaValue:6BB0C8654CFB4CD48E81FF2757B120C2" xr:uid="{5ED06411-0AD9-4022-830C-0CE5C9D0106C}"/>
    <hyperlink ref="D484" r:id="rId475" display="http://internal-awcp0018-alb00105-616219119.ap-northeast-1.elb.amazonaws.com/NPM_Innovator/?StartItem=z_sm_ParaValue:102AD9618D954B83B015AF8796DE410A" xr:uid="{FD8856F0-C6AF-43CE-BD19-6FF353B04F53}"/>
    <hyperlink ref="D485" r:id="rId476" display="http://internal-awcp0018-alb00105-616219119.ap-northeast-1.elb.amazonaws.com/NPM_Innovator/?StartItem=z_sm_ParaValue:B0031CB0A97D43F6B62D4A7B37C7FC8C" xr:uid="{E9E0F41B-67DB-4288-A498-3AAF753A5C1E}"/>
  </hyperlinks>
  <pageMargins left="0.7" right="0.7" top="0.75" bottom="0.75" header="0.3" footer="0.3"/>
  <pageSetup paperSize="9" orientation="portrait" r:id="rId477"/>
  <drawing r:id="rId47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92D050"/>
  </sheetPr>
  <dimension ref="B1:Z105"/>
  <sheetViews>
    <sheetView zoomScale="85" zoomScaleNormal="85" workbookViewId="0"/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16384" width="9" style="74"/>
  </cols>
  <sheetData>
    <row r="1" spans="2:26" ht="15.75" customHeight="1" x14ac:dyDescent="0.35"/>
    <row r="2" spans="2:26" ht="18" customHeight="1" thickBot="1" x14ac:dyDescent="0.4">
      <c r="D2" s="74" t="s">
        <v>19</v>
      </c>
    </row>
    <row r="3" spans="2:26" ht="18" customHeight="1" x14ac:dyDescent="0.55000000000000004">
      <c r="D3" s="10" t="s">
        <v>20</v>
      </c>
      <c r="E3" s="11"/>
      <c r="F3" s="5" t="s">
        <v>21</v>
      </c>
      <c r="G3" s="121"/>
      <c r="H3" s="122"/>
      <c r="I3" s="123"/>
    </row>
    <row r="4" spans="2:26" ht="18" customHeight="1" x14ac:dyDescent="0.55000000000000004">
      <c r="D4" s="6" t="s">
        <v>23</v>
      </c>
      <c r="E4" s="24"/>
      <c r="F4" s="6" t="s">
        <v>24</v>
      </c>
      <c r="G4" s="124"/>
      <c r="H4" s="125"/>
      <c r="I4" s="126"/>
    </row>
    <row r="5" spans="2:26" ht="18" customHeight="1" x14ac:dyDescent="0.55000000000000004">
      <c r="B5" s="4"/>
      <c r="C5" s="1"/>
      <c r="D5" s="6" t="s">
        <v>26</v>
      </c>
      <c r="E5" s="24"/>
      <c r="F5" s="6" t="s">
        <v>27</v>
      </c>
      <c r="G5" s="127"/>
      <c r="H5" s="125"/>
      <c r="I5" s="126"/>
      <c r="J5" s="2"/>
      <c r="K5" s="2"/>
    </row>
    <row r="6" spans="2:26" ht="18" customHeight="1" thickBot="1" x14ac:dyDescent="0.6">
      <c r="B6" s="4"/>
      <c r="C6" s="1"/>
      <c r="D6" s="6" t="s">
        <v>28</v>
      </c>
      <c r="E6" s="12"/>
      <c r="F6" s="7" t="s">
        <v>30</v>
      </c>
      <c r="G6" s="128"/>
      <c r="H6" s="129"/>
      <c r="I6" s="130"/>
      <c r="J6" s="2"/>
      <c r="K6" s="2"/>
    </row>
    <row r="7" spans="2:26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9"/>
      <c r="M7" s="8"/>
      <c r="N7" s="8"/>
      <c r="O7" s="8"/>
      <c r="P7" s="8"/>
      <c r="Q7" s="8"/>
    </row>
    <row r="8" spans="2:26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26" ht="21" customHeight="1" x14ac:dyDescent="0.35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</row>
    <row r="10" spans="2:26" ht="21" customHeight="1" x14ac:dyDescent="0.35">
      <c r="B10" s="39"/>
      <c r="C10" s="47"/>
      <c r="D10" s="33"/>
      <c r="E10" s="27"/>
      <c r="F10" s="37"/>
      <c r="G10" s="33"/>
      <c r="H10" s="27"/>
      <c r="I10" s="27"/>
      <c r="J10" s="37"/>
      <c r="K10" s="39"/>
      <c r="L10" s="28"/>
      <c r="M10" s="28"/>
      <c r="N10" s="41"/>
      <c r="O10" s="39"/>
      <c r="P10" s="28"/>
      <c r="Q10" s="28"/>
      <c r="R10" s="41"/>
      <c r="S10" s="39"/>
      <c r="T10" s="41"/>
      <c r="U10" s="39"/>
      <c r="V10" s="41"/>
      <c r="W10" s="43"/>
      <c r="X10" s="33"/>
      <c r="Y10" s="27"/>
      <c r="Z10" s="29"/>
    </row>
    <row r="11" spans="2:26" ht="21" customHeight="1" x14ac:dyDescent="0.35">
      <c r="B11" s="39"/>
      <c r="C11" s="47"/>
      <c r="D11" s="33"/>
      <c r="E11" s="27"/>
      <c r="F11" s="37"/>
      <c r="G11" s="33"/>
      <c r="H11" s="27"/>
      <c r="I11" s="27"/>
      <c r="J11" s="37"/>
      <c r="K11" s="39"/>
      <c r="L11" s="28"/>
      <c r="M11" s="28"/>
      <c r="N11" s="41"/>
      <c r="O11" s="39"/>
      <c r="P11" s="28"/>
      <c r="Q11" s="28"/>
      <c r="R11" s="41"/>
      <c r="S11" s="39"/>
      <c r="T11" s="41"/>
      <c r="U11" s="39"/>
      <c r="V11" s="41"/>
      <c r="W11" s="43"/>
      <c r="X11" s="33"/>
      <c r="Y11" s="27"/>
      <c r="Z11" s="29"/>
    </row>
    <row r="12" spans="2:26" ht="21" customHeight="1" x14ac:dyDescent="0.35">
      <c r="B12" s="39"/>
      <c r="C12" s="47"/>
      <c r="D12" s="33"/>
      <c r="E12" s="27"/>
      <c r="F12" s="37"/>
      <c r="G12" s="33"/>
      <c r="H12" s="27"/>
      <c r="I12" s="27"/>
      <c r="J12" s="37"/>
      <c r="K12" s="39"/>
      <c r="L12" s="28"/>
      <c r="M12" s="28"/>
      <c r="N12" s="41"/>
      <c r="O12" s="39"/>
      <c r="P12" s="28"/>
      <c r="Q12" s="28"/>
      <c r="R12" s="41"/>
      <c r="S12" s="39"/>
      <c r="T12" s="41"/>
      <c r="U12" s="39"/>
      <c r="V12" s="41"/>
      <c r="W12" s="43"/>
      <c r="X12" s="33"/>
      <c r="Y12" s="27"/>
      <c r="Z12" s="29"/>
    </row>
    <row r="13" spans="2:26" ht="21" customHeight="1" x14ac:dyDescent="0.35">
      <c r="B13" s="39"/>
      <c r="C13" s="47"/>
      <c r="D13" s="33"/>
      <c r="E13" s="27"/>
      <c r="F13" s="37"/>
      <c r="G13" s="33"/>
      <c r="H13" s="27"/>
      <c r="I13" s="27"/>
      <c r="J13" s="37"/>
      <c r="K13" s="39"/>
      <c r="L13" s="28"/>
      <c r="M13" s="28"/>
      <c r="N13" s="41"/>
      <c r="O13" s="39"/>
      <c r="P13" s="28"/>
      <c r="Q13" s="28"/>
      <c r="R13" s="41"/>
      <c r="S13" s="39"/>
      <c r="T13" s="41"/>
      <c r="U13" s="39"/>
      <c r="V13" s="41"/>
      <c r="W13" s="43"/>
      <c r="X13" s="33"/>
      <c r="Y13" s="27"/>
      <c r="Z13" s="29"/>
    </row>
    <row r="14" spans="2:26" ht="21" customHeight="1" thickBot="1" x14ac:dyDescent="0.4">
      <c r="B14" s="40"/>
      <c r="C14" s="48"/>
      <c r="D14" s="34"/>
      <c r="E14" s="30"/>
      <c r="F14" s="38"/>
      <c r="G14" s="34"/>
      <c r="H14" s="30"/>
      <c r="I14" s="30"/>
      <c r="J14" s="38"/>
      <c r="K14" s="40"/>
      <c r="L14" s="31"/>
      <c r="M14" s="31"/>
      <c r="N14" s="42"/>
      <c r="O14" s="40"/>
      <c r="P14" s="31"/>
      <c r="Q14" s="31"/>
      <c r="R14" s="42"/>
      <c r="S14" s="40"/>
      <c r="T14" s="42"/>
      <c r="U14" s="40"/>
      <c r="V14" s="42"/>
      <c r="W14" s="44"/>
      <c r="X14" s="34"/>
      <c r="Y14" s="30"/>
      <c r="Z14" s="32"/>
    </row>
    <row r="15" spans="2:26" ht="15.75" customHeight="1" x14ac:dyDescent="0.35"/>
    <row r="16" spans="2:26" ht="15.75" customHeight="1" x14ac:dyDescent="0.35"/>
    <row r="17" ht="15.75" customHeight="1" x14ac:dyDescent="0.35"/>
    <row r="18" ht="15.75" customHeight="1" x14ac:dyDescent="0.35"/>
    <row r="19" ht="15.75" customHeight="1" x14ac:dyDescent="0.35"/>
    <row r="20" ht="15.7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autoFilter ref="D9:Z14" xr:uid="{00000000-0009-0000-0000-000002000000}"/>
  <mergeCells count="4">
    <mergeCell ref="G3:I3"/>
    <mergeCell ref="G4:I4"/>
    <mergeCell ref="G5:I5"/>
    <mergeCell ref="G6:I6"/>
  </mergeCells>
  <phoneticPr fontId="2"/>
  <dataValidations count="2">
    <dataValidation type="custom" showInputMessage="1" showErrorMessage="1" error="末尾にスラッシュは入力できません。" sqref="G3" xr:uid="{00000000-0002-0000-0200-000000000000}">
      <formula1>RIGHT($G$3,1)&lt;&gt;"/"</formula1>
    </dataValidation>
    <dataValidation type="list" showInputMessage="1" showErrorMessage="1" sqref="B10:B14" xr:uid="{00000000-0002-0000-0200-000001000000}">
      <formula1>"新規,更新"</formula1>
    </dataValidation>
  </dataValidations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92D050"/>
  </sheetPr>
  <dimension ref="B1:Z193"/>
  <sheetViews>
    <sheetView zoomScale="85" zoomScaleNormal="85" workbookViewId="0"/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16384" width="9" style="74"/>
  </cols>
  <sheetData>
    <row r="1" spans="2:26" ht="15.75" customHeight="1" x14ac:dyDescent="0.35"/>
    <row r="2" spans="2:26" ht="18" customHeight="1" thickBot="1" x14ac:dyDescent="0.6">
      <c r="D2" s="74" t="s">
        <v>19</v>
      </c>
      <c r="G2" s="26"/>
    </row>
    <row r="3" spans="2:26" ht="18" customHeight="1" x14ac:dyDescent="0.55000000000000004">
      <c r="D3" s="10" t="s">
        <v>20</v>
      </c>
      <c r="E3" s="11"/>
      <c r="F3" s="5" t="s">
        <v>21</v>
      </c>
      <c r="G3" s="121" t="s">
        <v>195</v>
      </c>
      <c r="H3" s="122"/>
      <c r="I3" s="123"/>
    </row>
    <row r="4" spans="2:26" ht="18" customHeight="1" x14ac:dyDescent="0.55000000000000004">
      <c r="D4" s="6" t="s">
        <v>23</v>
      </c>
      <c r="E4" s="12"/>
      <c r="F4" s="6" t="s">
        <v>24</v>
      </c>
      <c r="G4" s="124"/>
      <c r="H4" s="125"/>
      <c r="I4" s="126"/>
    </row>
    <row r="5" spans="2:26" ht="18" customHeight="1" x14ac:dyDescent="0.55000000000000004">
      <c r="B5" s="4"/>
      <c r="C5" s="1"/>
      <c r="D5" s="6" t="s">
        <v>26</v>
      </c>
      <c r="E5" s="12"/>
      <c r="F5" s="6" t="s">
        <v>27</v>
      </c>
      <c r="G5" s="127"/>
      <c r="H5" s="125"/>
      <c r="I5" s="126"/>
      <c r="J5" s="2"/>
      <c r="K5" s="2"/>
      <c r="L5" s="2"/>
    </row>
    <row r="6" spans="2:26" ht="18" customHeight="1" thickBot="1" x14ac:dyDescent="0.6">
      <c r="B6" s="4"/>
      <c r="C6" s="1"/>
      <c r="D6" s="6" t="s">
        <v>28</v>
      </c>
      <c r="E6" s="12"/>
      <c r="F6" s="7" t="s">
        <v>30</v>
      </c>
      <c r="G6" s="128"/>
      <c r="H6" s="129"/>
      <c r="I6" s="130"/>
      <c r="J6" s="2"/>
      <c r="K6" s="2"/>
    </row>
    <row r="7" spans="2:26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8"/>
      <c r="M7" s="9"/>
      <c r="N7" s="8"/>
      <c r="O7" s="8"/>
      <c r="P7" s="8"/>
      <c r="Q7" s="8"/>
      <c r="R7" s="8"/>
    </row>
    <row r="8" spans="2:26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26" ht="21" customHeight="1" x14ac:dyDescent="0.35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</row>
    <row r="10" spans="2:26" ht="21" customHeight="1" x14ac:dyDescent="0.35">
      <c r="B10" s="39"/>
      <c r="C10" s="47"/>
      <c r="D10" s="33"/>
      <c r="E10" s="27"/>
      <c r="F10" s="37"/>
      <c r="G10" s="33"/>
      <c r="H10" s="27"/>
      <c r="I10" s="27"/>
      <c r="J10" s="37"/>
      <c r="K10" s="33"/>
      <c r="L10" s="27"/>
      <c r="M10" s="27"/>
      <c r="N10" s="37"/>
      <c r="O10" s="33"/>
      <c r="P10" s="27"/>
      <c r="Q10" s="27"/>
      <c r="R10" s="37"/>
      <c r="S10" s="33"/>
      <c r="T10" s="37"/>
      <c r="U10" s="33"/>
      <c r="V10" s="37"/>
      <c r="W10" s="35"/>
      <c r="X10" s="33"/>
      <c r="Y10" s="27"/>
      <c r="Z10" s="29"/>
    </row>
    <row r="11" spans="2:26" ht="21" customHeight="1" x14ac:dyDescent="0.35">
      <c r="B11" s="39"/>
      <c r="C11" s="47"/>
      <c r="D11" s="33"/>
      <c r="E11" s="27"/>
      <c r="F11" s="37"/>
      <c r="G11" s="33"/>
      <c r="H11" s="27"/>
      <c r="I11" s="27"/>
      <c r="J11" s="37"/>
      <c r="K11" s="33"/>
      <c r="L11" s="27"/>
      <c r="M11" s="27"/>
      <c r="N11" s="37"/>
      <c r="O11" s="33"/>
      <c r="P11" s="27"/>
      <c r="Q11" s="27"/>
      <c r="R11" s="37"/>
      <c r="S11" s="33"/>
      <c r="T11" s="37"/>
      <c r="U11" s="33"/>
      <c r="V11" s="37"/>
      <c r="W11" s="35"/>
      <c r="X11" s="33"/>
      <c r="Y11" s="27"/>
      <c r="Z11" s="29"/>
    </row>
    <row r="12" spans="2:26" ht="21" customHeight="1" x14ac:dyDescent="0.35">
      <c r="B12" s="39"/>
      <c r="C12" s="47"/>
      <c r="D12" s="33"/>
      <c r="E12" s="27"/>
      <c r="F12" s="37"/>
      <c r="G12" s="33"/>
      <c r="H12" s="27"/>
      <c r="I12" s="27"/>
      <c r="J12" s="37"/>
      <c r="K12" s="33"/>
      <c r="L12" s="27"/>
      <c r="M12" s="27"/>
      <c r="N12" s="37"/>
      <c r="O12" s="33"/>
      <c r="P12" s="27"/>
      <c r="Q12" s="27"/>
      <c r="R12" s="37"/>
      <c r="S12" s="33"/>
      <c r="T12" s="37"/>
      <c r="U12" s="33"/>
      <c r="V12" s="37"/>
      <c r="W12" s="35"/>
      <c r="X12" s="33"/>
      <c r="Y12" s="27"/>
      <c r="Z12" s="29"/>
    </row>
    <row r="13" spans="2:26" ht="21" customHeight="1" x14ac:dyDescent="0.35">
      <c r="B13" s="39"/>
      <c r="C13" s="47"/>
      <c r="D13" s="33"/>
      <c r="E13" s="27"/>
      <c r="F13" s="37"/>
      <c r="G13" s="33"/>
      <c r="H13" s="27"/>
      <c r="I13" s="27"/>
      <c r="J13" s="37"/>
      <c r="K13" s="33"/>
      <c r="L13" s="27"/>
      <c r="M13" s="27"/>
      <c r="N13" s="37"/>
      <c r="O13" s="33"/>
      <c r="P13" s="27"/>
      <c r="Q13" s="27"/>
      <c r="R13" s="37"/>
      <c r="S13" s="33"/>
      <c r="T13" s="37"/>
      <c r="U13" s="33"/>
      <c r="V13" s="37"/>
      <c r="W13" s="35"/>
      <c r="X13" s="33"/>
      <c r="Y13" s="27"/>
      <c r="Z13" s="29"/>
    </row>
    <row r="14" spans="2:26" ht="21" customHeight="1" thickBot="1" x14ac:dyDescent="0.4">
      <c r="B14" s="40"/>
      <c r="C14" s="48"/>
      <c r="D14" s="34"/>
      <c r="E14" s="30"/>
      <c r="F14" s="38"/>
      <c r="G14" s="34"/>
      <c r="H14" s="30"/>
      <c r="I14" s="30"/>
      <c r="J14" s="38"/>
      <c r="K14" s="34"/>
      <c r="L14" s="30"/>
      <c r="M14" s="30"/>
      <c r="N14" s="38"/>
      <c r="O14" s="34"/>
      <c r="P14" s="30"/>
      <c r="Q14" s="30"/>
      <c r="R14" s="38"/>
      <c r="S14" s="34"/>
      <c r="T14" s="38"/>
      <c r="U14" s="34"/>
      <c r="V14" s="38"/>
      <c r="W14" s="36"/>
      <c r="X14" s="34"/>
      <c r="Y14" s="30"/>
      <c r="Z14" s="32"/>
    </row>
    <row r="15" spans="2:26" ht="15.75" customHeight="1" x14ac:dyDescent="0.35"/>
    <row r="16" spans="2:26" ht="15.75" customHeight="1" x14ac:dyDescent="0.35"/>
    <row r="17" ht="15.75" customHeight="1" x14ac:dyDescent="0.35"/>
    <row r="18" ht="15.75" customHeight="1" x14ac:dyDescent="0.35"/>
    <row r="19" ht="15.75" customHeight="1" x14ac:dyDescent="0.35"/>
    <row r="20" ht="15.7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</sheetData>
  <autoFilter ref="D9:Z14" xr:uid="{00000000-0009-0000-0000-000003000000}"/>
  <mergeCells count="4">
    <mergeCell ref="G3:I3"/>
    <mergeCell ref="G4:I4"/>
    <mergeCell ref="G5:I5"/>
    <mergeCell ref="G6:I6"/>
  </mergeCells>
  <phoneticPr fontId="2"/>
  <conditionalFormatting sqref="K10:W14">
    <cfRule type="expression" dxfId="1" priority="1">
      <formula>OR($B10="新規",$B10="更新")</formula>
    </cfRule>
  </conditionalFormatting>
  <dataValidations count="2">
    <dataValidation type="custom" showInputMessage="1" showErrorMessage="1" error="末尾にスラッシュは入力できません。" sqref="G3" xr:uid="{00000000-0002-0000-0300-000000000000}">
      <formula1>RIGHT($G$3,1)&lt;&gt;"/"</formula1>
    </dataValidation>
    <dataValidation type="list" showInputMessage="1" showErrorMessage="1" sqref="B10:B14" xr:uid="{00000000-0002-0000-0300-000001000000}">
      <formula1>"新規,更新,登録"</formula1>
    </dataValidation>
  </dataValidations>
  <hyperlinks>
    <hyperlink ref="G3" r:id="rId1" xr:uid="{00000000-0004-0000-0300-000000000000}"/>
  </hyperlinks>
  <pageMargins left="0.7" right="0.7" top="0.75" bottom="0.75" header="0.3" footer="0.3"/>
  <pageSetup paperSize="9" orientation="portrait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92D050"/>
  </sheetPr>
  <dimension ref="B1:Z225"/>
  <sheetViews>
    <sheetView zoomScale="85" zoomScaleNormal="85" workbookViewId="0"/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16384" width="9" style="74"/>
  </cols>
  <sheetData>
    <row r="1" spans="2:26" ht="15.75" customHeight="1" x14ac:dyDescent="0.35"/>
    <row r="2" spans="2:26" ht="18" customHeight="1" thickBot="1" x14ac:dyDescent="0.6">
      <c r="D2" s="74" t="s">
        <v>19</v>
      </c>
      <c r="G2" s="26"/>
    </row>
    <row r="3" spans="2:26" ht="18" customHeight="1" x14ac:dyDescent="0.55000000000000004">
      <c r="D3" s="10" t="s">
        <v>20</v>
      </c>
      <c r="E3" s="11"/>
      <c r="F3" s="5" t="s">
        <v>21</v>
      </c>
      <c r="G3" s="121" t="s">
        <v>195</v>
      </c>
      <c r="H3" s="122"/>
      <c r="I3" s="123"/>
    </row>
    <row r="4" spans="2:26" ht="18" customHeight="1" x14ac:dyDescent="0.55000000000000004">
      <c r="D4" s="6" t="s">
        <v>23</v>
      </c>
      <c r="E4" s="12"/>
      <c r="F4" s="6" t="s">
        <v>24</v>
      </c>
      <c r="G4" s="124"/>
      <c r="H4" s="125"/>
      <c r="I4" s="126"/>
    </row>
    <row r="5" spans="2:26" ht="18" customHeight="1" x14ac:dyDescent="0.55000000000000004">
      <c r="B5" s="4"/>
      <c r="C5" s="1"/>
      <c r="D5" s="6" t="s">
        <v>26</v>
      </c>
      <c r="E5" s="12"/>
      <c r="F5" s="6" t="s">
        <v>27</v>
      </c>
      <c r="G5" s="127"/>
      <c r="H5" s="125"/>
      <c r="I5" s="126"/>
      <c r="J5" s="2"/>
      <c r="K5" s="2"/>
      <c r="L5" s="2"/>
    </row>
    <row r="6" spans="2:26" ht="18" customHeight="1" thickBot="1" x14ac:dyDescent="0.6">
      <c r="B6" s="4"/>
      <c r="C6" s="1"/>
      <c r="D6" s="6" t="s">
        <v>28</v>
      </c>
      <c r="E6" s="12"/>
      <c r="F6" s="7" t="s">
        <v>30</v>
      </c>
      <c r="G6" s="128"/>
      <c r="H6" s="129"/>
      <c r="I6" s="130"/>
      <c r="J6" s="2"/>
      <c r="K6" s="2"/>
    </row>
    <row r="7" spans="2:26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8"/>
      <c r="M7" s="9"/>
      <c r="N7" s="8"/>
      <c r="O7" s="8"/>
      <c r="P7" s="8"/>
      <c r="Q7" s="8"/>
      <c r="R7" s="8"/>
    </row>
    <row r="8" spans="2:26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26" ht="21" customHeight="1" x14ac:dyDescent="0.35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</row>
    <row r="10" spans="2:26" ht="21" customHeight="1" x14ac:dyDescent="0.35">
      <c r="B10" s="39"/>
      <c r="C10" s="47"/>
      <c r="D10" s="33"/>
      <c r="E10" s="27"/>
      <c r="F10" s="37"/>
      <c r="G10" s="33"/>
      <c r="H10" s="27"/>
      <c r="I10" s="27"/>
      <c r="J10" s="37"/>
      <c r="K10" s="33"/>
      <c r="L10" s="27"/>
      <c r="M10" s="27"/>
      <c r="N10" s="37"/>
      <c r="O10" s="33"/>
      <c r="P10" s="27"/>
      <c r="Q10" s="27"/>
      <c r="R10" s="37"/>
      <c r="S10" s="33"/>
      <c r="T10" s="37"/>
      <c r="U10" s="33"/>
      <c r="V10" s="37"/>
      <c r="W10" s="35"/>
      <c r="X10" s="33"/>
      <c r="Y10" s="27"/>
      <c r="Z10" s="29"/>
    </row>
    <row r="11" spans="2:26" ht="21" customHeight="1" x14ac:dyDescent="0.35">
      <c r="B11" s="39"/>
      <c r="C11" s="47"/>
      <c r="D11" s="33"/>
      <c r="E11" s="27"/>
      <c r="F11" s="37"/>
      <c r="G11" s="33"/>
      <c r="H11" s="27"/>
      <c r="I11" s="27"/>
      <c r="J11" s="37"/>
      <c r="K11" s="33"/>
      <c r="L11" s="27"/>
      <c r="M11" s="27"/>
      <c r="N11" s="37"/>
      <c r="O11" s="33"/>
      <c r="P11" s="27"/>
      <c r="Q11" s="27"/>
      <c r="R11" s="37"/>
      <c r="S11" s="33"/>
      <c r="T11" s="37"/>
      <c r="U11" s="33"/>
      <c r="V11" s="37"/>
      <c r="W11" s="35"/>
      <c r="X11" s="33"/>
      <c r="Y11" s="27"/>
      <c r="Z11" s="29"/>
    </row>
    <row r="12" spans="2:26" ht="21" customHeight="1" x14ac:dyDescent="0.35">
      <c r="B12" s="39"/>
      <c r="C12" s="47"/>
      <c r="D12" s="33"/>
      <c r="E12" s="27"/>
      <c r="F12" s="37"/>
      <c r="G12" s="33"/>
      <c r="H12" s="27"/>
      <c r="I12" s="27"/>
      <c r="J12" s="37"/>
      <c r="K12" s="33"/>
      <c r="L12" s="27"/>
      <c r="M12" s="27"/>
      <c r="N12" s="37"/>
      <c r="O12" s="33"/>
      <c r="P12" s="27"/>
      <c r="Q12" s="27"/>
      <c r="R12" s="37"/>
      <c r="S12" s="33"/>
      <c r="T12" s="37"/>
      <c r="U12" s="33"/>
      <c r="V12" s="37"/>
      <c r="W12" s="35"/>
      <c r="X12" s="33"/>
      <c r="Y12" s="27"/>
      <c r="Z12" s="29"/>
    </row>
    <row r="13" spans="2:26" ht="21" customHeight="1" x14ac:dyDescent="0.35">
      <c r="B13" s="39"/>
      <c r="C13" s="47"/>
      <c r="D13" s="33"/>
      <c r="E13" s="27"/>
      <c r="F13" s="37"/>
      <c r="G13" s="33"/>
      <c r="H13" s="27"/>
      <c r="I13" s="27"/>
      <c r="J13" s="37"/>
      <c r="K13" s="33"/>
      <c r="L13" s="27"/>
      <c r="M13" s="27"/>
      <c r="N13" s="37"/>
      <c r="O13" s="33"/>
      <c r="P13" s="27"/>
      <c r="Q13" s="27"/>
      <c r="R13" s="37"/>
      <c r="S13" s="33"/>
      <c r="T13" s="37"/>
      <c r="U13" s="33"/>
      <c r="V13" s="37"/>
      <c r="W13" s="35"/>
      <c r="X13" s="33"/>
      <c r="Y13" s="27"/>
      <c r="Z13" s="29"/>
    </row>
    <row r="14" spans="2:26" ht="21" customHeight="1" thickBot="1" x14ac:dyDescent="0.4">
      <c r="B14" s="40"/>
      <c r="C14" s="48"/>
      <c r="D14" s="34"/>
      <c r="E14" s="30"/>
      <c r="F14" s="38"/>
      <c r="G14" s="34"/>
      <c r="H14" s="30"/>
      <c r="I14" s="30"/>
      <c r="J14" s="38"/>
      <c r="K14" s="34"/>
      <c r="L14" s="30"/>
      <c r="M14" s="30"/>
      <c r="N14" s="38"/>
      <c r="O14" s="34"/>
      <c r="P14" s="30"/>
      <c r="Q14" s="30"/>
      <c r="R14" s="38"/>
      <c r="S14" s="34"/>
      <c r="T14" s="38"/>
      <c r="U14" s="34"/>
      <c r="V14" s="38"/>
      <c r="W14" s="36"/>
      <c r="X14" s="34"/>
      <c r="Y14" s="30"/>
      <c r="Z14" s="32"/>
    </row>
    <row r="15" spans="2:26" ht="15.75" customHeight="1" x14ac:dyDescent="0.35"/>
    <row r="16" spans="2:26" ht="15.75" customHeight="1" x14ac:dyDescent="0.35"/>
    <row r="17" ht="15.75" customHeight="1" x14ac:dyDescent="0.35"/>
    <row r="18" ht="15.75" customHeight="1" x14ac:dyDescent="0.35"/>
    <row r="19" ht="15.75" customHeight="1" x14ac:dyDescent="0.35"/>
    <row r="20" ht="15.7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</sheetData>
  <autoFilter ref="D9:Z14" xr:uid="{00000000-0009-0000-0000-000004000000}"/>
  <mergeCells count="4">
    <mergeCell ref="G3:I3"/>
    <mergeCell ref="G4:I4"/>
    <mergeCell ref="G5:I5"/>
    <mergeCell ref="G6:I6"/>
  </mergeCells>
  <phoneticPr fontId="2"/>
  <conditionalFormatting sqref="K10:W14">
    <cfRule type="expression" dxfId="0" priority="1">
      <formula>OR($B10="新規",$B10="更新")</formula>
    </cfRule>
  </conditionalFormatting>
  <dataValidations count="2">
    <dataValidation type="custom" showInputMessage="1" showErrorMessage="1" error="末尾にスラッシュは入力できません。" sqref="G3" xr:uid="{00000000-0002-0000-0400-000000000000}">
      <formula1>RIGHT($G$3,1)&lt;&gt;"/"</formula1>
    </dataValidation>
    <dataValidation type="list" showInputMessage="1" showErrorMessage="1" sqref="B10:B14" xr:uid="{00000000-0002-0000-0400-000001000000}">
      <formula1>"新規,更新,登録"</formula1>
    </dataValidation>
  </dataValidations>
  <hyperlinks>
    <hyperlink ref="G3" r:id="rId1" xr:uid="{00000000-0004-0000-0400-000000000000}"/>
  </hyperlinks>
  <pageMargins left="0.7" right="0.7" top="0.75" bottom="0.75" header="0.3" footer="0.3"/>
  <pageSetup paperSize="9" orientation="portrait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92D050"/>
  </sheetPr>
  <dimension ref="B1:Z80"/>
  <sheetViews>
    <sheetView zoomScale="85" zoomScaleNormal="85" workbookViewId="0"/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16384" width="9" style="74"/>
  </cols>
  <sheetData>
    <row r="1" spans="2:26" ht="15.75" customHeight="1" x14ac:dyDescent="0.35"/>
    <row r="2" spans="2:26" ht="18" customHeight="1" thickBot="1" x14ac:dyDescent="0.6">
      <c r="D2" s="74" t="s">
        <v>19</v>
      </c>
      <c r="G2" s="26"/>
    </row>
    <row r="3" spans="2:26" ht="18" customHeight="1" x14ac:dyDescent="0.55000000000000004">
      <c r="D3" s="10" t="s">
        <v>20</v>
      </c>
      <c r="E3" s="11"/>
      <c r="F3" s="5" t="s">
        <v>21</v>
      </c>
      <c r="G3" s="121" t="s">
        <v>195</v>
      </c>
      <c r="H3" s="122"/>
      <c r="I3" s="123"/>
    </row>
    <row r="4" spans="2:26" ht="18" customHeight="1" x14ac:dyDescent="0.55000000000000004">
      <c r="D4" s="6" t="s">
        <v>23</v>
      </c>
      <c r="E4" s="12"/>
      <c r="F4" s="6" t="s">
        <v>24</v>
      </c>
      <c r="G4" s="124"/>
      <c r="H4" s="125"/>
      <c r="I4" s="126"/>
    </row>
    <row r="5" spans="2:26" ht="18" customHeight="1" x14ac:dyDescent="0.55000000000000004">
      <c r="B5" s="4"/>
      <c r="C5" s="1"/>
      <c r="D5" s="6" t="s">
        <v>26</v>
      </c>
      <c r="E5" s="12"/>
      <c r="F5" s="6" t="s">
        <v>27</v>
      </c>
      <c r="G5" s="127"/>
      <c r="H5" s="125"/>
      <c r="I5" s="126"/>
      <c r="J5" s="2"/>
      <c r="K5" s="2"/>
      <c r="L5" s="2"/>
    </row>
    <row r="6" spans="2:26" ht="18" customHeight="1" thickBot="1" x14ac:dyDescent="0.6">
      <c r="B6" s="4"/>
      <c r="C6" s="1"/>
      <c r="D6" s="6" t="s">
        <v>28</v>
      </c>
      <c r="E6" s="12"/>
      <c r="F6" s="7" t="s">
        <v>30</v>
      </c>
      <c r="G6" s="128"/>
      <c r="H6" s="129"/>
      <c r="I6" s="130"/>
      <c r="J6" s="2"/>
      <c r="K6" s="2"/>
    </row>
    <row r="7" spans="2:26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8"/>
      <c r="M7" s="9"/>
      <c r="N7" s="9"/>
      <c r="O7" s="8"/>
      <c r="P7" s="8"/>
      <c r="Q7" s="8"/>
      <c r="R7" s="8"/>
      <c r="S7" s="8"/>
    </row>
    <row r="8" spans="2:26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26" ht="21" customHeight="1" x14ac:dyDescent="0.35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</row>
    <row r="10" spans="2:26" ht="21" customHeight="1" x14ac:dyDescent="0.35">
      <c r="B10" s="39"/>
      <c r="C10" s="47"/>
      <c r="D10" s="33"/>
      <c r="E10" s="27"/>
      <c r="F10" s="37"/>
      <c r="G10" s="33"/>
      <c r="H10" s="27"/>
      <c r="I10" s="28"/>
      <c r="J10" s="41"/>
      <c r="K10" s="39"/>
      <c r="L10" s="28"/>
      <c r="M10" s="28"/>
      <c r="N10" s="41"/>
      <c r="O10" s="39"/>
      <c r="P10" s="28"/>
      <c r="Q10" s="28"/>
      <c r="R10" s="41"/>
      <c r="S10" s="39"/>
      <c r="T10" s="41"/>
      <c r="U10" s="39"/>
      <c r="V10" s="41"/>
      <c r="W10" s="43"/>
      <c r="X10" s="39"/>
      <c r="Y10" s="28"/>
      <c r="Z10" s="29"/>
    </row>
    <row r="11" spans="2:26" ht="21" customHeight="1" x14ac:dyDescent="0.35">
      <c r="B11" s="39"/>
      <c r="C11" s="47"/>
      <c r="D11" s="33"/>
      <c r="E11" s="27"/>
      <c r="F11" s="37"/>
      <c r="G11" s="33"/>
      <c r="H11" s="27"/>
      <c r="I11" s="28"/>
      <c r="J11" s="41"/>
      <c r="K11" s="39"/>
      <c r="L11" s="28"/>
      <c r="M11" s="28"/>
      <c r="N11" s="41"/>
      <c r="O11" s="39"/>
      <c r="P11" s="28"/>
      <c r="Q11" s="28"/>
      <c r="R11" s="41"/>
      <c r="S11" s="39"/>
      <c r="T11" s="41"/>
      <c r="U11" s="39"/>
      <c r="V11" s="41"/>
      <c r="W11" s="43"/>
      <c r="X11" s="39"/>
      <c r="Y11" s="28"/>
      <c r="Z11" s="29"/>
    </row>
    <row r="12" spans="2:26" ht="21" customHeight="1" x14ac:dyDescent="0.35">
      <c r="B12" s="39"/>
      <c r="C12" s="47"/>
      <c r="D12" s="33"/>
      <c r="E12" s="27"/>
      <c r="F12" s="37"/>
      <c r="G12" s="33"/>
      <c r="H12" s="27"/>
      <c r="I12" s="28"/>
      <c r="J12" s="41"/>
      <c r="K12" s="39"/>
      <c r="L12" s="28"/>
      <c r="M12" s="28"/>
      <c r="N12" s="41"/>
      <c r="O12" s="39"/>
      <c r="P12" s="28"/>
      <c r="Q12" s="28"/>
      <c r="R12" s="41"/>
      <c r="S12" s="39"/>
      <c r="T12" s="41"/>
      <c r="U12" s="39"/>
      <c r="V12" s="41"/>
      <c r="W12" s="43"/>
      <c r="X12" s="39"/>
      <c r="Y12" s="28"/>
      <c r="Z12" s="29"/>
    </row>
    <row r="13" spans="2:26" ht="21" customHeight="1" x14ac:dyDescent="0.35">
      <c r="B13" s="39"/>
      <c r="C13" s="47"/>
      <c r="D13" s="33"/>
      <c r="E13" s="27"/>
      <c r="F13" s="37"/>
      <c r="G13" s="33"/>
      <c r="H13" s="27"/>
      <c r="I13" s="28"/>
      <c r="J13" s="41"/>
      <c r="K13" s="39"/>
      <c r="L13" s="28"/>
      <c r="M13" s="28"/>
      <c r="N13" s="41"/>
      <c r="O13" s="39"/>
      <c r="P13" s="28"/>
      <c r="Q13" s="28"/>
      <c r="R13" s="41"/>
      <c r="S13" s="39"/>
      <c r="T13" s="41"/>
      <c r="U13" s="39"/>
      <c r="V13" s="41"/>
      <c r="W13" s="43"/>
      <c r="X13" s="39"/>
      <c r="Y13" s="28"/>
      <c r="Z13" s="29"/>
    </row>
    <row r="14" spans="2:26" ht="21" customHeight="1" thickBot="1" x14ac:dyDescent="0.4">
      <c r="B14" s="40"/>
      <c r="C14" s="48"/>
      <c r="D14" s="34"/>
      <c r="E14" s="30"/>
      <c r="F14" s="38"/>
      <c r="G14" s="34"/>
      <c r="H14" s="30"/>
      <c r="I14" s="31"/>
      <c r="J14" s="42"/>
      <c r="K14" s="40"/>
      <c r="L14" s="31"/>
      <c r="M14" s="31"/>
      <c r="N14" s="42"/>
      <c r="O14" s="40"/>
      <c r="P14" s="31"/>
      <c r="Q14" s="31"/>
      <c r="R14" s="42"/>
      <c r="S14" s="40"/>
      <c r="T14" s="42"/>
      <c r="U14" s="40"/>
      <c r="V14" s="42"/>
      <c r="W14" s="44"/>
      <c r="X14" s="40"/>
      <c r="Y14" s="31"/>
      <c r="Z14" s="32"/>
    </row>
    <row r="15" spans="2:26" ht="15.75" customHeight="1" x14ac:dyDescent="0.35"/>
    <row r="16" spans="2:26" ht="15.75" customHeight="1" x14ac:dyDescent="0.35"/>
    <row r="17" ht="15.75" customHeight="1" x14ac:dyDescent="0.35"/>
    <row r="18" ht="15.75" customHeight="1" x14ac:dyDescent="0.35"/>
    <row r="19" ht="15.75" customHeight="1" x14ac:dyDescent="0.35"/>
    <row r="20" ht="15.7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</sheetData>
  <autoFilter ref="D9:Z14" xr:uid="{00000000-0009-0000-0000-000005000000}"/>
  <mergeCells count="4">
    <mergeCell ref="G3:I3"/>
    <mergeCell ref="G4:I4"/>
    <mergeCell ref="G5:I5"/>
    <mergeCell ref="G6:I6"/>
  </mergeCells>
  <phoneticPr fontId="2"/>
  <dataValidations count="2">
    <dataValidation type="custom" showInputMessage="1" showErrorMessage="1" error="末尾にスラッシュは入力できません。" sqref="G3" xr:uid="{00000000-0002-0000-0500-000000000000}">
      <formula1>RIGHT($G$3,1)&lt;&gt;"/"</formula1>
    </dataValidation>
    <dataValidation type="list" showInputMessage="1" showErrorMessage="1" sqref="B10:B14" xr:uid="{00000000-0002-0000-0500-000001000000}">
      <formula1>"新規,更新"</formula1>
    </dataValidation>
  </dataValidations>
  <hyperlinks>
    <hyperlink ref="G3" r:id="rId1" xr:uid="{00000000-0004-0000-0500-000000000000}"/>
  </hyperlinks>
  <pageMargins left="0.7" right="0.7" top="0.75" bottom="0.75" header="0.3" footer="0.3"/>
  <pageSetup paperSize="9" orientation="portrait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92D050"/>
  </sheetPr>
  <dimension ref="B1:Z109"/>
  <sheetViews>
    <sheetView zoomScale="85" zoomScaleNormal="85" workbookViewId="0"/>
  </sheetViews>
  <sheetFormatPr defaultColWidth="9" defaultRowHeight="15" x14ac:dyDescent="0.35"/>
  <cols>
    <col min="1" max="1" width="2.58203125" style="74" customWidth="1"/>
    <col min="2" max="2" width="23.58203125" style="3" customWidth="1"/>
    <col min="3" max="3" width="7.83203125" style="74" hidden="1" customWidth="1"/>
    <col min="4" max="4" width="19.58203125" style="74" customWidth="1"/>
    <col min="5" max="10" width="16.58203125" style="74" customWidth="1"/>
    <col min="11" max="13" width="25.58203125" style="74" customWidth="1"/>
    <col min="14" max="14" width="13.58203125" style="74" customWidth="1"/>
    <col min="15" max="17" width="15.58203125" style="74" customWidth="1"/>
    <col min="18" max="18" width="20.58203125" style="74" customWidth="1"/>
    <col min="19" max="19" width="15.58203125" style="74" customWidth="1"/>
    <col min="20" max="20" width="20.58203125" style="74" customWidth="1"/>
    <col min="21" max="21" width="15.58203125" style="74" customWidth="1"/>
    <col min="22" max="22" width="20.58203125" style="74" customWidth="1"/>
    <col min="23" max="23" width="50.58203125" style="74" customWidth="1"/>
    <col min="24" max="26" width="30.58203125" style="74" customWidth="1"/>
    <col min="27" max="27" width="9" style="74" customWidth="1"/>
    <col min="28" max="16384" width="9" style="74"/>
  </cols>
  <sheetData>
    <row r="1" spans="2:26" ht="15.75" customHeight="1" x14ac:dyDescent="0.35"/>
    <row r="2" spans="2:26" ht="18" customHeight="1" thickBot="1" x14ac:dyDescent="0.4">
      <c r="D2" s="74" t="s">
        <v>19</v>
      </c>
    </row>
    <row r="3" spans="2:26" ht="18" customHeight="1" x14ac:dyDescent="0.55000000000000004">
      <c r="D3" s="10" t="s">
        <v>20</v>
      </c>
      <c r="E3" s="11"/>
      <c r="F3" s="5" t="s">
        <v>21</v>
      </c>
      <c r="G3" s="121"/>
      <c r="H3" s="122"/>
      <c r="I3" s="123"/>
    </row>
    <row r="4" spans="2:26" ht="18" customHeight="1" x14ac:dyDescent="0.55000000000000004">
      <c r="D4" s="6" t="s">
        <v>23</v>
      </c>
      <c r="E4" s="12"/>
      <c r="F4" s="6" t="s">
        <v>24</v>
      </c>
      <c r="G4" s="124"/>
      <c r="H4" s="125"/>
      <c r="I4" s="126"/>
    </row>
    <row r="5" spans="2:26" ht="18" customHeight="1" x14ac:dyDescent="0.55000000000000004">
      <c r="B5" s="4"/>
      <c r="C5" s="1"/>
      <c r="D5" s="6" t="s">
        <v>26</v>
      </c>
      <c r="E5" s="12"/>
      <c r="F5" s="6" t="s">
        <v>27</v>
      </c>
      <c r="G5" s="127"/>
      <c r="H5" s="125"/>
      <c r="I5" s="126"/>
      <c r="J5" s="2"/>
      <c r="K5" s="2"/>
    </row>
    <row r="6" spans="2:26" ht="18" customHeight="1" thickBot="1" x14ac:dyDescent="0.6">
      <c r="B6" s="4"/>
      <c r="C6" s="1"/>
      <c r="D6" s="6" t="s">
        <v>28</v>
      </c>
      <c r="E6" s="12"/>
      <c r="F6" s="7" t="s">
        <v>30</v>
      </c>
      <c r="G6" s="128"/>
      <c r="H6" s="129"/>
      <c r="I6" s="130"/>
      <c r="J6" s="2"/>
      <c r="K6" s="2"/>
    </row>
    <row r="7" spans="2:26" ht="18" customHeight="1" thickBot="1" x14ac:dyDescent="0.4">
      <c r="B7" s="4"/>
      <c r="C7" s="1"/>
      <c r="D7" s="7" t="s">
        <v>31</v>
      </c>
      <c r="E7" s="25"/>
      <c r="F7" s="2"/>
      <c r="G7" s="2"/>
      <c r="H7" s="2"/>
      <c r="I7" s="2"/>
      <c r="J7" s="8"/>
      <c r="K7" s="8"/>
      <c r="L7" s="9"/>
      <c r="M7" s="8"/>
      <c r="N7" s="8"/>
      <c r="O7" s="8"/>
      <c r="P7" s="8"/>
      <c r="Q7" s="8"/>
    </row>
    <row r="8" spans="2:26" ht="15.75" customHeight="1" thickBot="1" x14ac:dyDescent="0.4">
      <c r="B8" s="4"/>
      <c r="C8" s="1"/>
      <c r="D8" s="1"/>
      <c r="E8" s="1"/>
      <c r="F8" s="2"/>
      <c r="G8" s="2"/>
      <c r="H8" s="2"/>
      <c r="I8" s="8"/>
      <c r="J8" s="8"/>
      <c r="K8" s="8"/>
      <c r="L8" s="9"/>
      <c r="M8" s="9"/>
      <c r="N8" s="8"/>
      <c r="O8" s="8"/>
      <c r="P8" s="8"/>
      <c r="Q8" s="8"/>
      <c r="R8" s="8"/>
      <c r="W8" s="9"/>
      <c r="X8" s="9" t="s">
        <v>32</v>
      </c>
      <c r="Y8" s="9" t="s">
        <v>32</v>
      </c>
      <c r="Z8" s="9" t="s">
        <v>32</v>
      </c>
    </row>
    <row r="9" spans="2:26" ht="21" customHeight="1" x14ac:dyDescent="0.35">
      <c r="B9" s="13" t="s">
        <v>33</v>
      </c>
      <c r="C9" s="13" t="s">
        <v>34</v>
      </c>
      <c r="D9" s="13" t="s">
        <v>35</v>
      </c>
      <c r="E9" s="15" t="s">
        <v>36</v>
      </c>
      <c r="F9" s="45" t="s">
        <v>37</v>
      </c>
      <c r="G9" s="14" t="s">
        <v>2</v>
      </c>
      <c r="H9" s="15" t="s">
        <v>3</v>
      </c>
      <c r="I9" s="14" t="s">
        <v>4</v>
      </c>
      <c r="J9" s="16" t="s">
        <v>5</v>
      </c>
      <c r="K9" s="17" t="s">
        <v>6</v>
      </c>
      <c r="L9" s="18" t="s">
        <v>7</v>
      </c>
      <c r="M9" s="18" t="s">
        <v>8</v>
      </c>
      <c r="N9" s="19" t="s">
        <v>9</v>
      </c>
      <c r="O9" s="17" t="s">
        <v>10</v>
      </c>
      <c r="P9" s="18" t="s">
        <v>11</v>
      </c>
      <c r="Q9" s="20" t="s">
        <v>12</v>
      </c>
      <c r="R9" s="19" t="s">
        <v>13</v>
      </c>
      <c r="S9" s="21" t="s">
        <v>14</v>
      </c>
      <c r="T9" s="19" t="s">
        <v>15</v>
      </c>
      <c r="U9" s="21" t="s">
        <v>16</v>
      </c>
      <c r="V9" s="19" t="s">
        <v>17</v>
      </c>
      <c r="W9" s="22" t="s">
        <v>18</v>
      </c>
      <c r="X9" s="23" t="s">
        <v>38</v>
      </c>
      <c r="Y9" s="23" t="s">
        <v>39</v>
      </c>
      <c r="Z9" s="23" t="s">
        <v>40</v>
      </c>
    </row>
    <row r="10" spans="2:26" ht="21" customHeight="1" x14ac:dyDescent="0.35">
      <c r="B10" s="39"/>
      <c r="C10" s="47"/>
      <c r="D10" s="33"/>
      <c r="E10" s="27"/>
      <c r="F10" s="37"/>
      <c r="G10" s="33"/>
      <c r="H10" s="27"/>
      <c r="I10" s="27"/>
      <c r="J10" s="37"/>
      <c r="K10" s="33"/>
      <c r="L10" s="27"/>
      <c r="M10" s="27"/>
      <c r="N10" s="37"/>
      <c r="O10" s="39"/>
      <c r="P10" s="28"/>
      <c r="Q10" s="28"/>
      <c r="R10" s="41"/>
      <c r="S10" s="39"/>
      <c r="T10" s="41"/>
      <c r="U10" s="39"/>
      <c r="V10" s="41"/>
      <c r="W10" s="43"/>
      <c r="X10" s="33"/>
      <c r="Y10" s="27"/>
      <c r="Z10" s="29"/>
    </row>
    <row r="11" spans="2:26" ht="21" customHeight="1" x14ac:dyDescent="0.35">
      <c r="B11" s="39"/>
      <c r="C11" s="47"/>
      <c r="D11" s="33"/>
      <c r="E11" s="27"/>
      <c r="F11" s="37"/>
      <c r="G11" s="33"/>
      <c r="H11" s="27"/>
      <c r="I11" s="27"/>
      <c r="J11" s="37"/>
      <c r="K11" s="33"/>
      <c r="L11" s="27"/>
      <c r="M11" s="27"/>
      <c r="N11" s="37"/>
      <c r="O11" s="39"/>
      <c r="P11" s="28"/>
      <c r="Q11" s="28"/>
      <c r="R11" s="41"/>
      <c r="S11" s="39"/>
      <c r="T11" s="41"/>
      <c r="U11" s="39"/>
      <c r="V11" s="41"/>
      <c r="W11" s="43"/>
      <c r="X11" s="33"/>
      <c r="Y11" s="27"/>
      <c r="Z11" s="29"/>
    </row>
    <row r="12" spans="2:26" ht="21" customHeight="1" x14ac:dyDescent="0.35">
      <c r="B12" s="39"/>
      <c r="C12" s="47"/>
      <c r="D12" s="33"/>
      <c r="E12" s="27"/>
      <c r="F12" s="37"/>
      <c r="G12" s="33"/>
      <c r="H12" s="27"/>
      <c r="I12" s="27"/>
      <c r="J12" s="37"/>
      <c r="K12" s="33"/>
      <c r="L12" s="27"/>
      <c r="M12" s="27"/>
      <c r="N12" s="37"/>
      <c r="O12" s="39"/>
      <c r="P12" s="28"/>
      <c r="Q12" s="28"/>
      <c r="R12" s="41"/>
      <c r="S12" s="39"/>
      <c r="T12" s="41"/>
      <c r="U12" s="39"/>
      <c r="V12" s="41"/>
      <c r="W12" s="43"/>
      <c r="X12" s="33"/>
      <c r="Y12" s="27"/>
      <c r="Z12" s="29"/>
    </row>
    <row r="13" spans="2:26" ht="21" customHeight="1" x14ac:dyDescent="0.35">
      <c r="B13" s="39"/>
      <c r="C13" s="47"/>
      <c r="D13" s="33"/>
      <c r="E13" s="27"/>
      <c r="F13" s="37"/>
      <c r="G13" s="33"/>
      <c r="H13" s="27"/>
      <c r="I13" s="27"/>
      <c r="J13" s="37"/>
      <c r="K13" s="33"/>
      <c r="L13" s="27"/>
      <c r="M13" s="27"/>
      <c r="N13" s="37"/>
      <c r="O13" s="39"/>
      <c r="P13" s="28"/>
      <c r="Q13" s="28"/>
      <c r="R13" s="41"/>
      <c r="S13" s="39"/>
      <c r="T13" s="41"/>
      <c r="U13" s="39"/>
      <c r="V13" s="41"/>
      <c r="W13" s="43"/>
      <c r="X13" s="33"/>
      <c r="Y13" s="27"/>
      <c r="Z13" s="29"/>
    </row>
    <row r="14" spans="2:26" ht="21" customHeight="1" thickBot="1" x14ac:dyDescent="0.4">
      <c r="B14" s="40"/>
      <c r="C14" s="48"/>
      <c r="D14" s="34"/>
      <c r="E14" s="30"/>
      <c r="F14" s="38"/>
      <c r="G14" s="34"/>
      <c r="H14" s="30"/>
      <c r="I14" s="30"/>
      <c r="J14" s="38"/>
      <c r="K14" s="34"/>
      <c r="L14" s="30"/>
      <c r="M14" s="30"/>
      <c r="N14" s="38"/>
      <c r="O14" s="40"/>
      <c r="P14" s="31"/>
      <c r="Q14" s="31"/>
      <c r="R14" s="42"/>
      <c r="S14" s="40"/>
      <c r="T14" s="42"/>
      <c r="U14" s="40"/>
      <c r="V14" s="42"/>
      <c r="W14" s="44"/>
      <c r="X14" s="34"/>
      <c r="Y14" s="30"/>
      <c r="Z14" s="32"/>
    </row>
    <row r="15" spans="2:26" ht="15.75" customHeight="1" x14ac:dyDescent="0.35"/>
    <row r="16" spans="2:26" ht="15.75" customHeight="1" x14ac:dyDescent="0.35"/>
    <row r="17" ht="15.75" customHeight="1" x14ac:dyDescent="0.35"/>
    <row r="18" ht="15.75" customHeight="1" x14ac:dyDescent="0.35"/>
    <row r="19" ht="15.75" customHeight="1" x14ac:dyDescent="0.35"/>
    <row r="20" ht="15.75" customHeight="1" x14ac:dyDescent="0.35"/>
    <row r="21" ht="15.75" customHeight="1" x14ac:dyDescent="0.35"/>
    <row r="22" ht="15.75" customHeight="1" x14ac:dyDescent="0.35"/>
    <row r="23" ht="15.75" customHeight="1" x14ac:dyDescent="0.35"/>
    <row r="24" ht="15.75" customHeight="1" x14ac:dyDescent="0.35"/>
    <row r="25" ht="15.75" customHeight="1" x14ac:dyDescent="0.35"/>
    <row r="26" ht="15.75" customHeight="1" x14ac:dyDescent="0.35"/>
    <row r="27" ht="15.75" customHeight="1" x14ac:dyDescent="0.35"/>
    <row r="28" ht="15.75" customHeight="1" x14ac:dyDescent="0.35"/>
    <row r="29" ht="15.75" customHeight="1" x14ac:dyDescent="0.35"/>
    <row r="30" ht="15.75" customHeight="1" x14ac:dyDescent="0.35"/>
    <row r="31" ht="15.75" customHeight="1" x14ac:dyDescent="0.35"/>
    <row r="3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</sheetData>
  <autoFilter ref="D9:Z14" xr:uid="{00000000-0009-0000-0000-000006000000}"/>
  <mergeCells count="4">
    <mergeCell ref="G3:I3"/>
    <mergeCell ref="G4:I4"/>
    <mergeCell ref="G5:I5"/>
    <mergeCell ref="G6:I6"/>
  </mergeCells>
  <phoneticPr fontId="2"/>
  <dataValidations count="2">
    <dataValidation type="custom" showInputMessage="1" showErrorMessage="1" error="末尾にスラッシュは入力できません。" sqref="G3" xr:uid="{00000000-0002-0000-0600-000000000000}">
      <formula1>RIGHT($G$3,1)&lt;&gt;"/"</formula1>
    </dataValidation>
    <dataValidation type="list" showInputMessage="1" showErrorMessage="1" sqref="B10:B14" xr:uid="{00000000-0002-0000-0600-000001000000}">
      <formula1>"新規,更新"</formula1>
    </dataValidation>
  </dataValidations>
  <pageMargins left="0.7" right="0.7" top="0.75" bottom="0.75" header="0.3" footer="0.3"/>
  <pageSetup paperSize="9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D6"/>
  <sheetViews>
    <sheetView workbookViewId="0">
      <selection activeCell="D13" sqref="D13"/>
    </sheetView>
  </sheetViews>
  <sheetFormatPr defaultRowHeight="18" x14ac:dyDescent="0.55000000000000004"/>
  <sheetData>
    <row r="1" spans="1:4" x14ac:dyDescent="0.55000000000000004">
      <c r="A1" t="s">
        <v>196</v>
      </c>
      <c r="B1" t="s">
        <v>196</v>
      </c>
      <c r="C1">
        <v>1</v>
      </c>
    </row>
    <row r="2" spans="1:4" x14ac:dyDescent="0.55000000000000004">
      <c r="A2" t="s">
        <v>197</v>
      </c>
      <c r="B2" t="s">
        <v>198</v>
      </c>
      <c r="C2">
        <v>0</v>
      </c>
      <c r="D2" t="s">
        <v>199</v>
      </c>
    </row>
    <row r="3" spans="1:4" x14ac:dyDescent="0.55000000000000004">
      <c r="A3" t="s">
        <v>200</v>
      </c>
      <c r="D3" t="s">
        <v>201</v>
      </c>
    </row>
    <row r="4" spans="1:4" x14ac:dyDescent="0.55000000000000004">
      <c r="D4" t="s">
        <v>202</v>
      </c>
    </row>
    <row r="5" spans="1:4" x14ac:dyDescent="0.55000000000000004">
      <c r="D5" t="s">
        <v>203</v>
      </c>
    </row>
    <row r="6" spans="1:4" x14ac:dyDescent="0.55000000000000004">
      <c r="D6" t="s">
        <v>204</v>
      </c>
    </row>
  </sheetData>
  <phoneticPr fontId="2"/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2DF5EC76AD5F4EA88C52DB11C87D2C" ma:contentTypeVersion="14" ma:contentTypeDescription="新しいドキュメントを作成します。" ma:contentTypeScope="" ma:versionID="47a19aae55b5424b4de8f327575e57c4">
  <xsd:schema xmlns:xsd="http://www.w3.org/2001/XMLSchema" xmlns:xs="http://www.w3.org/2001/XMLSchema" xmlns:p="http://schemas.microsoft.com/office/2006/metadata/properties" xmlns:ns2="b55720db-454e-4cb4-9b5d-6e439f3c8752" xmlns:ns3="a5d0ae56-3e10-4a3c-914e-121706b5d401" targetNamespace="http://schemas.microsoft.com/office/2006/metadata/properties" ma:root="true" ma:fieldsID="a3df4e241428da7a843a8dfe1b0a8d25" ns2:_="" ns3:_="">
    <xsd:import namespace="b55720db-454e-4cb4-9b5d-6e439f3c8752"/>
    <xsd:import namespace="a5d0ae56-3e10-4a3c-914e-121706b5d4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5720db-454e-4cb4-9b5d-6e439f3c87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4e993f94-6c0e-4a87-8957-b0e4ba0de1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d0ae56-3e10-4a3c-914e-121706b5d4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d5b7f99-572e-4a22-bece-7af785256112}" ma:internalName="TaxCatchAll" ma:showField="CatchAllData" ma:web="a5d0ae56-3e10-4a3c-914e-121706b5d40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5d0ae56-3e10-4a3c-914e-121706b5d401" xsi:nil="true"/>
    <lcf76f155ced4ddcb4097134ff3c332f xmlns="b55720db-454e-4cb4-9b5d-6e439f3c875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82272AD-0C37-4008-9598-E5D5116C041B}"/>
</file>

<file path=customXml/itemProps2.xml><?xml version="1.0" encoding="utf-8"?>
<ds:datastoreItem xmlns:ds="http://schemas.openxmlformats.org/officeDocument/2006/customXml" ds:itemID="{BD0F1664-FD40-4C4F-A014-54599730952C}"/>
</file>

<file path=customXml/itemProps3.xml><?xml version="1.0" encoding="utf-8"?>
<ds:datastoreItem xmlns:ds="http://schemas.openxmlformats.org/officeDocument/2006/customXml" ds:itemID="{A61E673D-7F8C-44DC-B0DA-6949B95CD24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4</vt:i4>
      </vt:variant>
    </vt:vector>
  </HeadingPairs>
  <TitlesOfParts>
    <vt:vector size="12" baseType="lpstr">
      <vt:lpstr>変換表貼り付け用シート</vt:lpstr>
      <vt:lpstr>①他部門からの前提の新規作成・更新</vt:lpstr>
      <vt:lpstr>②他部門からの要求の新規作成・更新</vt:lpstr>
      <vt:lpstr>③タスクで使用する前提の登録・新規作成・更新</vt:lpstr>
      <vt:lpstr>④タスクで使用する要求の登録・新規作成・更新</vt:lpstr>
      <vt:lpstr>⑤割付の新規作成・更新</vt:lpstr>
      <vt:lpstr>⑥代表値の新規作成・更新</vt:lpstr>
      <vt:lpstr>データ設定</vt:lpstr>
      <vt:lpstr>アイデンティティ</vt:lpstr>
      <vt:lpstr>スタートページ</vt:lpstr>
      <vt:lpstr>ログイン有効</vt:lpstr>
      <vt:lpstr>操作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ANDO, SATOSHI</cp:lastModifiedBy>
  <dcterms:created xsi:type="dcterms:W3CDTF">2015-06-05T18:19:34Z</dcterms:created>
  <dcterms:modified xsi:type="dcterms:W3CDTF">2024-09-05T03:33:27Z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0x010100822DF5EC76AD5F4EA88C52DB11C87D2C</vt:lpwstr>
  </property>
</Properties>
</file>